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Files\Working Datasets\JBA\"/>
    </mc:Choice>
  </mc:AlternateContent>
  <xr:revisionPtr revIDLastSave="0" documentId="13_ncr:1_{78CC7F95-9D8F-4C98-9245-4C4988B6CD13}" xr6:coauthVersionLast="47" xr6:coauthVersionMax="47" xr10:uidLastSave="{00000000-0000-0000-0000-000000000000}"/>
  <bookViews>
    <workbookView xWindow="-108" yWindow="-108" windowWidth="23256" windowHeight="12576" xr2:uid="{A7D53DB9-055B-4C75-BDDE-F78E5D556B7C}"/>
  </bookViews>
  <sheets>
    <sheet name="Data" sheetId="4" r:id="rId1"/>
    <sheet name="Log" sheetId="5" r:id="rId2"/>
    <sheet name="Sediment" sheetId="2" r:id="rId3"/>
  </sheets>
  <externalReferences>
    <externalReference r:id="rId4"/>
  </externalReferences>
  <definedNames>
    <definedName name="ExternalData_1" localSheetId="2" hidden="1">Sediment!$A$1:$I$2401</definedName>
    <definedName name="ExternalData_2" localSheetId="0" hidden="1">Data!$A$1:$AR$65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G65" i="4" l="1"/>
  <c r="CF65" i="4"/>
  <c r="CE65" i="4"/>
  <c r="CD65" i="4"/>
  <c r="CC65" i="4"/>
  <c r="CB65" i="4"/>
  <c r="CA65" i="4"/>
  <c r="BZ65" i="4"/>
  <c r="BY65" i="4"/>
  <c r="BX65" i="4"/>
  <c r="BW65" i="4"/>
  <c r="BV65" i="4"/>
  <c r="BU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CG64" i="4"/>
  <c r="CF64" i="4"/>
  <c r="CE64" i="4"/>
  <c r="CD64" i="4"/>
  <c r="CC64" i="4"/>
  <c r="CB64" i="4"/>
  <c r="CA64" i="4"/>
  <c r="BZ64" i="4"/>
  <c r="BY64" i="4"/>
  <c r="BX64" i="4"/>
  <c r="BW64" i="4"/>
  <c r="BV64" i="4"/>
  <c r="BU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CG63" i="4"/>
  <c r="CF63" i="4"/>
  <c r="CE63" i="4"/>
  <c r="CD63" i="4"/>
  <c r="CC63" i="4"/>
  <c r="CB63" i="4"/>
  <c r="CA63" i="4"/>
  <c r="BZ63" i="4"/>
  <c r="BY63" i="4"/>
  <c r="BX63" i="4"/>
  <c r="BW63" i="4"/>
  <c r="BV63" i="4"/>
  <c r="BU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CG62" i="4"/>
  <c r="CF62" i="4"/>
  <c r="CE62" i="4"/>
  <c r="CD62" i="4"/>
  <c r="CC62" i="4"/>
  <c r="CB62" i="4"/>
  <c r="CA62" i="4"/>
  <c r="BZ62" i="4"/>
  <c r="BY62" i="4"/>
  <c r="BX62" i="4"/>
  <c r="BW62" i="4"/>
  <c r="BV62" i="4"/>
  <c r="BU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CG61" i="4"/>
  <c r="CF61" i="4"/>
  <c r="CE61" i="4"/>
  <c r="CD61" i="4"/>
  <c r="CC61" i="4"/>
  <c r="CB61" i="4"/>
  <c r="CA61" i="4"/>
  <c r="BZ61" i="4"/>
  <c r="BY61" i="4"/>
  <c r="BX61" i="4"/>
  <c r="BW61" i="4"/>
  <c r="BV61" i="4"/>
  <c r="BU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CG60" i="4"/>
  <c r="CF60" i="4"/>
  <c r="CE60" i="4"/>
  <c r="CD60" i="4"/>
  <c r="CC60" i="4"/>
  <c r="CB60" i="4"/>
  <c r="CA60" i="4"/>
  <c r="BZ60" i="4"/>
  <c r="BY60" i="4"/>
  <c r="BX60" i="4"/>
  <c r="BW60" i="4"/>
  <c r="BV60" i="4"/>
  <c r="BU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CG59" i="4"/>
  <c r="CF59" i="4"/>
  <c r="CE59" i="4"/>
  <c r="CD59" i="4"/>
  <c r="CC59" i="4"/>
  <c r="CB59" i="4"/>
  <c r="CA59" i="4"/>
  <c r="BZ59" i="4"/>
  <c r="BY59" i="4"/>
  <c r="BX59" i="4"/>
  <c r="BW59" i="4"/>
  <c r="BV59" i="4"/>
  <c r="BU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CG58" i="4"/>
  <c r="CF58" i="4"/>
  <c r="CE58" i="4"/>
  <c r="CD58" i="4"/>
  <c r="CC58" i="4"/>
  <c r="CB58" i="4"/>
  <c r="CA58" i="4"/>
  <c r="BZ58" i="4"/>
  <c r="BY58" i="4"/>
  <c r="BX58" i="4"/>
  <c r="BW58" i="4"/>
  <c r="BV58" i="4"/>
  <c r="BU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CG57" i="4"/>
  <c r="CF57" i="4"/>
  <c r="CE57" i="4"/>
  <c r="CD57" i="4"/>
  <c r="CC57" i="4"/>
  <c r="CB57" i="4"/>
  <c r="CA57" i="4"/>
  <c r="BZ57" i="4"/>
  <c r="BY57" i="4"/>
  <c r="BX57" i="4"/>
  <c r="BW57" i="4"/>
  <c r="BV57" i="4"/>
  <c r="BU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CG56" i="4"/>
  <c r="CF56" i="4"/>
  <c r="CE56" i="4"/>
  <c r="CD56" i="4"/>
  <c r="CC56" i="4"/>
  <c r="CB56" i="4"/>
  <c r="CA56" i="4"/>
  <c r="BZ56" i="4"/>
  <c r="BY56" i="4"/>
  <c r="BX56" i="4"/>
  <c r="BW56" i="4"/>
  <c r="BV56" i="4"/>
  <c r="BU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CG55" i="4"/>
  <c r="CF55" i="4"/>
  <c r="CE55" i="4"/>
  <c r="CD55" i="4"/>
  <c r="CC55" i="4"/>
  <c r="CB55" i="4"/>
  <c r="CA55" i="4"/>
  <c r="BZ55" i="4"/>
  <c r="BY55" i="4"/>
  <c r="BX55" i="4"/>
  <c r="BW55" i="4"/>
  <c r="BV55" i="4"/>
  <c r="BU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CG54" i="4"/>
  <c r="CF54" i="4"/>
  <c r="CE54" i="4"/>
  <c r="CD54" i="4"/>
  <c r="CC54" i="4"/>
  <c r="CB54" i="4"/>
  <c r="CA54" i="4"/>
  <c r="BZ54" i="4"/>
  <c r="BY54" i="4"/>
  <c r="BX54" i="4"/>
  <c r="BW54" i="4"/>
  <c r="BV54" i="4"/>
  <c r="BU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CG53" i="4"/>
  <c r="CF53" i="4"/>
  <c r="CE53" i="4"/>
  <c r="CD53" i="4"/>
  <c r="CC53" i="4"/>
  <c r="CB53" i="4"/>
  <c r="CA53" i="4"/>
  <c r="BZ53" i="4"/>
  <c r="BY53" i="4"/>
  <c r="BX53" i="4"/>
  <c r="BW53" i="4"/>
  <c r="BV53" i="4"/>
  <c r="BU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CG52" i="4"/>
  <c r="CF52" i="4"/>
  <c r="CE52" i="4"/>
  <c r="CD52" i="4"/>
  <c r="CC52" i="4"/>
  <c r="CB52" i="4"/>
  <c r="CA52" i="4"/>
  <c r="BZ52" i="4"/>
  <c r="BY52" i="4"/>
  <c r="BX52" i="4"/>
  <c r="BW52" i="4"/>
  <c r="BV52" i="4"/>
  <c r="BU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CG51" i="4"/>
  <c r="CF51" i="4"/>
  <c r="CE51" i="4"/>
  <c r="CD51" i="4"/>
  <c r="CC51" i="4"/>
  <c r="CB51" i="4"/>
  <c r="CA51" i="4"/>
  <c r="BZ51" i="4"/>
  <c r="BY51" i="4"/>
  <c r="BX51" i="4"/>
  <c r="BW51" i="4"/>
  <c r="BV51" i="4"/>
  <c r="BU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CG50" i="4"/>
  <c r="CF50" i="4"/>
  <c r="CE50" i="4"/>
  <c r="CD50" i="4"/>
  <c r="CC50" i="4"/>
  <c r="CB50" i="4"/>
  <c r="CA50" i="4"/>
  <c r="BZ50" i="4"/>
  <c r="BY50" i="4"/>
  <c r="BX50" i="4"/>
  <c r="BW50" i="4"/>
  <c r="BV50" i="4"/>
  <c r="BU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CG49" i="4"/>
  <c r="CF49" i="4"/>
  <c r="CE49" i="4"/>
  <c r="CD49" i="4"/>
  <c r="CC49" i="4"/>
  <c r="CB49" i="4"/>
  <c r="CA49" i="4"/>
  <c r="BZ49" i="4"/>
  <c r="BY49" i="4"/>
  <c r="BX49" i="4"/>
  <c r="BW49" i="4"/>
  <c r="BV49" i="4"/>
  <c r="BU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CG48" i="4"/>
  <c r="CF48" i="4"/>
  <c r="CE48" i="4"/>
  <c r="CD48" i="4"/>
  <c r="CC48" i="4"/>
  <c r="CB48" i="4"/>
  <c r="CA48" i="4"/>
  <c r="BZ48" i="4"/>
  <c r="BY48" i="4"/>
  <c r="BX48" i="4"/>
  <c r="BW48" i="4"/>
  <c r="BV48" i="4"/>
  <c r="BU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CG47" i="4"/>
  <c r="CF47" i="4"/>
  <c r="CE47" i="4"/>
  <c r="CD47" i="4"/>
  <c r="CC47" i="4"/>
  <c r="CB47" i="4"/>
  <c r="CA47" i="4"/>
  <c r="BZ47" i="4"/>
  <c r="BY47" i="4"/>
  <c r="BX47" i="4"/>
  <c r="BW47" i="4"/>
  <c r="BV47" i="4"/>
  <c r="BU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CG46" i="4"/>
  <c r="CF46" i="4"/>
  <c r="CE46" i="4"/>
  <c r="CD46" i="4"/>
  <c r="CC46" i="4"/>
  <c r="CB46" i="4"/>
  <c r="CA46" i="4"/>
  <c r="BZ46" i="4"/>
  <c r="BY46" i="4"/>
  <c r="BX46" i="4"/>
  <c r="BW46" i="4"/>
  <c r="BV46" i="4"/>
  <c r="BU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CG45" i="4"/>
  <c r="CF45" i="4"/>
  <c r="CE45" i="4"/>
  <c r="CD45" i="4"/>
  <c r="CC45" i="4"/>
  <c r="CB45" i="4"/>
  <c r="CA45" i="4"/>
  <c r="BZ45" i="4"/>
  <c r="BY45" i="4"/>
  <c r="BX45" i="4"/>
  <c r="BW45" i="4"/>
  <c r="BV45" i="4"/>
  <c r="BU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CG44" i="4"/>
  <c r="CF44" i="4"/>
  <c r="CE44" i="4"/>
  <c r="CD44" i="4"/>
  <c r="CC44" i="4"/>
  <c r="CB44" i="4"/>
  <c r="CA44" i="4"/>
  <c r="BZ44" i="4"/>
  <c r="BY44" i="4"/>
  <c r="BX44" i="4"/>
  <c r="BW44" i="4"/>
  <c r="BV44" i="4"/>
  <c r="BU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CG43" i="4"/>
  <c r="CF43" i="4"/>
  <c r="CE43" i="4"/>
  <c r="CD43" i="4"/>
  <c r="CC43" i="4"/>
  <c r="CB43" i="4"/>
  <c r="CA43" i="4"/>
  <c r="BZ43" i="4"/>
  <c r="BY43" i="4"/>
  <c r="BX43" i="4"/>
  <c r="BW43" i="4"/>
  <c r="BV43" i="4"/>
  <c r="BU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CG42" i="4"/>
  <c r="CF42" i="4"/>
  <c r="CE42" i="4"/>
  <c r="CD42" i="4"/>
  <c r="CC42" i="4"/>
  <c r="CB42" i="4"/>
  <c r="CA42" i="4"/>
  <c r="BZ42" i="4"/>
  <c r="BY42" i="4"/>
  <c r="BX42" i="4"/>
  <c r="BW42" i="4"/>
  <c r="BV42" i="4"/>
  <c r="BU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CG41" i="4"/>
  <c r="CF41" i="4"/>
  <c r="CE41" i="4"/>
  <c r="CD41" i="4"/>
  <c r="CC41" i="4"/>
  <c r="CB41" i="4"/>
  <c r="CA41" i="4"/>
  <c r="BZ41" i="4"/>
  <c r="BY41" i="4"/>
  <c r="BX41" i="4"/>
  <c r="BW41" i="4"/>
  <c r="BV41" i="4"/>
  <c r="BU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U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U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U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U37" i="4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U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U35" i="4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U34" i="4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U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U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U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U30" i="4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U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U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U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U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U25" i="4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U24" i="4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U23" i="4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U22" i="4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U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U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U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U17" i="4"/>
  <c r="BT17" i="4"/>
  <c r="BS17" i="4"/>
  <c r="BR17" i="4"/>
  <c r="BQ17" i="4"/>
  <c r="BP17" i="4"/>
  <c r="BO17" i="4"/>
  <c r="BN17" i="4"/>
  <c r="BM17" i="4"/>
  <c r="BL17" i="4"/>
  <c r="BK17" i="4"/>
  <c r="BJ17" i="4"/>
  <c r="BI17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U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U15" i="4"/>
  <c r="BT15" i="4"/>
  <c r="BS15" i="4"/>
  <c r="BR15" i="4"/>
  <c r="BQ15" i="4"/>
  <c r="BP15" i="4"/>
  <c r="BO15" i="4"/>
  <c r="BN15" i="4"/>
  <c r="BM15" i="4"/>
  <c r="BL15" i="4"/>
  <c r="BK15" i="4"/>
  <c r="BJ15" i="4"/>
  <c r="BI15" i="4"/>
  <c r="BH15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U14" i="4"/>
  <c r="BT14" i="4"/>
  <c r="BS14" i="4"/>
  <c r="BR14" i="4"/>
  <c r="BQ14" i="4"/>
  <c r="BP14" i="4"/>
  <c r="BO14" i="4"/>
  <c r="BN14" i="4"/>
  <c r="BM14" i="4"/>
  <c r="BL14" i="4"/>
  <c r="BK14" i="4"/>
  <c r="BJ14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U13" i="4"/>
  <c r="BT13" i="4"/>
  <c r="BS13" i="4"/>
  <c r="BR13" i="4"/>
  <c r="BQ13" i="4"/>
  <c r="BP13" i="4"/>
  <c r="BO13" i="4"/>
  <c r="BN13" i="4"/>
  <c r="BM13" i="4"/>
  <c r="BL13" i="4"/>
  <c r="BK13" i="4"/>
  <c r="BJ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U12" i="4"/>
  <c r="BT12" i="4"/>
  <c r="BS12" i="4"/>
  <c r="BR12" i="4"/>
  <c r="BQ12" i="4"/>
  <c r="BP12" i="4"/>
  <c r="BO12" i="4"/>
  <c r="BN12" i="4"/>
  <c r="BM12" i="4"/>
  <c r="BL12" i="4"/>
  <c r="BK12" i="4"/>
  <c r="BJ12" i="4"/>
  <c r="BI12" i="4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U11" i="4"/>
  <c r="BT11" i="4"/>
  <c r="BS11" i="4"/>
  <c r="BR11" i="4"/>
  <c r="BQ11" i="4"/>
  <c r="BP11" i="4"/>
  <c r="BO11" i="4"/>
  <c r="BN11" i="4"/>
  <c r="BM11" i="4"/>
  <c r="BL11" i="4"/>
  <c r="BK11" i="4"/>
  <c r="BJ11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CG10" i="4"/>
  <c r="CF10" i="4"/>
  <c r="CE10" i="4"/>
  <c r="CD10" i="4"/>
  <c r="CC10" i="4"/>
  <c r="CB10" i="4"/>
  <c r="CA10" i="4"/>
  <c r="BZ10" i="4"/>
  <c r="BY10" i="4"/>
  <c r="BX10" i="4"/>
  <c r="BW10" i="4"/>
  <c r="BV10" i="4"/>
  <c r="BU10" i="4"/>
  <c r="BT10" i="4"/>
  <c r="BS10" i="4"/>
  <c r="BR10" i="4"/>
  <c r="BQ10" i="4"/>
  <c r="BP10" i="4"/>
  <c r="BO10" i="4"/>
  <c r="BN10" i="4"/>
  <c r="BM10" i="4"/>
  <c r="BL10" i="4"/>
  <c r="BK10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CG9" i="4"/>
  <c r="CF9" i="4"/>
  <c r="CE9" i="4"/>
  <c r="CD9" i="4"/>
  <c r="CC9" i="4"/>
  <c r="CB9" i="4"/>
  <c r="CA9" i="4"/>
  <c r="BZ9" i="4"/>
  <c r="BY9" i="4"/>
  <c r="BX9" i="4"/>
  <c r="BW9" i="4"/>
  <c r="BV9" i="4"/>
  <c r="BU9" i="4"/>
  <c r="BT9" i="4"/>
  <c r="BS9" i="4"/>
  <c r="BR9" i="4"/>
  <c r="BQ9" i="4"/>
  <c r="BP9" i="4"/>
  <c r="BO9" i="4"/>
  <c r="BN9" i="4"/>
  <c r="BM9" i="4"/>
  <c r="BL9" i="4"/>
  <c r="BK9" i="4"/>
  <c r="BJ9" i="4"/>
  <c r="BI9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CG8" i="4"/>
  <c r="CF8" i="4"/>
  <c r="CE8" i="4"/>
  <c r="CD8" i="4"/>
  <c r="CC8" i="4"/>
  <c r="CB8" i="4"/>
  <c r="CA8" i="4"/>
  <c r="BZ8" i="4"/>
  <c r="BY8" i="4"/>
  <c r="BX8" i="4"/>
  <c r="BW8" i="4"/>
  <c r="BV8" i="4"/>
  <c r="BU8" i="4"/>
  <c r="BT8" i="4"/>
  <c r="BS8" i="4"/>
  <c r="BR8" i="4"/>
  <c r="BQ8" i="4"/>
  <c r="BP8" i="4"/>
  <c r="BO8" i="4"/>
  <c r="BN8" i="4"/>
  <c r="BM8" i="4"/>
  <c r="BL8" i="4"/>
  <c r="BK8" i="4"/>
  <c r="BJ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CG7" i="4"/>
  <c r="CF7" i="4"/>
  <c r="CE7" i="4"/>
  <c r="CD7" i="4"/>
  <c r="CC7" i="4"/>
  <c r="CB7" i="4"/>
  <c r="CA7" i="4"/>
  <c r="BZ7" i="4"/>
  <c r="BY7" i="4"/>
  <c r="BX7" i="4"/>
  <c r="BW7" i="4"/>
  <c r="BV7" i="4"/>
  <c r="BU7" i="4"/>
  <c r="BT7" i="4"/>
  <c r="BS7" i="4"/>
  <c r="BR7" i="4"/>
  <c r="BQ7" i="4"/>
  <c r="BP7" i="4"/>
  <c r="BO7" i="4"/>
  <c r="BN7" i="4"/>
  <c r="BM7" i="4"/>
  <c r="BL7" i="4"/>
  <c r="BK7" i="4"/>
  <c r="BJ7" i="4"/>
  <c r="BI7" i="4"/>
  <c r="BH7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  <c r="CG6" i="4"/>
  <c r="CF6" i="4"/>
  <c r="CE6" i="4"/>
  <c r="CD6" i="4"/>
  <c r="CC6" i="4"/>
  <c r="CB6" i="4"/>
  <c r="CA6" i="4"/>
  <c r="BZ6" i="4"/>
  <c r="BY6" i="4"/>
  <c r="BX6" i="4"/>
  <c r="BW6" i="4"/>
  <c r="BV6" i="4"/>
  <c r="BU6" i="4"/>
  <c r="BT6" i="4"/>
  <c r="BS6" i="4"/>
  <c r="BR6" i="4"/>
  <c r="BQ6" i="4"/>
  <c r="BP6" i="4"/>
  <c r="BO6" i="4"/>
  <c r="BN6" i="4"/>
  <c r="BM6" i="4"/>
  <c r="BL6" i="4"/>
  <c r="BK6" i="4"/>
  <c r="BJ6" i="4"/>
  <c r="BI6" i="4"/>
  <c r="BH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CG5" i="4"/>
  <c r="CF5" i="4"/>
  <c r="CE5" i="4"/>
  <c r="CD5" i="4"/>
  <c r="CC5" i="4"/>
  <c r="CB5" i="4"/>
  <c r="CA5" i="4"/>
  <c r="BZ5" i="4"/>
  <c r="BY5" i="4"/>
  <c r="BX5" i="4"/>
  <c r="BW5" i="4"/>
  <c r="BV5" i="4"/>
  <c r="BU5" i="4"/>
  <c r="BT5" i="4"/>
  <c r="BS5" i="4"/>
  <c r="BR5" i="4"/>
  <c r="BQ5" i="4"/>
  <c r="BP5" i="4"/>
  <c r="BO5" i="4"/>
  <c r="BN5" i="4"/>
  <c r="BM5" i="4"/>
  <c r="BL5" i="4"/>
  <c r="BK5" i="4"/>
  <c r="BJ5" i="4"/>
  <c r="BI5" i="4"/>
  <c r="BH5" i="4"/>
  <c r="BG5" i="4"/>
  <c r="BF5" i="4"/>
  <c r="BE5" i="4"/>
  <c r="BD5" i="4"/>
  <c r="BC5" i="4"/>
  <c r="BB5" i="4"/>
  <c r="BA5" i="4"/>
  <c r="AZ5" i="4"/>
  <c r="AY5" i="4"/>
  <c r="AX5" i="4"/>
  <c r="AW5" i="4"/>
  <c r="AV5" i="4"/>
  <c r="AU5" i="4"/>
  <c r="AT5" i="4"/>
  <c r="CG4" i="4"/>
  <c r="CF4" i="4"/>
  <c r="CE4" i="4"/>
  <c r="CD4" i="4"/>
  <c r="CC4" i="4"/>
  <c r="CB4" i="4"/>
  <c r="CA4" i="4"/>
  <c r="BZ4" i="4"/>
  <c r="BY4" i="4"/>
  <c r="BX4" i="4"/>
  <c r="BW4" i="4"/>
  <c r="BV4" i="4"/>
  <c r="BU4" i="4"/>
  <c r="BT4" i="4"/>
  <c r="BS4" i="4"/>
  <c r="BR4" i="4"/>
  <c r="BQ4" i="4"/>
  <c r="BP4" i="4"/>
  <c r="BO4" i="4"/>
  <c r="BN4" i="4"/>
  <c r="BM4" i="4"/>
  <c r="BL4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CG3" i="4"/>
  <c r="CF3" i="4"/>
  <c r="CE3" i="4"/>
  <c r="CD3" i="4"/>
  <c r="CC3" i="4"/>
  <c r="CB3" i="4"/>
  <c r="CA3" i="4"/>
  <c r="BZ3" i="4"/>
  <c r="BY3" i="4"/>
  <c r="BX3" i="4"/>
  <c r="BW3" i="4"/>
  <c r="BV3" i="4"/>
  <c r="BU3" i="4"/>
  <c r="BT3" i="4"/>
  <c r="BS3" i="4"/>
  <c r="BR3" i="4"/>
  <c r="BQ3" i="4"/>
  <c r="BP3" i="4"/>
  <c r="BO3" i="4"/>
  <c r="BN3" i="4"/>
  <c r="BM3" i="4"/>
  <c r="BL3" i="4"/>
  <c r="BK3" i="4"/>
  <c r="BJ3" i="4"/>
  <c r="BI3" i="4"/>
  <c r="BH3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CG2" i="4"/>
  <c r="CF2" i="4"/>
  <c r="CE2" i="4"/>
  <c r="CD2" i="4"/>
  <c r="CC2" i="4"/>
  <c r="CB2" i="4"/>
  <c r="CA2" i="4"/>
  <c r="BZ2" i="4"/>
  <c r="BY2" i="4"/>
  <c r="BX2" i="4"/>
  <c r="BW2" i="4"/>
  <c r="BV2" i="4"/>
  <c r="BU2" i="4"/>
  <c r="BT2" i="4"/>
  <c r="BS2" i="4"/>
  <c r="BR2" i="4"/>
  <c r="BQ2" i="4"/>
  <c r="BP2" i="4"/>
  <c r="BO2" i="4"/>
  <c r="BN2" i="4"/>
  <c r="BM2" i="4"/>
  <c r="BL2" i="4"/>
  <c r="BK2" i="4"/>
  <c r="BJ2" i="4"/>
  <c r="BI2" i="4"/>
  <c r="BH2" i="4"/>
  <c r="BG2" i="4"/>
  <c r="BF2" i="4"/>
  <c r="BE2" i="4"/>
  <c r="BD2" i="4"/>
  <c r="BC2" i="4"/>
  <c r="BB2" i="4"/>
  <c r="BA2" i="4"/>
  <c r="AZ2" i="4"/>
  <c r="AY2" i="4"/>
  <c r="AX2" i="4"/>
  <c r="AW2" i="4"/>
  <c r="AV2" i="4"/>
  <c r="AU2" i="4"/>
  <c r="AT2" i="4"/>
  <c r="A3" i="5"/>
  <c r="B3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4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5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6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7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8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9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10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11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12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13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14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15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16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17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18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19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20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21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22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23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24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25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26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27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28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29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30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31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32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33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34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35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36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37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38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39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40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41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42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43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44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45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46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47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48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49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50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51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52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53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54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55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56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57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58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59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60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61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62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63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64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65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B2" i="5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2" i="5"/>
  <c r="AN1" i="5"/>
  <c r="B1" i="5"/>
  <c r="C1" i="5"/>
  <c r="D1" i="5"/>
  <c r="E1" i="5"/>
  <c r="F1" i="5"/>
  <c r="G1" i="5"/>
  <c r="H1" i="5"/>
  <c r="I1" i="5"/>
  <c r="J1" i="5"/>
  <c r="K1" i="5"/>
  <c r="L1" i="5"/>
  <c r="M1" i="5"/>
  <c r="N1" i="5"/>
  <c r="O1" i="5"/>
  <c r="P1" i="5"/>
  <c r="Q1" i="5"/>
  <c r="R1" i="5"/>
  <c r="S1" i="5"/>
  <c r="T1" i="5"/>
  <c r="U1" i="5"/>
  <c r="V1" i="5"/>
  <c r="W1" i="5"/>
  <c r="X1" i="5"/>
  <c r="Y1" i="5"/>
  <c r="Z1" i="5"/>
  <c r="AA1" i="5"/>
  <c r="AB1" i="5"/>
  <c r="AC1" i="5"/>
  <c r="AD1" i="5"/>
  <c r="AE1" i="5"/>
  <c r="AF1" i="5"/>
  <c r="AG1" i="5"/>
  <c r="AH1" i="5"/>
  <c r="AI1" i="5"/>
  <c r="AJ1" i="5"/>
  <c r="AK1" i="5"/>
  <c r="AL1" i="5"/>
  <c r="AM1" i="5"/>
  <c r="A1" i="5"/>
  <c r="AS3" i="4"/>
  <c r="AS4" i="4"/>
  <c r="AS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41" i="4"/>
  <c r="AS42" i="4"/>
  <c r="AS43" i="4"/>
  <c r="AS44" i="4"/>
  <c r="AS45" i="4"/>
  <c r="AS46" i="4"/>
  <c r="AS47" i="4"/>
  <c r="AS48" i="4"/>
  <c r="AS49" i="4"/>
  <c r="AS50" i="4"/>
  <c r="AS51" i="4"/>
  <c r="AS52" i="4"/>
  <c r="AS53" i="4"/>
  <c r="AS54" i="4"/>
  <c r="AS55" i="4"/>
  <c r="AS56" i="4"/>
  <c r="AS57" i="4"/>
  <c r="AS58" i="4"/>
  <c r="AS59" i="4"/>
  <c r="AS60" i="4"/>
  <c r="AS61" i="4"/>
  <c r="AS62" i="4"/>
  <c r="AS63" i="4"/>
  <c r="AS64" i="4"/>
  <c r="AS65" i="4"/>
  <c r="AS2" i="4"/>
  <c r="C482" i="2" l="1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482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G3" i="2"/>
  <c r="H3" i="2" s="1"/>
  <c r="G4" i="2"/>
  <c r="H4" i="2" s="1"/>
  <c r="G5" i="2"/>
  <c r="H5" i="2" s="1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G57" i="2"/>
  <c r="H57" i="2" s="1"/>
  <c r="G58" i="2"/>
  <c r="H58" i="2" s="1"/>
  <c r="G59" i="2"/>
  <c r="H59" i="2" s="1"/>
  <c r="G60" i="2"/>
  <c r="H60" i="2" s="1"/>
  <c r="G61" i="2"/>
  <c r="H61" i="2" s="1"/>
  <c r="G62" i="2"/>
  <c r="H62" i="2" s="1"/>
  <c r="G63" i="2"/>
  <c r="H63" i="2" s="1"/>
  <c r="G64" i="2"/>
  <c r="H64" i="2" s="1"/>
  <c r="G65" i="2"/>
  <c r="H65" i="2" s="1"/>
  <c r="G66" i="2"/>
  <c r="H66" i="2" s="1"/>
  <c r="G67" i="2"/>
  <c r="H67" i="2" s="1"/>
  <c r="G68" i="2"/>
  <c r="H68" i="2" s="1"/>
  <c r="G69" i="2"/>
  <c r="H69" i="2" s="1"/>
  <c r="G70" i="2"/>
  <c r="H70" i="2" s="1"/>
  <c r="G71" i="2"/>
  <c r="H71" i="2" s="1"/>
  <c r="G72" i="2"/>
  <c r="H72" i="2" s="1"/>
  <c r="G73" i="2"/>
  <c r="H73" i="2" s="1"/>
  <c r="G74" i="2"/>
  <c r="H74" i="2" s="1"/>
  <c r="G75" i="2"/>
  <c r="H75" i="2" s="1"/>
  <c r="G76" i="2"/>
  <c r="H76" i="2" s="1"/>
  <c r="G77" i="2"/>
  <c r="H77" i="2" s="1"/>
  <c r="G78" i="2"/>
  <c r="H78" i="2" s="1"/>
  <c r="G79" i="2"/>
  <c r="H79" i="2" s="1"/>
  <c r="G80" i="2"/>
  <c r="H80" i="2" s="1"/>
  <c r="G81" i="2"/>
  <c r="H81" i="2" s="1"/>
  <c r="G82" i="2"/>
  <c r="H82" i="2" s="1"/>
  <c r="G83" i="2"/>
  <c r="H83" i="2" s="1"/>
  <c r="G84" i="2"/>
  <c r="H84" i="2" s="1"/>
  <c r="G85" i="2"/>
  <c r="H85" i="2" s="1"/>
  <c r="G86" i="2"/>
  <c r="H86" i="2" s="1"/>
  <c r="G87" i="2"/>
  <c r="H87" i="2" s="1"/>
  <c r="G88" i="2"/>
  <c r="H88" i="2" s="1"/>
  <c r="G89" i="2"/>
  <c r="H89" i="2" s="1"/>
  <c r="G90" i="2"/>
  <c r="H90" i="2" s="1"/>
  <c r="G91" i="2"/>
  <c r="H91" i="2" s="1"/>
  <c r="G92" i="2"/>
  <c r="H92" i="2" s="1"/>
  <c r="G93" i="2"/>
  <c r="H93" i="2" s="1"/>
  <c r="G94" i="2"/>
  <c r="H94" i="2" s="1"/>
  <c r="G95" i="2"/>
  <c r="H95" i="2" s="1"/>
  <c r="G96" i="2"/>
  <c r="H96" i="2" s="1"/>
  <c r="G97" i="2"/>
  <c r="H97" i="2" s="1"/>
  <c r="G98" i="2"/>
  <c r="H98" i="2" s="1"/>
  <c r="G99" i="2"/>
  <c r="H99" i="2" s="1"/>
  <c r="G100" i="2"/>
  <c r="H100" i="2" s="1"/>
  <c r="G101" i="2"/>
  <c r="H101" i="2" s="1"/>
  <c r="G102" i="2"/>
  <c r="H102" i="2" s="1"/>
  <c r="G103" i="2"/>
  <c r="H103" i="2" s="1"/>
  <c r="G104" i="2"/>
  <c r="H104" i="2" s="1"/>
  <c r="G105" i="2"/>
  <c r="H105" i="2" s="1"/>
  <c r="G106" i="2"/>
  <c r="H106" i="2" s="1"/>
  <c r="G107" i="2"/>
  <c r="H107" i="2" s="1"/>
  <c r="G108" i="2"/>
  <c r="H108" i="2" s="1"/>
  <c r="G109" i="2"/>
  <c r="H109" i="2" s="1"/>
  <c r="G110" i="2"/>
  <c r="H110" i="2" s="1"/>
  <c r="G111" i="2"/>
  <c r="H111" i="2" s="1"/>
  <c r="G112" i="2"/>
  <c r="H112" i="2" s="1"/>
  <c r="G113" i="2"/>
  <c r="H113" i="2" s="1"/>
  <c r="G114" i="2"/>
  <c r="H114" i="2" s="1"/>
  <c r="G115" i="2"/>
  <c r="H115" i="2" s="1"/>
  <c r="G116" i="2"/>
  <c r="H116" i="2" s="1"/>
  <c r="G117" i="2"/>
  <c r="H117" i="2" s="1"/>
  <c r="G118" i="2"/>
  <c r="H118" i="2" s="1"/>
  <c r="G119" i="2"/>
  <c r="H119" i="2" s="1"/>
  <c r="G120" i="2"/>
  <c r="H120" i="2" s="1"/>
  <c r="G121" i="2"/>
  <c r="H121" i="2" s="1"/>
  <c r="G122" i="2"/>
  <c r="H122" i="2" s="1"/>
  <c r="G123" i="2"/>
  <c r="H123" i="2" s="1"/>
  <c r="G124" i="2"/>
  <c r="H124" i="2" s="1"/>
  <c r="G125" i="2"/>
  <c r="H125" i="2" s="1"/>
  <c r="G126" i="2"/>
  <c r="H126" i="2" s="1"/>
  <c r="G127" i="2"/>
  <c r="H127" i="2" s="1"/>
  <c r="G128" i="2"/>
  <c r="H128" i="2" s="1"/>
  <c r="G129" i="2"/>
  <c r="H129" i="2" s="1"/>
  <c r="G130" i="2"/>
  <c r="H130" i="2" s="1"/>
  <c r="G131" i="2"/>
  <c r="H131" i="2" s="1"/>
  <c r="G132" i="2"/>
  <c r="H132" i="2" s="1"/>
  <c r="G133" i="2"/>
  <c r="H133" i="2" s="1"/>
  <c r="G134" i="2"/>
  <c r="H134" i="2" s="1"/>
  <c r="G135" i="2"/>
  <c r="H135" i="2" s="1"/>
  <c r="G136" i="2"/>
  <c r="H136" i="2" s="1"/>
  <c r="G137" i="2"/>
  <c r="H137" i="2" s="1"/>
  <c r="G138" i="2"/>
  <c r="H138" i="2" s="1"/>
  <c r="G139" i="2"/>
  <c r="H139" i="2" s="1"/>
  <c r="G140" i="2"/>
  <c r="H140" i="2" s="1"/>
  <c r="G141" i="2"/>
  <c r="H141" i="2" s="1"/>
  <c r="G142" i="2"/>
  <c r="H142" i="2" s="1"/>
  <c r="G143" i="2"/>
  <c r="H143" i="2" s="1"/>
  <c r="G144" i="2"/>
  <c r="H144" i="2" s="1"/>
  <c r="G145" i="2"/>
  <c r="H145" i="2" s="1"/>
  <c r="G146" i="2"/>
  <c r="H146" i="2" s="1"/>
  <c r="G147" i="2"/>
  <c r="H147" i="2" s="1"/>
  <c r="G148" i="2"/>
  <c r="H148" i="2" s="1"/>
  <c r="G149" i="2"/>
  <c r="H149" i="2" s="1"/>
  <c r="G150" i="2"/>
  <c r="H150" i="2" s="1"/>
  <c r="G151" i="2"/>
  <c r="H151" i="2" s="1"/>
  <c r="G152" i="2"/>
  <c r="H152" i="2" s="1"/>
  <c r="G153" i="2"/>
  <c r="H153" i="2" s="1"/>
  <c r="G154" i="2"/>
  <c r="H154" i="2" s="1"/>
  <c r="G155" i="2"/>
  <c r="H155" i="2" s="1"/>
  <c r="G156" i="2"/>
  <c r="H156" i="2" s="1"/>
  <c r="G157" i="2"/>
  <c r="H157" i="2" s="1"/>
  <c r="G158" i="2"/>
  <c r="H158" i="2" s="1"/>
  <c r="G159" i="2"/>
  <c r="H159" i="2" s="1"/>
  <c r="G160" i="2"/>
  <c r="H160" i="2" s="1"/>
  <c r="G161" i="2"/>
  <c r="H161" i="2" s="1"/>
  <c r="G162" i="2"/>
  <c r="H162" i="2" s="1"/>
  <c r="G163" i="2"/>
  <c r="H163" i="2" s="1"/>
  <c r="G164" i="2"/>
  <c r="H164" i="2" s="1"/>
  <c r="G165" i="2"/>
  <c r="H165" i="2" s="1"/>
  <c r="G166" i="2"/>
  <c r="H166" i="2" s="1"/>
  <c r="G167" i="2"/>
  <c r="H167" i="2" s="1"/>
  <c r="G168" i="2"/>
  <c r="H168" i="2" s="1"/>
  <c r="G169" i="2"/>
  <c r="H169" i="2" s="1"/>
  <c r="G170" i="2"/>
  <c r="H170" i="2" s="1"/>
  <c r="G171" i="2"/>
  <c r="H171" i="2" s="1"/>
  <c r="G172" i="2"/>
  <c r="H172" i="2" s="1"/>
  <c r="G173" i="2"/>
  <c r="H173" i="2" s="1"/>
  <c r="G174" i="2"/>
  <c r="H174" i="2" s="1"/>
  <c r="G175" i="2"/>
  <c r="H175" i="2" s="1"/>
  <c r="G176" i="2"/>
  <c r="H176" i="2" s="1"/>
  <c r="G177" i="2"/>
  <c r="H177" i="2" s="1"/>
  <c r="G178" i="2"/>
  <c r="H178" i="2" s="1"/>
  <c r="G179" i="2"/>
  <c r="H179" i="2" s="1"/>
  <c r="G180" i="2"/>
  <c r="H180" i="2" s="1"/>
  <c r="G181" i="2"/>
  <c r="H181" i="2" s="1"/>
  <c r="G182" i="2"/>
  <c r="H182" i="2" s="1"/>
  <c r="G183" i="2"/>
  <c r="H183" i="2" s="1"/>
  <c r="G184" i="2"/>
  <c r="H184" i="2" s="1"/>
  <c r="G185" i="2"/>
  <c r="H185" i="2" s="1"/>
  <c r="G186" i="2"/>
  <c r="H186" i="2" s="1"/>
  <c r="G187" i="2"/>
  <c r="H187" i="2" s="1"/>
  <c r="G188" i="2"/>
  <c r="H188" i="2" s="1"/>
  <c r="G189" i="2"/>
  <c r="H189" i="2" s="1"/>
  <c r="G190" i="2"/>
  <c r="H190" i="2" s="1"/>
  <c r="G191" i="2"/>
  <c r="H191" i="2" s="1"/>
  <c r="G192" i="2"/>
  <c r="H192" i="2" s="1"/>
  <c r="G193" i="2"/>
  <c r="H193" i="2" s="1"/>
  <c r="G194" i="2"/>
  <c r="H194" i="2" s="1"/>
  <c r="G195" i="2"/>
  <c r="H195" i="2" s="1"/>
  <c r="G196" i="2"/>
  <c r="H196" i="2" s="1"/>
  <c r="G197" i="2"/>
  <c r="H197" i="2" s="1"/>
  <c r="G198" i="2"/>
  <c r="H198" i="2" s="1"/>
  <c r="G199" i="2"/>
  <c r="H199" i="2" s="1"/>
  <c r="G200" i="2"/>
  <c r="H200" i="2" s="1"/>
  <c r="G201" i="2"/>
  <c r="H201" i="2" s="1"/>
  <c r="G202" i="2"/>
  <c r="H202" i="2" s="1"/>
  <c r="G203" i="2"/>
  <c r="H203" i="2" s="1"/>
  <c r="G204" i="2"/>
  <c r="H204" i="2" s="1"/>
  <c r="G205" i="2"/>
  <c r="H205" i="2" s="1"/>
  <c r="G206" i="2"/>
  <c r="H206" i="2" s="1"/>
  <c r="G207" i="2"/>
  <c r="H207" i="2" s="1"/>
  <c r="G208" i="2"/>
  <c r="H208" i="2" s="1"/>
  <c r="G209" i="2"/>
  <c r="H209" i="2" s="1"/>
  <c r="G210" i="2"/>
  <c r="H210" i="2" s="1"/>
  <c r="G211" i="2"/>
  <c r="H211" i="2" s="1"/>
  <c r="G212" i="2"/>
  <c r="H212" i="2" s="1"/>
  <c r="G213" i="2"/>
  <c r="H213" i="2" s="1"/>
  <c r="G214" i="2"/>
  <c r="H214" i="2" s="1"/>
  <c r="G215" i="2"/>
  <c r="H215" i="2" s="1"/>
  <c r="G216" i="2"/>
  <c r="H216" i="2" s="1"/>
  <c r="G217" i="2"/>
  <c r="H217" i="2" s="1"/>
  <c r="G218" i="2"/>
  <c r="H218" i="2" s="1"/>
  <c r="G219" i="2"/>
  <c r="H219" i="2" s="1"/>
  <c r="G220" i="2"/>
  <c r="H220" i="2" s="1"/>
  <c r="G221" i="2"/>
  <c r="H221" i="2" s="1"/>
  <c r="G222" i="2"/>
  <c r="H222" i="2" s="1"/>
  <c r="G223" i="2"/>
  <c r="H223" i="2" s="1"/>
  <c r="G224" i="2"/>
  <c r="H224" i="2" s="1"/>
  <c r="G225" i="2"/>
  <c r="H225" i="2" s="1"/>
  <c r="G226" i="2"/>
  <c r="H226" i="2" s="1"/>
  <c r="G227" i="2"/>
  <c r="H227" i="2" s="1"/>
  <c r="G228" i="2"/>
  <c r="H228" i="2" s="1"/>
  <c r="G229" i="2"/>
  <c r="H229" i="2" s="1"/>
  <c r="G230" i="2"/>
  <c r="H230" i="2" s="1"/>
  <c r="G231" i="2"/>
  <c r="H231" i="2" s="1"/>
  <c r="G232" i="2"/>
  <c r="H232" i="2" s="1"/>
  <c r="G233" i="2"/>
  <c r="H233" i="2" s="1"/>
  <c r="G234" i="2"/>
  <c r="H234" i="2" s="1"/>
  <c r="G235" i="2"/>
  <c r="H235" i="2" s="1"/>
  <c r="G236" i="2"/>
  <c r="H236" i="2" s="1"/>
  <c r="G237" i="2"/>
  <c r="H237" i="2" s="1"/>
  <c r="G238" i="2"/>
  <c r="H238" i="2" s="1"/>
  <c r="G239" i="2"/>
  <c r="H239" i="2" s="1"/>
  <c r="G240" i="2"/>
  <c r="H240" i="2" s="1"/>
  <c r="G241" i="2"/>
  <c r="H241" i="2" s="1"/>
  <c r="G242" i="2"/>
  <c r="H242" i="2" s="1"/>
  <c r="G243" i="2"/>
  <c r="H243" i="2" s="1"/>
  <c r="G244" i="2"/>
  <c r="H244" i="2" s="1"/>
  <c r="G245" i="2"/>
  <c r="H245" i="2" s="1"/>
  <c r="G246" i="2"/>
  <c r="H246" i="2" s="1"/>
  <c r="G247" i="2"/>
  <c r="H247" i="2" s="1"/>
  <c r="G248" i="2"/>
  <c r="H248" i="2" s="1"/>
  <c r="G249" i="2"/>
  <c r="H249" i="2" s="1"/>
  <c r="G250" i="2"/>
  <c r="H250" i="2" s="1"/>
  <c r="G251" i="2"/>
  <c r="H251" i="2" s="1"/>
  <c r="G252" i="2"/>
  <c r="H252" i="2" s="1"/>
  <c r="G253" i="2"/>
  <c r="H253" i="2" s="1"/>
  <c r="G254" i="2"/>
  <c r="H254" i="2" s="1"/>
  <c r="G255" i="2"/>
  <c r="H255" i="2" s="1"/>
  <c r="G256" i="2"/>
  <c r="H256" i="2" s="1"/>
  <c r="G257" i="2"/>
  <c r="H257" i="2" s="1"/>
  <c r="G258" i="2"/>
  <c r="H258" i="2" s="1"/>
  <c r="G259" i="2"/>
  <c r="H259" i="2" s="1"/>
  <c r="G260" i="2"/>
  <c r="H260" i="2" s="1"/>
  <c r="G261" i="2"/>
  <c r="H261" i="2" s="1"/>
  <c r="G262" i="2"/>
  <c r="H262" i="2" s="1"/>
  <c r="G263" i="2"/>
  <c r="H263" i="2" s="1"/>
  <c r="G264" i="2"/>
  <c r="H264" i="2" s="1"/>
  <c r="G265" i="2"/>
  <c r="H265" i="2" s="1"/>
  <c r="G266" i="2"/>
  <c r="H266" i="2" s="1"/>
  <c r="G267" i="2"/>
  <c r="H267" i="2" s="1"/>
  <c r="G268" i="2"/>
  <c r="H268" i="2" s="1"/>
  <c r="G269" i="2"/>
  <c r="H269" i="2" s="1"/>
  <c r="G270" i="2"/>
  <c r="H270" i="2" s="1"/>
  <c r="G271" i="2"/>
  <c r="H271" i="2" s="1"/>
  <c r="G272" i="2"/>
  <c r="H272" i="2" s="1"/>
  <c r="G273" i="2"/>
  <c r="H273" i="2" s="1"/>
  <c r="G274" i="2"/>
  <c r="H274" i="2" s="1"/>
  <c r="G275" i="2"/>
  <c r="H275" i="2" s="1"/>
  <c r="G276" i="2"/>
  <c r="H276" i="2" s="1"/>
  <c r="G277" i="2"/>
  <c r="H277" i="2" s="1"/>
  <c r="G278" i="2"/>
  <c r="H278" i="2" s="1"/>
  <c r="G279" i="2"/>
  <c r="H279" i="2" s="1"/>
  <c r="G280" i="2"/>
  <c r="H280" i="2" s="1"/>
  <c r="G281" i="2"/>
  <c r="H281" i="2" s="1"/>
  <c r="G282" i="2"/>
  <c r="H282" i="2" s="1"/>
  <c r="G283" i="2"/>
  <c r="H283" i="2" s="1"/>
  <c r="G284" i="2"/>
  <c r="H284" i="2" s="1"/>
  <c r="G285" i="2"/>
  <c r="H285" i="2" s="1"/>
  <c r="G286" i="2"/>
  <c r="H286" i="2" s="1"/>
  <c r="G287" i="2"/>
  <c r="H287" i="2" s="1"/>
  <c r="G288" i="2"/>
  <c r="H288" i="2" s="1"/>
  <c r="G289" i="2"/>
  <c r="H289" i="2" s="1"/>
  <c r="G290" i="2"/>
  <c r="H290" i="2" s="1"/>
  <c r="G291" i="2"/>
  <c r="H291" i="2" s="1"/>
  <c r="G292" i="2"/>
  <c r="H292" i="2" s="1"/>
  <c r="G293" i="2"/>
  <c r="H293" i="2" s="1"/>
  <c r="G294" i="2"/>
  <c r="H294" i="2" s="1"/>
  <c r="G295" i="2"/>
  <c r="H295" i="2" s="1"/>
  <c r="G296" i="2"/>
  <c r="H296" i="2" s="1"/>
  <c r="G297" i="2"/>
  <c r="H297" i="2" s="1"/>
  <c r="G298" i="2"/>
  <c r="H298" i="2" s="1"/>
  <c r="G299" i="2"/>
  <c r="H299" i="2" s="1"/>
  <c r="G300" i="2"/>
  <c r="H300" i="2" s="1"/>
  <c r="G301" i="2"/>
  <c r="H301" i="2" s="1"/>
  <c r="G302" i="2"/>
  <c r="H302" i="2" s="1"/>
  <c r="G303" i="2"/>
  <c r="H303" i="2" s="1"/>
  <c r="G304" i="2"/>
  <c r="H304" i="2" s="1"/>
  <c r="G305" i="2"/>
  <c r="H305" i="2" s="1"/>
  <c r="G306" i="2"/>
  <c r="H306" i="2" s="1"/>
  <c r="G307" i="2"/>
  <c r="H307" i="2" s="1"/>
  <c r="G308" i="2"/>
  <c r="H308" i="2" s="1"/>
  <c r="G309" i="2"/>
  <c r="H309" i="2" s="1"/>
  <c r="G310" i="2"/>
  <c r="H310" i="2" s="1"/>
  <c r="G311" i="2"/>
  <c r="H311" i="2" s="1"/>
  <c r="G312" i="2"/>
  <c r="H312" i="2" s="1"/>
  <c r="G313" i="2"/>
  <c r="H313" i="2" s="1"/>
  <c r="G314" i="2"/>
  <c r="H314" i="2" s="1"/>
  <c r="G315" i="2"/>
  <c r="H315" i="2" s="1"/>
  <c r="G316" i="2"/>
  <c r="H316" i="2" s="1"/>
  <c r="G317" i="2"/>
  <c r="H317" i="2" s="1"/>
  <c r="G318" i="2"/>
  <c r="H318" i="2" s="1"/>
  <c r="G319" i="2"/>
  <c r="H319" i="2" s="1"/>
  <c r="G320" i="2"/>
  <c r="H320" i="2" s="1"/>
  <c r="G321" i="2"/>
  <c r="H321" i="2" s="1"/>
  <c r="G322" i="2"/>
  <c r="H322" i="2" s="1"/>
  <c r="G323" i="2"/>
  <c r="H323" i="2" s="1"/>
  <c r="G324" i="2"/>
  <c r="H324" i="2" s="1"/>
  <c r="G325" i="2"/>
  <c r="H325" i="2" s="1"/>
  <c r="G326" i="2"/>
  <c r="H326" i="2" s="1"/>
  <c r="G327" i="2"/>
  <c r="H327" i="2" s="1"/>
  <c r="G328" i="2"/>
  <c r="H328" i="2" s="1"/>
  <c r="G329" i="2"/>
  <c r="H329" i="2" s="1"/>
  <c r="G330" i="2"/>
  <c r="H330" i="2" s="1"/>
  <c r="G331" i="2"/>
  <c r="H331" i="2" s="1"/>
  <c r="G332" i="2"/>
  <c r="H332" i="2" s="1"/>
  <c r="G333" i="2"/>
  <c r="H333" i="2" s="1"/>
  <c r="G334" i="2"/>
  <c r="H334" i="2" s="1"/>
  <c r="G335" i="2"/>
  <c r="H335" i="2" s="1"/>
  <c r="G336" i="2"/>
  <c r="H336" i="2" s="1"/>
  <c r="G337" i="2"/>
  <c r="H337" i="2" s="1"/>
  <c r="G338" i="2"/>
  <c r="H338" i="2" s="1"/>
  <c r="G339" i="2"/>
  <c r="H339" i="2" s="1"/>
  <c r="G340" i="2"/>
  <c r="H340" i="2" s="1"/>
  <c r="G341" i="2"/>
  <c r="H341" i="2" s="1"/>
  <c r="G342" i="2"/>
  <c r="H342" i="2" s="1"/>
  <c r="G343" i="2"/>
  <c r="H343" i="2" s="1"/>
  <c r="G344" i="2"/>
  <c r="H344" i="2" s="1"/>
  <c r="G345" i="2"/>
  <c r="H345" i="2" s="1"/>
  <c r="G346" i="2"/>
  <c r="H346" i="2" s="1"/>
  <c r="G347" i="2"/>
  <c r="H347" i="2" s="1"/>
  <c r="G348" i="2"/>
  <c r="H348" i="2" s="1"/>
  <c r="G349" i="2"/>
  <c r="H349" i="2" s="1"/>
  <c r="G350" i="2"/>
  <c r="H350" i="2" s="1"/>
  <c r="G351" i="2"/>
  <c r="H351" i="2" s="1"/>
  <c r="G352" i="2"/>
  <c r="H352" i="2" s="1"/>
  <c r="G353" i="2"/>
  <c r="H353" i="2" s="1"/>
  <c r="G354" i="2"/>
  <c r="H354" i="2" s="1"/>
  <c r="G355" i="2"/>
  <c r="H355" i="2" s="1"/>
  <c r="G356" i="2"/>
  <c r="H356" i="2" s="1"/>
  <c r="G357" i="2"/>
  <c r="H357" i="2" s="1"/>
  <c r="G358" i="2"/>
  <c r="H358" i="2" s="1"/>
  <c r="G359" i="2"/>
  <c r="H359" i="2" s="1"/>
  <c r="G360" i="2"/>
  <c r="H360" i="2" s="1"/>
  <c r="G361" i="2"/>
  <c r="H361" i="2" s="1"/>
  <c r="G362" i="2"/>
  <c r="H362" i="2" s="1"/>
  <c r="G363" i="2"/>
  <c r="H363" i="2" s="1"/>
  <c r="G364" i="2"/>
  <c r="H364" i="2" s="1"/>
  <c r="G365" i="2"/>
  <c r="H365" i="2" s="1"/>
  <c r="G366" i="2"/>
  <c r="H366" i="2" s="1"/>
  <c r="G367" i="2"/>
  <c r="H367" i="2" s="1"/>
  <c r="G368" i="2"/>
  <c r="H368" i="2" s="1"/>
  <c r="G369" i="2"/>
  <c r="H369" i="2" s="1"/>
  <c r="G370" i="2"/>
  <c r="H370" i="2" s="1"/>
  <c r="G371" i="2"/>
  <c r="H371" i="2" s="1"/>
  <c r="G372" i="2"/>
  <c r="H372" i="2" s="1"/>
  <c r="G373" i="2"/>
  <c r="H373" i="2" s="1"/>
  <c r="G374" i="2"/>
  <c r="H374" i="2" s="1"/>
  <c r="G375" i="2"/>
  <c r="H375" i="2" s="1"/>
  <c r="G376" i="2"/>
  <c r="H376" i="2" s="1"/>
  <c r="G377" i="2"/>
  <c r="H377" i="2" s="1"/>
  <c r="G378" i="2"/>
  <c r="H378" i="2" s="1"/>
  <c r="G379" i="2"/>
  <c r="H379" i="2" s="1"/>
  <c r="G380" i="2"/>
  <c r="H380" i="2" s="1"/>
  <c r="G381" i="2"/>
  <c r="H381" i="2" s="1"/>
  <c r="G382" i="2"/>
  <c r="H382" i="2" s="1"/>
  <c r="G383" i="2"/>
  <c r="H383" i="2" s="1"/>
  <c r="G384" i="2"/>
  <c r="H384" i="2" s="1"/>
  <c r="G385" i="2"/>
  <c r="H385" i="2" s="1"/>
  <c r="G386" i="2"/>
  <c r="H386" i="2" s="1"/>
  <c r="G387" i="2"/>
  <c r="H387" i="2" s="1"/>
  <c r="G388" i="2"/>
  <c r="H388" i="2" s="1"/>
  <c r="G389" i="2"/>
  <c r="H389" i="2" s="1"/>
  <c r="G390" i="2"/>
  <c r="H390" i="2" s="1"/>
  <c r="G391" i="2"/>
  <c r="H391" i="2" s="1"/>
  <c r="G392" i="2"/>
  <c r="H392" i="2" s="1"/>
  <c r="G393" i="2"/>
  <c r="H393" i="2" s="1"/>
  <c r="G394" i="2"/>
  <c r="H394" i="2" s="1"/>
  <c r="G395" i="2"/>
  <c r="H395" i="2" s="1"/>
  <c r="G396" i="2"/>
  <c r="H396" i="2" s="1"/>
  <c r="G397" i="2"/>
  <c r="H397" i="2" s="1"/>
  <c r="G398" i="2"/>
  <c r="H398" i="2" s="1"/>
  <c r="G399" i="2"/>
  <c r="H399" i="2" s="1"/>
  <c r="G400" i="2"/>
  <c r="H400" i="2" s="1"/>
  <c r="G401" i="2"/>
  <c r="H401" i="2" s="1"/>
  <c r="G402" i="2"/>
  <c r="H402" i="2" s="1"/>
  <c r="G403" i="2"/>
  <c r="H403" i="2" s="1"/>
  <c r="G404" i="2"/>
  <c r="H404" i="2" s="1"/>
  <c r="G405" i="2"/>
  <c r="H405" i="2" s="1"/>
  <c r="G406" i="2"/>
  <c r="H406" i="2" s="1"/>
  <c r="G407" i="2"/>
  <c r="H407" i="2" s="1"/>
  <c r="G408" i="2"/>
  <c r="H408" i="2" s="1"/>
  <c r="G409" i="2"/>
  <c r="H409" i="2" s="1"/>
  <c r="G410" i="2"/>
  <c r="H410" i="2" s="1"/>
  <c r="G411" i="2"/>
  <c r="H411" i="2" s="1"/>
  <c r="G412" i="2"/>
  <c r="H412" i="2" s="1"/>
  <c r="G413" i="2"/>
  <c r="H413" i="2" s="1"/>
  <c r="G414" i="2"/>
  <c r="H414" i="2" s="1"/>
  <c r="G415" i="2"/>
  <c r="H415" i="2" s="1"/>
  <c r="G416" i="2"/>
  <c r="H416" i="2" s="1"/>
  <c r="G417" i="2"/>
  <c r="H417" i="2" s="1"/>
  <c r="G418" i="2"/>
  <c r="H418" i="2" s="1"/>
  <c r="G419" i="2"/>
  <c r="H419" i="2" s="1"/>
  <c r="G420" i="2"/>
  <c r="H420" i="2" s="1"/>
  <c r="G421" i="2"/>
  <c r="H421" i="2" s="1"/>
  <c r="G422" i="2"/>
  <c r="H422" i="2" s="1"/>
  <c r="G423" i="2"/>
  <c r="H423" i="2" s="1"/>
  <c r="G424" i="2"/>
  <c r="H424" i="2" s="1"/>
  <c r="G425" i="2"/>
  <c r="H425" i="2" s="1"/>
  <c r="G426" i="2"/>
  <c r="H426" i="2" s="1"/>
  <c r="G427" i="2"/>
  <c r="H427" i="2" s="1"/>
  <c r="G428" i="2"/>
  <c r="H428" i="2" s="1"/>
  <c r="G429" i="2"/>
  <c r="H429" i="2" s="1"/>
  <c r="G430" i="2"/>
  <c r="H430" i="2" s="1"/>
  <c r="G431" i="2"/>
  <c r="H431" i="2" s="1"/>
  <c r="G432" i="2"/>
  <c r="H432" i="2" s="1"/>
  <c r="G433" i="2"/>
  <c r="H433" i="2" s="1"/>
  <c r="G434" i="2"/>
  <c r="H434" i="2" s="1"/>
  <c r="G435" i="2"/>
  <c r="H435" i="2" s="1"/>
  <c r="G436" i="2"/>
  <c r="H436" i="2" s="1"/>
  <c r="G437" i="2"/>
  <c r="H437" i="2" s="1"/>
  <c r="G438" i="2"/>
  <c r="H438" i="2" s="1"/>
  <c r="G439" i="2"/>
  <c r="H439" i="2" s="1"/>
  <c r="G440" i="2"/>
  <c r="H440" i="2" s="1"/>
  <c r="G441" i="2"/>
  <c r="H441" i="2" s="1"/>
  <c r="G442" i="2"/>
  <c r="H442" i="2" s="1"/>
  <c r="G443" i="2"/>
  <c r="H443" i="2" s="1"/>
  <c r="G444" i="2"/>
  <c r="H444" i="2" s="1"/>
  <c r="G445" i="2"/>
  <c r="H445" i="2" s="1"/>
  <c r="G446" i="2"/>
  <c r="H446" i="2" s="1"/>
  <c r="G447" i="2"/>
  <c r="H447" i="2" s="1"/>
  <c r="G448" i="2"/>
  <c r="H448" i="2" s="1"/>
  <c r="G449" i="2"/>
  <c r="H449" i="2" s="1"/>
  <c r="G450" i="2"/>
  <c r="H450" i="2" s="1"/>
  <c r="G451" i="2"/>
  <c r="H451" i="2" s="1"/>
  <c r="G452" i="2"/>
  <c r="H452" i="2" s="1"/>
  <c r="G453" i="2"/>
  <c r="H453" i="2" s="1"/>
  <c r="G454" i="2"/>
  <c r="H454" i="2" s="1"/>
  <c r="G455" i="2"/>
  <c r="H455" i="2" s="1"/>
  <c r="G456" i="2"/>
  <c r="H456" i="2" s="1"/>
  <c r="G457" i="2"/>
  <c r="H457" i="2" s="1"/>
  <c r="G458" i="2"/>
  <c r="H458" i="2" s="1"/>
  <c r="G459" i="2"/>
  <c r="H459" i="2" s="1"/>
  <c r="G460" i="2"/>
  <c r="H460" i="2" s="1"/>
  <c r="G461" i="2"/>
  <c r="H461" i="2" s="1"/>
  <c r="G462" i="2"/>
  <c r="H462" i="2" s="1"/>
  <c r="G463" i="2"/>
  <c r="H463" i="2" s="1"/>
  <c r="G464" i="2"/>
  <c r="H464" i="2" s="1"/>
  <c r="G465" i="2"/>
  <c r="H465" i="2" s="1"/>
  <c r="G466" i="2"/>
  <c r="H466" i="2" s="1"/>
  <c r="G467" i="2"/>
  <c r="H467" i="2" s="1"/>
  <c r="G468" i="2"/>
  <c r="H468" i="2" s="1"/>
  <c r="G469" i="2"/>
  <c r="H469" i="2" s="1"/>
  <c r="G470" i="2"/>
  <c r="H470" i="2" s="1"/>
  <c r="G471" i="2"/>
  <c r="H471" i="2" s="1"/>
  <c r="G472" i="2"/>
  <c r="H472" i="2" s="1"/>
  <c r="G473" i="2"/>
  <c r="H473" i="2" s="1"/>
  <c r="G474" i="2"/>
  <c r="H474" i="2" s="1"/>
  <c r="G475" i="2"/>
  <c r="H475" i="2" s="1"/>
  <c r="G476" i="2"/>
  <c r="H476" i="2" s="1"/>
  <c r="G477" i="2"/>
  <c r="H477" i="2" s="1"/>
  <c r="G478" i="2"/>
  <c r="H478" i="2" s="1"/>
  <c r="G479" i="2"/>
  <c r="H479" i="2" s="1"/>
  <c r="G480" i="2"/>
  <c r="H480" i="2" s="1"/>
  <c r="G481" i="2"/>
  <c r="H481" i="2" s="1"/>
  <c r="G2" i="2"/>
  <c r="H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F499A2-DAB0-4198-84A5-0BF1FFB76F2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9F34F5B7-D382-46A6-AFD3-D28B8DF2C410}" keepAlive="1" name="Query - Table1_1" description="Connection to the 'Table1_1' query in the workbook." type="5" refreshedVersion="0" background="1">
    <dbPr connection="Provider=Microsoft.Mashup.OleDb.1;Data Source=$Workbook$;Location=Table1_1;Extended Properties=&quot;&quot;" command="SELECT * FROM [Table1_1]"/>
  </connection>
  <connection id="3" xr16:uid="{297B9300-998B-42B4-8533-D600B5AA2A2A}" keepAlive="1" name="Query - Table1_1 (2)" description="Connection to the 'Table1_1 (2)' query in the workbook." type="5" refreshedVersion="8" background="1" saveData="1">
    <dbPr connection="Provider=Microsoft.Mashup.OleDb.1;Data Source=$Workbook$;Location=&quot;Table1_1 (2)&quot;;Extended Properties=&quot;&quot;" command="SELECT * FROM [Table1_1 (2)]"/>
  </connection>
</connections>
</file>

<file path=xl/sharedStrings.xml><?xml version="1.0" encoding="utf-8"?>
<sst xmlns="http://schemas.openxmlformats.org/spreadsheetml/2006/main" count="9886" uniqueCount="200">
  <si>
    <t>Sample ID</t>
  </si>
  <si>
    <t>SampleDate</t>
  </si>
  <si>
    <t>Julian</t>
  </si>
  <si>
    <t>Location</t>
  </si>
  <si>
    <t>Seasonality</t>
  </si>
  <si>
    <t>PFBA</t>
  </si>
  <si>
    <t>PFPeA</t>
  </si>
  <si>
    <t>PFHxA</t>
  </si>
  <si>
    <t>PFHpA</t>
  </si>
  <si>
    <t>PFOA</t>
  </si>
  <si>
    <t>PFNA</t>
  </si>
  <si>
    <t>PFDA</t>
  </si>
  <si>
    <t>PFUnA</t>
  </si>
  <si>
    <t>PFDoA</t>
  </si>
  <si>
    <t>PFTrDA</t>
  </si>
  <si>
    <t>PFTeDA</t>
  </si>
  <si>
    <t>PFBS</t>
  </si>
  <si>
    <t>PFPeS</t>
  </si>
  <si>
    <t>PFHxS</t>
  </si>
  <si>
    <t>PFHpS</t>
  </si>
  <si>
    <t>PFOS</t>
  </si>
  <si>
    <t>PFNS</t>
  </si>
  <si>
    <t>PFDS</t>
  </si>
  <si>
    <t>PFDoS</t>
  </si>
  <si>
    <t>ADONA</t>
  </si>
  <si>
    <t>JBA041-SED-SPILL-04022021</t>
  </si>
  <si>
    <t>Spill</t>
  </si>
  <si>
    <t>Spring</t>
  </si>
  <si>
    <t>JBA044-SED-EXIT-04022021</t>
  </si>
  <si>
    <t>Exit</t>
  </si>
  <si>
    <t>JBA042-SED-RIPP-04022021</t>
  </si>
  <si>
    <t>Ripp</t>
  </si>
  <si>
    <t>JBA043-SED-DOWN-04022021</t>
  </si>
  <si>
    <t>Down</t>
  </si>
  <si>
    <t>JBA073-SED-SPILL-04282021</t>
  </si>
  <si>
    <t>JBA076-SED-EXIT-04282021</t>
  </si>
  <si>
    <t>JBA074-SED-RIPP-04282021</t>
  </si>
  <si>
    <t>JBA075-SED-DOWN-04282021</t>
  </si>
  <si>
    <t>JBA081-SED-SPILL-06142021</t>
  </si>
  <si>
    <t>Summer</t>
  </si>
  <si>
    <t>JBA084-SED-EXIT-06142021</t>
  </si>
  <si>
    <t>JBA082-SED-RIPP-06142021</t>
  </si>
  <si>
    <t>JBA083-SED-DOWN-06142021</t>
  </si>
  <si>
    <t>JBA113-SED-SPILL-07162021</t>
  </si>
  <si>
    <t>JBA116-SED-EXIT-07162021</t>
  </si>
  <si>
    <t>JBA114-SED-RIPP-07162021</t>
  </si>
  <si>
    <t>JBA115-SED-DOWN-07162021</t>
  </si>
  <si>
    <t>Parameter</t>
  </si>
  <si>
    <t>Result</t>
  </si>
  <si>
    <t>4:2 FTS</t>
  </si>
  <si>
    <t>6:2 FTS</t>
  </si>
  <si>
    <t>8:2 FTS</t>
  </si>
  <si>
    <t>3:3 FTCA</t>
  </si>
  <si>
    <t>5:3 FTCA</t>
  </si>
  <si>
    <t>7:3 FTCA</t>
  </si>
  <si>
    <t>CAS_rn</t>
  </si>
  <si>
    <t>Order</t>
  </si>
  <si>
    <t>N-EtFOSAA</t>
  </si>
  <si>
    <t>N-MeFOSA</t>
  </si>
  <si>
    <t>N-MeFOSAA</t>
  </si>
  <si>
    <t>FOSA</t>
  </si>
  <si>
    <t>JBA037-SED-SPILL-03302021</t>
  </si>
  <si>
    <t>JBA038-SED-RIPP-03302021</t>
  </si>
  <si>
    <t>JBA039-SED-DOWN-03302021</t>
  </si>
  <si>
    <t>JBA040-SED-EXIT-03302021</t>
  </si>
  <si>
    <t>JBA045-SED-SPILL-04072021</t>
  </si>
  <si>
    <t>JBA046-SED-RIPP-04072021</t>
  </si>
  <si>
    <t>JBA047-SED-DOWN-04072021</t>
  </si>
  <si>
    <t>JBA048-SED-EXIT-04072021</t>
  </si>
  <si>
    <t>JBA053-SED-SPILL-04132021</t>
  </si>
  <si>
    <t>JBA054-SED-RIPP-04132021</t>
  </si>
  <si>
    <t>JBA055-SED-DOWN-04132021</t>
  </si>
  <si>
    <t>JBA056-SED-EXIT-04132021</t>
  </si>
  <si>
    <t>JBA057-SED-SPILL-04152021</t>
  </si>
  <si>
    <t>JBA058-SED-RIPP-04152021</t>
  </si>
  <si>
    <t>JBA059-SED-DOWN-04152021</t>
  </si>
  <si>
    <t>JBA060-SED-EXIT-04152021</t>
  </si>
  <si>
    <t>JBA061-SED-SPILL-04222021</t>
  </si>
  <si>
    <t>JBA062-SED-RIPP-04222021</t>
  </si>
  <si>
    <t>JBA063-SED-DOWN-04222021</t>
  </si>
  <si>
    <t>JBA064-SED-EXIT-04222021</t>
  </si>
  <si>
    <t>JBA069-SED-SPILL-04262021</t>
  </si>
  <si>
    <t>JBA070-SED-RIPP-04262021</t>
  </si>
  <si>
    <t>JBA071-SED-DOWN-04262021</t>
  </si>
  <si>
    <t>JBA072-SED-EXIT-04262021</t>
  </si>
  <si>
    <t>JBA085-SED-SPILL-06162021</t>
  </si>
  <si>
    <t>JBA086-SED-RIPP-06162021</t>
  </si>
  <si>
    <t>JBA087-SED-DOWN-06162021</t>
  </si>
  <si>
    <t>JBA088-SED-EXIT-06162021</t>
  </si>
  <si>
    <t>JBA089-SED-SPILL-06232021</t>
  </si>
  <si>
    <t>JBA090-SED-RIPP-06232021</t>
  </si>
  <si>
    <t>JBA091-SED-DOWN-06232021</t>
  </si>
  <si>
    <t>JBA092-SED-EXIT-06232021</t>
  </si>
  <si>
    <t>JBA093-SED-SPILL-07012021</t>
  </si>
  <si>
    <t>JBA094-SED-RIPP-07012021</t>
  </si>
  <si>
    <t>JBA095-SED-DOWN-07012021</t>
  </si>
  <si>
    <t>JBA096-SED-EXIT-07012021</t>
  </si>
  <si>
    <t>JBA097-SED-SPILL-07072021</t>
  </si>
  <si>
    <t>JBA098-SED-RIPP-07072021</t>
  </si>
  <si>
    <t>JBA099-SED-DOWN-07072021</t>
  </si>
  <si>
    <t>JBA100-SED-EXIT-07072021</t>
  </si>
  <si>
    <t>JBA105-SED-SPILL-07122021</t>
  </si>
  <si>
    <t>JBA106-SED-RIPP-07122021</t>
  </si>
  <si>
    <t>JBA107-SED-DOWN-07122021</t>
  </si>
  <si>
    <t>JBA108-SED-EXIT-07122021</t>
  </si>
  <si>
    <t>JBA109-SED-SPILL-07142021</t>
  </si>
  <si>
    <t>JBA110-SED-RIPP-07142021</t>
  </si>
  <si>
    <t>JBA111-SED-DOWN-07142021</t>
  </si>
  <si>
    <t>JBA112-SED-EXIT-07142021</t>
  </si>
  <si>
    <t>375-22-4</t>
  </si>
  <si>
    <t>2706-90-3</t>
  </si>
  <si>
    <t>307-24-4</t>
  </si>
  <si>
    <t>375-85-9</t>
  </si>
  <si>
    <t>335-67-1</t>
  </si>
  <si>
    <t>375-95-1</t>
  </si>
  <si>
    <t>335-76-2</t>
  </si>
  <si>
    <t>2058-94-8</t>
  </si>
  <si>
    <t>307-55-1</t>
  </si>
  <si>
    <t>72629-94-8</t>
  </si>
  <si>
    <t>376-06-7</t>
  </si>
  <si>
    <t>375-73-5</t>
  </si>
  <si>
    <t>2706-91-4</t>
  </si>
  <si>
    <t>355-46-4</t>
  </si>
  <si>
    <t>375-92-8</t>
  </si>
  <si>
    <t>1763-23-1</t>
  </si>
  <si>
    <t>68259-12-1</t>
  </si>
  <si>
    <t>79780-39-5</t>
  </si>
  <si>
    <t>757124-72-4</t>
  </si>
  <si>
    <t>27619-97-2</t>
  </si>
  <si>
    <t>39108-34-4</t>
  </si>
  <si>
    <t>754-91-6</t>
  </si>
  <si>
    <t>31506-32-8</t>
  </si>
  <si>
    <t>2355-31-9</t>
  </si>
  <si>
    <t>4151-50-2</t>
  </si>
  <si>
    <t>2991-50-6</t>
  </si>
  <si>
    <t>24448-09-7</t>
  </si>
  <si>
    <t>1691-99-2</t>
  </si>
  <si>
    <t>13252-13-6</t>
  </si>
  <si>
    <t>919005-14-4</t>
  </si>
  <si>
    <t>863090-89-5</t>
  </si>
  <si>
    <t>151772-58-6</t>
  </si>
  <si>
    <t>756426-58-1</t>
  </si>
  <si>
    <t>763051-92-9</t>
  </si>
  <si>
    <t>113507-82-7</t>
  </si>
  <si>
    <t>356-02-5</t>
  </si>
  <si>
    <t>914637-49-3</t>
  </si>
  <si>
    <t>812-70-4</t>
  </si>
  <si>
    <t>335-77-3</t>
  </si>
  <si>
    <t>377-73-1</t>
  </si>
  <si>
    <t>N-EtFOSA</t>
  </si>
  <si>
    <t>N-MeFOSE</t>
  </si>
  <si>
    <t>N-EtFOSE</t>
  </si>
  <si>
    <t>HFPO-DA</t>
  </si>
  <si>
    <t>PFMBA</t>
  </si>
  <si>
    <t>NFDHA</t>
  </si>
  <si>
    <t>9Cl-PF3ONS</t>
  </si>
  <si>
    <t>11Cl-PF3OUdS</t>
  </si>
  <si>
    <t>PFEESA</t>
  </si>
  <si>
    <t>PFMPA</t>
  </si>
  <si>
    <t>SumPFAS</t>
  </si>
  <si>
    <t>log_PFBA</t>
  </si>
  <si>
    <t>log_PFPeA</t>
  </si>
  <si>
    <t>log_PFHxA</t>
  </si>
  <si>
    <t>log_PFHpA</t>
  </si>
  <si>
    <t>log_PFOA</t>
  </si>
  <si>
    <t>log_PFNA</t>
  </si>
  <si>
    <t>log_PFDA</t>
  </si>
  <si>
    <t>log_PFUnA</t>
  </si>
  <si>
    <t>log_PFDoA</t>
  </si>
  <si>
    <t>log_PFTrDA</t>
  </si>
  <si>
    <t>log_PFTeDA</t>
  </si>
  <si>
    <t>log_PFBS</t>
  </si>
  <si>
    <t>log_PFPeS</t>
  </si>
  <si>
    <t>log_PFHxS</t>
  </si>
  <si>
    <t>log_PFHpS</t>
  </si>
  <si>
    <t>log_PFOS</t>
  </si>
  <si>
    <t>log_PFNS</t>
  </si>
  <si>
    <t>log_PFDS</t>
  </si>
  <si>
    <t>log_PFDoS</t>
  </si>
  <si>
    <t>log_4:2 FTS</t>
  </si>
  <si>
    <t>log_6:2 FTS</t>
  </si>
  <si>
    <t>log_8:2 FTS</t>
  </si>
  <si>
    <t>log_FOSA</t>
  </si>
  <si>
    <t>log_N-MeFOSA</t>
  </si>
  <si>
    <t>log_N-MeFOSAA</t>
  </si>
  <si>
    <t>log_N-EtFOSAA</t>
  </si>
  <si>
    <t>log_ADONA</t>
  </si>
  <si>
    <t>log_3:3 FTCA</t>
  </si>
  <si>
    <t>log_5:3 FTCA</t>
  </si>
  <si>
    <t>log_7:3 FTCA</t>
  </si>
  <si>
    <t>log_N-EtFOSA</t>
  </si>
  <si>
    <t>log_N-MeFOSE</t>
  </si>
  <si>
    <t>log_N-EtFOSE</t>
  </si>
  <si>
    <t>log_HFPO-DA</t>
  </si>
  <si>
    <t>log_PFMBA</t>
  </si>
  <si>
    <t>log_NFDHA</t>
  </si>
  <si>
    <t>log_9Cl-PF3ONS</t>
  </si>
  <si>
    <t>log_11Cl-PF3OUdS</t>
  </si>
  <si>
    <t>log_PFEESA</t>
  </si>
  <si>
    <t>log_PFMPA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</si>
</sst>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;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Files\analyte_order.xlsx" TargetMode="External"/><Relationship Id="rId1" Type="http://schemas.openxmlformats.org/officeDocument/2006/relationships/externalLinkPath" Target="/Data%20Files/analyte_ord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alyte_order"/>
    </sheetNames>
    <sheetDataSet>
      <sheetData sheetId="0">
        <row r="1">
          <cell r="B1" t="str">
            <v>short_name</v>
          </cell>
          <cell r="C1" t="str">
            <v>cas_rn</v>
          </cell>
          <cell r="E1" t="str">
            <v>order</v>
          </cell>
        </row>
        <row r="2">
          <cell r="B2" t="str">
            <v>PFBA</v>
          </cell>
          <cell r="C2" t="str">
            <v>375-22-4</v>
          </cell>
          <cell r="E2">
            <v>1</v>
          </cell>
        </row>
        <row r="3">
          <cell r="B3" t="str">
            <v>PFPeA</v>
          </cell>
          <cell r="C3" t="str">
            <v>2706-90-3</v>
          </cell>
          <cell r="E3">
            <v>2</v>
          </cell>
        </row>
        <row r="4">
          <cell r="B4" t="str">
            <v>PFHxA</v>
          </cell>
          <cell r="C4" t="str">
            <v>307-24-4</v>
          </cell>
          <cell r="E4">
            <v>3</v>
          </cell>
        </row>
        <row r="5">
          <cell r="B5" t="str">
            <v>PFHpA</v>
          </cell>
          <cell r="C5" t="str">
            <v>375-85-9</v>
          </cell>
          <cell r="E5">
            <v>4</v>
          </cell>
        </row>
        <row r="6">
          <cell r="B6" t="str">
            <v>PFOA</v>
          </cell>
          <cell r="C6" t="str">
            <v>335-67-1</v>
          </cell>
          <cell r="E6">
            <v>5</v>
          </cell>
        </row>
        <row r="7">
          <cell r="B7" t="str">
            <v>PFNA</v>
          </cell>
          <cell r="C7" t="str">
            <v>375-95-1</v>
          </cell>
          <cell r="E7">
            <v>6</v>
          </cell>
        </row>
        <row r="8">
          <cell r="B8" t="str">
            <v>PFDA</v>
          </cell>
          <cell r="C8" t="str">
            <v>335-76-2</v>
          </cell>
          <cell r="E8">
            <v>7</v>
          </cell>
        </row>
        <row r="9">
          <cell r="B9" t="str">
            <v>PFUnA</v>
          </cell>
          <cell r="C9" t="str">
            <v>2058-94-8</v>
          </cell>
          <cell r="E9">
            <v>8</v>
          </cell>
        </row>
        <row r="10">
          <cell r="B10" t="str">
            <v>PFDoA</v>
          </cell>
          <cell r="C10" t="str">
            <v>307-55-1</v>
          </cell>
          <cell r="E10">
            <v>9</v>
          </cell>
        </row>
        <row r="11">
          <cell r="B11" t="str">
            <v>PFTrDA</v>
          </cell>
          <cell r="C11" t="str">
            <v>72629-94-8</v>
          </cell>
          <cell r="E11">
            <v>10</v>
          </cell>
        </row>
        <row r="12">
          <cell r="B12" t="str">
            <v>PFTeDA</v>
          </cell>
          <cell r="C12" t="str">
            <v>376-06-7</v>
          </cell>
          <cell r="E12">
            <v>11</v>
          </cell>
        </row>
        <row r="13">
          <cell r="B13" t="str">
            <v>PFHxDA</v>
          </cell>
          <cell r="C13" t="str">
            <v>67905-19-5</v>
          </cell>
          <cell r="E13">
            <v>12</v>
          </cell>
        </row>
        <row r="14">
          <cell r="B14" t="str">
            <v>PFODA</v>
          </cell>
          <cell r="C14" t="str">
            <v>16517-11-6</v>
          </cell>
          <cell r="E14">
            <v>13</v>
          </cell>
        </row>
        <row r="15">
          <cell r="B15" t="str">
            <v>PFBS</v>
          </cell>
          <cell r="C15" t="str">
            <v>375-73-5</v>
          </cell>
          <cell r="E15">
            <v>14</v>
          </cell>
        </row>
        <row r="16">
          <cell r="B16" t="str">
            <v>PFPeS</v>
          </cell>
          <cell r="C16" t="str">
            <v>2706-91-4</v>
          </cell>
          <cell r="E16">
            <v>15</v>
          </cell>
        </row>
        <row r="17">
          <cell r="B17" t="str">
            <v>PFHxS</v>
          </cell>
          <cell r="C17" t="str">
            <v>355-46-4</v>
          </cell>
          <cell r="E17">
            <v>16</v>
          </cell>
        </row>
        <row r="18">
          <cell r="B18" t="str">
            <v>PFHpS</v>
          </cell>
          <cell r="C18" t="str">
            <v>375-92-8</v>
          </cell>
          <cell r="E18">
            <v>17</v>
          </cell>
        </row>
        <row r="19">
          <cell r="B19" t="str">
            <v>PFOS</v>
          </cell>
          <cell r="C19" t="str">
            <v>1763-23-1</v>
          </cell>
          <cell r="E19">
            <v>18</v>
          </cell>
        </row>
        <row r="20">
          <cell r="B20" t="str">
            <v>PFNS</v>
          </cell>
          <cell r="C20" t="str">
            <v>68259-12-1</v>
          </cell>
          <cell r="E20">
            <v>19</v>
          </cell>
        </row>
        <row r="21">
          <cell r="B21" t="str">
            <v>PFDS</v>
          </cell>
          <cell r="C21" t="str">
            <v>335-77-3</v>
          </cell>
          <cell r="E21">
            <v>20</v>
          </cell>
        </row>
        <row r="22">
          <cell r="B22" t="str">
            <v>PFDoS</v>
          </cell>
          <cell r="C22" t="str">
            <v>79780-39-5</v>
          </cell>
          <cell r="E22">
            <v>21</v>
          </cell>
        </row>
        <row r="23">
          <cell r="B23" t="str">
            <v>4:2 FTS</v>
          </cell>
          <cell r="C23" t="str">
            <v>757124-72-4</v>
          </cell>
          <cell r="E23">
            <v>22</v>
          </cell>
        </row>
        <row r="24">
          <cell r="B24" t="str">
            <v>6:2 FTS</v>
          </cell>
          <cell r="C24" t="str">
            <v>27619-97-2</v>
          </cell>
          <cell r="E24">
            <v>23</v>
          </cell>
        </row>
        <row r="25">
          <cell r="B25" t="str">
            <v>8:2 FTS</v>
          </cell>
          <cell r="C25" t="str">
            <v>39108-34-4</v>
          </cell>
          <cell r="E25">
            <v>24</v>
          </cell>
        </row>
        <row r="26">
          <cell r="B26" t="str">
            <v>10:2 FTS</v>
          </cell>
          <cell r="C26" t="str">
            <v>120226-60-0</v>
          </cell>
          <cell r="E26">
            <v>25</v>
          </cell>
        </row>
        <row r="27">
          <cell r="B27" t="str">
            <v>N-MeFOSAA</v>
          </cell>
          <cell r="C27" t="str">
            <v>2355-31-9</v>
          </cell>
          <cell r="E27">
            <v>26</v>
          </cell>
        </row>
        <row r="28">
          <cell r="B28" t="str">
            <v>N-EtFOSAA</v>
          </cell>
          <cell r="C28" t="str">
            <v>2991-50-6</v>
          </cell>
          <cell r="E28">
            <v>27</v>
          </cell>
        </row>
        <row r="29">
          <cell r="B29" t="str">
            <v>FOSA</v>
          </cell>
          <cell r="C29" t="str">
            <v>754-91-6</v>
          </cell>
          <cell r="E29">
            <v>28</v>
          </cell>
        </row>
        <row r="30">
          <cell r="B30" t="str">
            <v>FOSAA</v>
          </cell>
          <cell r="C30" t="str">
            <v>2806-24-8</v>
          </cell>
          <cell r="E30">
            <v>29</v>
          </cell>
        </row>
        <row r="31">
          <cell r="B31" t="str">
            <v>N-MeFOSA</v>
          </cell>
          <cell r="C31" t="str">
            <v>31506-32-8</v>
          </cell>
          <cell r="E31">
            <v>30</v>
          </cell>
        </row>
        <row r="32">
          <cell r="B32" t="str">
            <v>N-EtFOSA</v>
          </cell>
          <cell r="C32" t="str">
            <v>4151-50-2</v>
          </cell>
          <cell r="E32">
            <v>31</v>
          </cell>
        </row>
        <row r="33">
          <cell r="B33" t="str">
            <v>N-MeFOSE</v>
          </cell>
          <cell r="C33" t="str">
            <v>24448-09-7</v>
          </cell>
          <cell r="E33">
            <v>32</v>
          </cell>
        </row>
        <row r="34">
          <cell r="B34" t="str">
            <v>N-EtFOSE</v>
          </cell>
          <cell r="C34" t="str">
            <v>1691-99-2</v>
          </cell>
          <cell r="E34">
            <v>33</v>
          </cell>
        </row>
        <row r="35">
          <cell r="B35" t="str">
            <v>HFPO-DA</v>
          </cell>
          <cell r="C35" t="str">
            <v>13252-13-6</v>
          </cell>
          <cell r="E35">
            <v>34</v>
          </cell>
        </row>
        <row r="36">
          <cell r="B36" t="str">
            <v>ADONA</v>
          </cell>
          <cell r="C36" t="str">
            <v>919005-14-4</v>
          </cell>
          <cell r="E36">
            <v>35</v>
          </cell>
        </row>
        <row r="37">
          <cell r="B37" t="str">
            <v>9Cl-PF3ONS</v>
          </cell>
          <cell r="C37" t="str">
            <v>756426-58-1</v>
          </cell>
          <cell r="E37">
            <v>36</v>
          </cell>
        </row>
        <row r="38">
          <cell r="B38" t="str">
            <v>11Cl-PF3OUdS</v>
          </cell>
          <cell r="C38" t="str">
            <v>763051-92-9</v>
          </cell>
          <cell r="E38">
            <v>37</v>
          </cell>
        </row>
        <row r="39">
          <cell r="B39" t="str">
            <v>3:3 FTCA</v>
          </cell>
          <cell r="C39" t="str">
            <v>356-02-5</v>
          </cell>
          <cell r="E39">
            <v>38</v>
          </cell>
        </row>
        <row r="40">
          <cell r="B40" t="str">
            <v>5:3 FTCA</v>
          </cell>
          <cell r="C40" t="str">
            <v>914637-49-3</v>
          </cell>
          <cell r="E40">
            <v>39</v>
          </cell>
        </row>
        <row r="41">
          <cell r="B41" t="str">
            <v>7:3 FTCA</v>
          </cell>
          <cell r="C41" t="str">
            <v>812-70-4</v>
          </cell>
          <cell r="E41">
            <v>40</v>
          </cell>
        </row>
        <row r="42">
          <cell r="B42" t="str">
            <v>6:2 FTCA</v>
          </cell>
          <cell r="C42" t="str">
            <v>53826-12-3</v>
          </cell>
          <cell r="E42">
            <v>41</v>
          </cell>
        </row>
        <row r="43">
          <cell r="B43" t="str">
            <v>8:2 FTCA</v>
          </cell>
          <cell r="C43" t="str">
            <v>27854-31-5</v>
          </cell>
          <cell r="E43">
            <v>42</v>
          </cell>
        </row>
        <row r="44">
          <cell r="B44" t="str">
            <v>10:2 FTCA</v>
          </cell>
          <cell r="C44" t="str">
            <v>53826-13-4</v>
          </cell>
          <cell r="E44">
            <v>43</v>
          </cell>
        </row>
        <row r="45">
          <cell r="B45" t="str">
            <v>6:2 FTUCA</v>
          </cell>
          <cell r="C45" t="str">
            <v>161094-75-3</v>
          </cell>
          <cell r="E45">
            <v>44</v>
          </cell>
        </row>
        <row r="46">
          <cell r="B46" t="str">
            <v>8:2 FTUCA</v>
          </cell>
          <cell r="C46" t="str">
            <v>70887-84-2</v>
          </cell>
          <cell r="E46">
            <v>45</v>
          </cell>
        </row>
        <row r="47">
          <cell r="B47" t="str">
            <v>6:2 DiPAP</v>
          </cell>
          <cell r="C47" t="str">
            <v>57677-95-9</v>
          </cell>
          <cell r="E47">
            <v>46</v>
          </cell>
        </row>
        <row r="48">
          <cell r="B48" t="str">
            <v>PFEESA</v>
          </cell>
          <cell r="C48" t="str">
            <v>113507-82-7</v>
          </cell>
          <cell r="E48">
            <v>47</v>
          </cell>
        </row>
        <row r="49">
          <cell r="B49" t="str">
            <v>PFMBA</v>
          </cell>
          <cell r="C49" t="str">
            <v>863090-89-5</v>
          </cell>
          <cell r="E49">
            <v>48</v>
          </cell>
        </row>
        <row r="50">
          <cell r="B50" t="str">
            <v>PFMPA</v>
          </cell>
          <cell r="C50" t="str">
            <v>377-73-1</v>
          </cell>
          <cell r="E50">
            <v>49</v>
          </cell>
        </row>
        <row r="51">
          <cell r="B51" t="str">
            <v>NFDHA</v>
          </cell>
          <cell r="C51" t="str">
            <v>151772-58-6</v>
          </cell>
          <cell r="E51">
            <v>50</v>
          </cell>
        </row>
        <row r="52">
          <cell r="B52" t="str">
            <v>FBSA</v>
          </cell>
          <cell r="C52" t="str">
            <v>30334-69-1</v>
          </cell>
          <cell r="E52">
            <v>51</v>
          </cell>
        </row>
        <row r="53">
          <cell r="B53" t="str">
            <v>FHxSA</v>
          </cell>
          <cell r="C53" t="str">
            <v>41997-13-1</v>
          </cell>
          <cell r="E53">
            <v>52</v>
          </cell>
        </row>
        <row r="54">
          <cell r="B54" t="str">
            <v>PFPrS</v>
          </cell>
          <cell r="C54" t="str">
            <v>423-41-6</v>
          </cell>
          <cell r="E54">
            <v>53</v>
          </cell>
        </row>
        <row r="55">
          <cell r="B55" t="str">
            <v>Cl-PFOS</v>
          </cell>
          <cell r="C55" t="str">
            <v>777011-38-8</v>
          </cell>
          <cell r="E55">
            <v>54</v>
          </cell>
        </row>
        <row r="56">
          <cell r="B56" t="str">
            <v>PFEtCHxS</v>
          </cell>
          <cell r="C56" t="str">
            <v>646-83-3</v>
          </cell>
          <cell r="E56">
            <v>55</v>
          </cell>
        </row>
        <row r="57">
          <cell r="B57" t="str">
            <v>8:2 diPAP</v>
          </cell>
          <cell r="C57" t="str">
            <v>678-41-1</v>
          </cell>
          <cell r="E57">
            <v>56</v>
          </cell>
        </row>
        <row r="58">
          <cell r="B58" t="str">
            <v>diSAmPAP</v>
          </cell>
          <cell r="C58" t="str">
            <v>2965-52-8</v>
          </cell>
          <cell r="E58">
            <v>57</v>
          </cell>
        </row>
        <row r="59">
          <cell r="B59" t="str">
            <v>Precipitation</v>
          </cell>
          <cell r="C59" t="str">
            <v>PRECIP</v>
          </cell>
          <cell r="E59">
            <v>58</v>
          </cell>
        </row>
        <row r="60">
          <cell r="B60" t="str">
            <v>Temp</v>
          </cell>
          <cell r="C60" t="str">
            <v>TEMP</v>
          </cell>
          <cell r="E60">
            <v>59</v>
          </cell>
        </row>
        <row r="61">
          <cell r="B61" t="str">
            <v>DO</v>
          </cell>
          <cell r="C61" t="str">
            <v>DO</v>
          </cell>
          <cell r="E61">
            <v>60</v>
          </cell>
        </row>
        <row r="62">
          <cell r="B62" t="str">
            <v>Cond</v>
          </cell>
          <cell r="C62" t="str">
            <v>COND</v>
          </cell>
          <cell r="E62">
            <v>61</v>
          </cell>
        </row>
        <row r="63">
          <cell r="B63" t="str">
            <v>pH</v>
          </cell>
          <cell r="C63" t="str">
            <v>PH</v>
          </cell>
          <cell r="E63">
            <v>62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2A66973-1823-4254-829F-A6399039905A}" autoFormatId="16" applyNumberFormats="0" applyBorderFormats="0" applyFontFormats="0" applyPatternFormats="0" applyAlignmentFormats="0" applyWidthHeightFormats="0">
  <queryTableRefresh nextId="86" unboundColumnsRight="41">
    <queryTableFields count="85">
      <queryTableField id="1" name="Sample ID" tableColumnId="1"/>
      <queryTableField id="2" name="SampleDate" tableColumnId="2"/>
      <queryTableField id="3" name="Location" tableColumnId="3"/>
      <queryTableField id="4" name="Seasonality" tableColumnId="4"/>
      <queryTableField id="5" name="PFBA" tableColumnId="5"/>
      <queryTableField id="6" name="PFPeA" tableColumnId="6"/>
      <queryTableField id="7" name="PFHxA" tableColumnId="7"/>
      <queryTableField id="8" name="PFHpA" tableColumnId="8"/>
      <queryTableField id="9" name="PFOA" tableColumnId="9"/>
      <queryTableField id="10" name="PFNA" tableColumnId="10"/>
      <queryTableField id="11" name="PFDA" tableColumnId="11"/>
      <queryTableField id="12" name="PFUnA" tableColumnId="12"/>
      <queryTableField id="13" name="PFDoA" tableColumnId="13"/>
      <queryTableField id="14" name="PFTrDA" tableColumnId="14"/>
      <queryTableField id="15" name="PFTeDA" tableColumnId="15"/>
      <queryTableField id="16" name="PFBS" tableColumnId="16"/>
      <queryTableField id="17" name="PFPeS" tableColumnId="17"/>
      <queryTableField id="18" name="PFHxS" tableColumnId="18"/>
      <queryTableField id="19" name="PFHpS" tableColumnId="19"/>
      <queryTableField id="20" name="PFOS" tableColumnId="20"/>
      <queryTableField id="21" name="PFNS" tableColumnId="21"/>
      <queryTableField id="22" name="PFDS" tableColumnId="22"/>
      <queryTableField id="23" name="PFDoS" tableColumnId="23"/>
      <queryTableField id="24" name="4:2 FTS" tableColumnId="24"/>
      <queryTableField id="25" name="6:2 FTS" tableColumnId="25"/>
      <queryTableField id="26" name="8:2 FTS" tableColumnId="26"/>
      <queryTableField id="27" name="FOSA" tableColumnId="27"/>
      <queryTableField id="28" name="N-MeFOSA" tableColumnId="28"/>
      <queryTableField id="29" name="N-MeFOSAA" tableColumnId="29"/>
      <queryTableField id="30" name="N-EtFOSAA" tableColumnId="30"/>
      <queryTableField id="31" name="ADONA" tableColumnId="31"/>
      <queryTableField id="32" name="3:3 FTCA" tableColumnId="32"/>
      <queryTableField id="33" name="5:3 FTCA" tableColumnId="33"/>
      <queryTableField id="34" name="7:3 FTCA" tableColumnId="34"/>
      <queryTableField id="35" name="N-EtFOSA" tableColumnId="35"/>
      <queryTableField id="36" name="N-MeFOSE" tableColumnId="36"/>
      <queryTableField id="37" name="N-EtFOSE" tableColumnId="37"/>
      <queryTableField id="38" name="HFPO-DA" tableColumnId="38"/>
      <queryTableField id="39" name="PFMBA" tableColumnId="39"/>
      <queryTableField id="40" name="NFDHA" tableColumnId="40"/>
      <queryTableField id="41" name="9Cl-PF3ONS" tableColumnId="41"/>
      <queryTableField id="42" name="11Cl-PF3OUdS" tableColumnId="42"/>
      <queryTableField id="43" name="PFEESA" tableColumnId="43"/>
      <queryTableField id="44" name="PFMPA" tableColumnId="44"/>
      <queryTableField id="45" dataBound="0" tableColumnId="45"/>
      <queryTableField id="46" dataBound="0" tableColumnId="46"/>
      <queryTableField id="47" dataBound="0" tableColumnId="47"/>
      <queryTableField id="48" dataBound="0" tableColumnId="48"/>
      <queryTableField id="49" dataBound="0" tableColumnId="49"/>
      <queryTableField id="50" dataBound="0" tableColumnId="50"/>
      <queryTableField id="51" dataBound="0" tableColumnId="51"/>
      <queryTableField id="52" dataBound="0" tableColumnId="52"/>
      <queryTableField id="53" dataBound="0" tableColumnId="53"/>
      <queryTableField id="54" dataBound="0" tableColumnId="54"/>
      <queryTableField id="55" dataBound="0" tableColumnId="55"/>
      <queryTableField id="56" dataBound="0" tableColumnId="56"/>
      <queryTableField id="57" dataBound="0" tableColumnId="57"/>
      <queryTableField id="58" dataBound="0" tableColumnId="58"/>
      <queryTableField id="59" dataBound="0" tableColumnId="59"/>
      <queryTableField id="60" dataBound="0" tableColumnId="60"/>
      <queryTableField id="61" dataBound="0" tableColumnId="61"/>
      <queryTableField id="62" dataBound="0" tableColumnId="62"/>
      <queryTableField id="63" dataBound="0" tableColumnId="63"/>
      <queryTableField id="64" dataBound="0" tableColumnId="64"/>
      <queryTableField id="65" dataBound="0" tableColumnId="65"/>
      <queryTableField id="66" dataBound="0" tableColumnId="66"/>
      <queryTableField id="67" dataBound="0" tableColumnId="67"/>
      <queryTableField id="68" dataBound="0" tableColumnId="68"/>
      <queryTableField id="69" dataBound="0" tableColumnId="69"/>
      <queryTableField id="70" dataBound="0" tableColumnId="70"/>
      <queryTableField id="71" dataBound="0" tableColumnId="71"/>
      <queryTableField id="72" dataBound="0" tableColumnId="72"/>
      <queryTableField id="73" dataBound="0" tableColumnId="73"/>
      <queryTableField id="74" dataBound="0" tableColumnId="74"/>
      <queryTableField id="75" dataBound="0" tableColumnId="75"/>
      <queryTableField id="76" dataBound="0" tableColumnId="76"/>
      <queryTableField id="77" dataBound="0" tableColumnId="77"/>
      <queryTableField id="78" dataBound="0" tableColumnId="78"/>
      <queryTableField id="79" dataBound="0" tableColumnId="79"/>
      <queryTableField id="80" dataBound="0" tableColumnId="80"/>
      <queryTableField id="81" dataBound="0" tableColumnId="81"/>
      <queryTableField id="82" dataBound="0" tableColumnId="82"/>
      <queryTableField id="83" dataBound="0" tableColumnId="83"/>
      <queryTableField id="84" dataBound="0" tableColumnId="84"/>
      <queryTableField id="85" dataBound="0" tableColumnId="8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951B4F-B677-4584-9E2B-E7230F0206B1}" autoFormatId="16" applyNumberFormats="0" applyBorderFormats="0" applyFontFormats="0" applyPatternFormats="0" applyAlignmentFormats="0" applyWidthHeightFormats="0">
  <queryTableRefresh nextId="11">
    <queryTableFields count="9">
      <queryTableField id="1" name="Sample ID" tableColumnId="1"/>
      <queryTableField id="2" name="SampleDate" tableColumnId="2"/>
      <queryTableField id="3" name="Julian" tableColumnId="3"/>
      <queryTableField id="4" name="Location" tableColumnId="4"/>
      <queryTableField id="5" name="Seasonality" tableColumnId="5"/>
      <queryTableField id="6" name="Parameter" tableColumnId="6"/>
      <queryTableField id="9" dataBound="0" tableColumnId="9"/>
      <queryTableField id="8" dataBound="0" tableColumnId="8"/>
      <queryTableField id="7" name="Resul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E582BD-A33A-4DCB-BD83-BF76AC25827B}" name="Table1_1__2" displayName="Table1_1__2" ref="A1:CG65" tableType="queryTable" totalsRowShown="0">
  <autoFilter ref="A1:CG65" xr:uid="{28E582BD-A33A-4DCB-BD83-BF76AC25827B}"/>
  <tableColumns count="85">
    <tableColumn id="1" xr3:uid="{FD4CC3E9-C1B1-44A1-9B21-59BD22A725ED}" uniqueName="1" name="Sample ID" queryTableFieldId="1" dataDxfId="3"/>
    <tableColumn id="2" xr3:uid="{9335017D-45A7-4A90-8BA7-437B1A2F34A4}" uniqueName="2" name="SampleDate" queryTableFieldId="2" dataDxfId="2"/>
    <tableColumn id="3" xr3:uid="{54F6344A-1D44-4577-98A4-2B1A3D358591}" uniqueName="3" name="Location" queryTableFieldId="3" dataDxfId="1"/>
    <tableColumn id="4" xr3:uid="{38B3BF4D-7447-4761-849C-981C1D23BC5B}" uniqueName="4" name="Seasonality" queryTableFieldId="4" dataDxfId="0"/>
    <tableColumn id="5" xr3:uid="{5677F969-7205-4019-A446-A18A30FB6F86}" uniqueName="5" name="PFBA" queryTableFieldId="5"/>
    <tableColumn id="6" xr3:uid="{1B771783-8F89-4B85-A97D-EE3B08904F2A}" uniqueName="6" name="PFPeA" queryTableFieldId="6"/>
    <tableColumn id="7" xr3:uid="{BA157B65-0D7C-4F00-8862-0418DC7D3D6B}" uniqueName="7" name="PFHxA" queryTableFieldId="7"/>
    <tableColumn id="8" xr3:uid="{ED6AE1F6-B723-490D-9965-237AE3DE3C1A}" uniqueName="8" name="PFHpA" queryTableFieldId="8"/>
    <tableColumn id="9" xr3:uid="{87A8562F-6364-4D9C-AE91-56AA8280C8AD}" uniqueName="9" name="PFOA" queryTableFieldId="9"/>
    <tableColumn id="10" xr3:uid="{FC6E279B-E770-4DF2-A293-BC83F7C88D87}" uniqueName="10" name="PFNA" queryTableFieldId="10"/>
    <tableColumn id="11" xr3:uid="{6F404AF0-48C5-4E9A-B4DE-62C4FA50DE3F}" uniqueName="11" name="PFDA" queryTableFieldId="11"/>
    <tableColumn id="12" xr3:uid="{2CD8BE21-027E-4A4F-9EAF-98BECF634F5D}" uniqueName="12" name="PFUnA" queryTableFieldId="12"/>
    <tableColumn id="13" xr3:uid="{B12AA85D-B523-49F2-A8AF-4688C358767D}" uniqueName="13" name="PFDoA" queryTableFieldId="13"/>
    <tableColumn id="14" xr3:uid="{B34A9DB8-6F3D-49DB-9E95-7E46C4D5A1E6}" uniqueName="14" name="PFTrDA" queryTableFieldId="14"/>
    <tableColumn id="15" xr3:uid="{9CDF8DB9-CE3F-4E11-BCFA-787B6D250749}" uniqueName="15" name="PFTeDA" queryTableFieldId="15"/>
    <tableColumn id="16" xr3:uid="{58F7C47C-81BE-40A6-BBAF-1B53DF4F049F}" uniqueName="16" name="PFBS" queryTableFieldId="16"/>
    <tableColumn id="17" xr3:uid="{17C52AE2-6863-4D4C-8F83-84483287A9A1}" uniqueName="17" name="PFPeS" queryTableFieldId="17"/>
    <tableColumn id="18" xr3:uid="{7EC250E5-8D5F-4FBD-AFDE-5558FB7668A3}" uniqueName="18" name="PFHxS" queryTableFieldId="18"/>
    <tableColumn id="19" xr3:uid="{B4CB5794-7E5C-4357-A8AC-CD9C4A65634C}" uniqueName="19" name="PFHpS" queryTableFieldId="19"/>
    <tableColumn id="20" xr3:uid="{EADFB3E9-6729-4D59-B5C6-C901B2161BD3}" uniqueName="20" name="PFOS" queryTableFieldId="20"/>
    <tableColumn id="21" xr3:uid="{6B1CB08E-CFA4-4C82-BD47-1E5FA043161A}" uniqueName="21" name="PFNS" queryTableFieldId="21"/>
    <tableColumn id="22" xr3:uid="{D376392D-7A37-43C3-B3EF-F199F9BE0C74}" uniqueName="22" name="PFDS" queryTableFieldId="22"/>
    <tableColumn id="23" xr3:uid="{385AE798-AFA5-48D9-9E07-D7557E8B8214}" uniqueName="23" name="PFDoS" queryTableFieldId="23"/>
    <tableColumn id="24" xr3:uid="{7AF1F9E2-83FC-42BE-ACC5-66E407A0C8FF}" uniqueName="24" name="4:2 FTS" queryTableFieldId="24"/>
    <tableColumn id="25" xr3:uid="{274AF018-A225-48A4-B75F-96E498304543}" uniqueName="25" name="6:2 FTS" queryTableFieldId="25"/>
    <tableColumn id="26" xr3:uid="{4517F7D0-83E9-4AEC-A0A4-2E359EDF01B2}" uniqueName="26" name="8:2 FTS" queryTableFieldId="26"/>
    <tableColumn id="27" xr3:uid="{9EA05BF5-0377-4203-9620-A2D18920ADB0}" uniqueName="27" name="FOSA" queryTableFieldId="27"/>
    <tableColumn id="28" xr3:uid="{DAC87617-EBE5-4AE1-A46F-35739064FA08}" uniqueName="28" name="N-MeFOSA" queryTableFieldId="28"/>
    <tableColumn id="29" xr3:uid="{615111BD-443D-47F3-BB73-D910161F3F30}" uniqueName="29" name="N-MeFOSAA" queryTableFieldId="29"/>
    <tableColumn id="30" xr3:uid="{30F5A3D7-BB95-4A82-B8AF-3A8810426D74}" uniqueName="30" name="N-EtFOSAA" queryTableFieldId="30"/>
    <tableColumn id="31" xr3:uid="{81BDEC7A-1F89-4D36-927F-4C178CD9E9EC}" uniqueName="31" name="ADONA" queryTableFieldId="31"/>
    <tableColumn id="32" xr3:uid="{F27BE0CC-AB2C-4849-989E-92736BABF1D6}" uniqueName="32" name="3:3 FTCA" queryTableFieldId="32"/>
    <tableColumn id="33" xr3:uid="{DAD2E70B-03AD-4497-B93B-9E794B6EE395}" uniqueName="33" name="5:3 FTCA" queryTableFieldId="33"/>
    <tableColumn id="34" xr3:uid="{21CEF60D-02FE-42B6-855C-B9BCEAD89CA5}" uniqueName="34" name="7:3 FTCA" queryTableFieldId="34"/>
    <tableColumn id="35" xr3:uid="{54ED1476-1ADE-4C97-BE09-35EDE22FDBAD}" uniqueName="35" name="N-EtFOSA" queryTableFieldId="35"/>
    <tableColumn id="36" xr3:uid="{FBD0B66F-72E3-4346-9AEF-5B925787A7EC}" uniqueName="36" name="N-MeFOSE" queryTableFieldId="36"/>
    <tableColumn id="37" xr3:uid="{F936410C-B49C-4288-9E66-8FB83781AFC3}" uniqueName="37" name="N-EtFOSE" queryTableFieldId="37"/>
    <tableColumn id="38" xr3:uid="{4601E56A-F624-441A-A984-8DEDDB5F0C9F}" uniqueName="38" name="HFPO-DA" queryTableFieldId="38"/>
    <tableColumn id="39" xr3:uid="{826691C7-BB95-468B-828E-915C840C9C9B}" uniqueName="39" name="PFMBA" queryTableFieldId="39"/>
    <tableColumn id="40" xr3:uid="{BD1E6E2B-0521-447A-8B79-193EB049F494}" uniqueName="40" name="NFDHA" queryTableFieldId="40"/>
    <tableColumn id="41" xr3:uid="{2DCC6C84-59A3-4D48-9F54-781E4D2654F8}" uniqueName="41" name="9Cl-PF3ONS" queryTableFieldId="41"/>
    <tableColumn id="42" xr3:uid="{9256BE7E-FBB6-43CB-82D9-DE043B8195BF}" uniqueName="42" name="11Cl-PF3OUdS" queryTableFieldId="42"/>
    <tableColumn id="43" xr3:uid="{F6BBB52E-3730-4A4C-9A56-BCAF7D581CB9}" uniqueName="43" name="PFEESA" queryTableFieldId="43"/>
    <tableColumn id="44" xr3:uid="{82FB72B8-0B8E-4D1E-9140-15CCA66BDF0D}" uniqueName="44" name="PFMPA" queryTableFieldId="44"/>
    <tableColumn id="45" xr3:uid="{060E11B1-A1C3-4240-BB8B-4C710A3469EE}" uniqueName="45" name="SumPFAS" queryTableFieldId="45">
      <calculatedColumnFormula>SUM(Table1_1__2[[#This Row],[PFBA]:[PFMPA]])</calculatedColumnFormula>
    </tableColumn>
    <tableColumn id="46" xr3:uid="{5539BB62-800E-4718-97DB-D899A26F4AE1}" uniqueName="46" name="log_PFBA" queryTableFieldId="46">
      <calculatedColumnFormula>LOG(Table1_1__2[[#This Row],[PFBA]])</calculatedColumnFormula>
    </tableColumn>
    <tableColumn id="47" xr3:uid="{FB4E45E1-1C03-46CA-B0D7-00D038F31A12}" uniqueName="47" name="log_PFPeA" queryTableFieldId="47">
      <calculatedColumnFormula>LOG(Table1_1__2[[#This Row],[PFPeA]])</calculatedColumnFormula>
    </tableColumn>
    <tableColumn id="48" xr3:uid="{34C0279D-26E9-4F7B-B1C5-705464FEFB20}" uniqueName="48" name="log_PFHxA" queryTableFieldId="48">
      <calculatedColumnFormula>LOG(Table1_1__2[[#This Row],[PFHxA]])</calculatedColumnFormula>
    </tableColumn>
    <tableColumn id="49" xr3:uid="{E2DAC572-1FA8-442C-A440-C9C193E90102}" uniqueName="49" name="log_PFHpA" queryTableFieldId="49">
      <calculatedColumnFormula>LOG(Table1_1__2[[#This Row],[PFHpA]])</calculatedColumnFormula>
    </tableColumn>
    <tableColumn id="50" xr3:uid="{DDDBD979-9D73-4D44-AD2B-ECF89D1B25FD}" uniqueName="50" name="log_PFOA" queryTableFieldId="50">
      <calculatedColumnFormula>LOG(Table1_1__2[[#This Row],[PFOA]])</calculatedColumnFormula>
    </tableColumn>
    <tableColumn id="51" xr3:uid="{3C1AB1C4-1894-43FA-90B4-376DD247F87A}" uniqueName="51" name="log_PFNA" queryTableFieldId="51">
      <calculatedColumnFormula>LOG(Table1_1__2[[#This Row],[PFNA]])</calculatedColumnFormula>
    </tableColumn>
    <tableColumn id="52" xr3:uid="{DD3F7E8F-D329-43D1-872C-A783C15B258F}" uniqueName="52" name="log_PFDA" queryTableFieldId="52">
      <calculatedColumnFormula>LOG(Table1_1__2[[#This Row],[PFDA]])</calculatedColumnFormula>
    </tableColumn>
    <tableColumn id="53" xr3:uid="{940AB773-B74A-487E-B0EF-55A212D0FCF2}" uniqueName="53" name="log_PFUnA" queryTableFieldId="53">
      <calculatedColumnFormula>LOG(Table1_1__2[[#This Row],[PFUnA]])</calculatedColumnFormula>
    </tableColumn>
    <tableColumn id="54" xr3:uid="{E785183A-1DA1-4167-8D5A-57F3945709F6}" uniqueName="54" name="log_PFDoA" queryTableFieldId="54">
      <calculatedColumnFormula>LOG(Table1_1__2[[#This Row],[PFDoA]])</calculatedColumnFormula>
    </tableColumn>
    <tableColumn id="55" xr3:uid="{24E73235-DAAE-40C8-8D7F-1E30C595E9A3}" uniqueName="55" name="log_PFTrDA" queryTableFieldId="55">
      <calculatedColumnFormula>LOG(Table1_1__2[[#This Row],[PFTrDA]])</calculatedColumnFormula>
    </tableColumn>
    <tableColumn id="56" xr3:uid="{A9097D0D-4DBC-49B4-8C9D-2C44667D2957}" uniqueName="56" name="log_PFTeDA" queryTableFieldId="56">
      <calculatedColumnFormula>LOG(Table1_1__2[[#This Row],[PFTeDA]])</calculatedColumnFormula>
    </tableColumn>
    <tableColumn id="57" xr3:uid="{668E29EB-0C11-4FDD-99E9-C697DDB35616}" uniqueName="57" name="log_PFBS" queryTableFieldId="57">
      <calculatedColumnFormula>LOG(Table1_1__2[[#This Row],[PFBS]])</calculatedColumnFormula>
    </tableColumn>
    <tableColumn id="58" xr3:uid="{02507C77-843D-4AD2-B0E2-199A02854CB9}" uniqueName="58" name="log_PFPeS" queryTableFieldId="58">
      <calculatedColumnFormula>LOG(Table1_1__2[[#This Row],[PFPeS]])</calculatedColumnFormula>
    </tableColumn>
    <tableColumn id="59" xr3:uid="{B16A5D01-2F69-4F76-AFE8-733B83F36325}" uniqueName="59" name="log_PFHxS" queryTableFieldId="59">
      <calculatedColumnFormula>LOG(Table1_1__2[[#This Row],[PFHxS]])</calculatedColumnFormula>
    </tableColumn>
    <tableColumn id="60" xr3:uid="{341BF680-D4AE-4AA1-B6BC-0F0FA005CD7B}" uniqueName="60" name="log_PFHpS" queryTableFieldId="60">
      <calculatedColumnFormula>LOG(Table1_1__2[[#This Row],[PFHpS]])</calculatedColumnFormula>
    </tableColumn>
    <tableColumn id="61" xr3:uid="{F4E2F763-A794-4651-B280-8ECE6E3D0416}" uniqueName="61" name="log_PFOS" queryTableFieldId="61">
      <calculatedColumnFormula>LOG(Table1_1__2[[#This Row],[PFOS]])</calculatedColumnFormula>
    </tableColumn>
    <tableColumn id="62" xr3:uid="{6ECEFE42-F68F-4A69-BA7A-7B4202979C53}" uniqueName="62" name="log_PFNS" queryTableFieldId="62">
      <calculatedColumnFormula>LOG(Table1_1__2[[#This Row],[PFNS]])</calculatedColumnFormula>
    </tableColumn>
    <tableColumn id="63" xr3:uid="{BD16CC02-1BA0-4B49-B09D-6CE3993D8A75}" uniqueName="63" name="log_PFDS" queryTableFieldId="63">
      <calculatedColumnFormula>LOG(Table1_1__2[[#This Row],[PFDS]])</calculatedColumnFormula>
    </tableColumn>
    <tableColumn id="64" xr3:uid="{E6B92228-0E07-4C19-BDAD-7BAFDB3364CC}" uniqueName="64" name="log_PFDoS" queryTableFieldId="64">
      <calculatedColumnFormula>LOG(Table1_1__2[[#This Row],[PFDoS]])</calculatedColumnFormula>
    </tableColumn>
    <tableColumn id="65" xr3:uid="{D9C60DA7-4570-4AD2-B65C-FDA66C87CD7F}" uniqueName="65" name="log_4:2 FTS" queryTableFieldId="65">
      <calculatedColumnFormula>LOG(Table1_1__2[[#This Row],[4:2 FTS]])</calculatedColumnFormula>
    </tableColumn>
    <tableColumn id="66" xr3:uid="{12A824A0-9162-4092-91C6-FE7744E8B09D}" uniqueName="66" name="log_6:2 FTS" queryTableFieldId="66">
      <calculatedColumnFormula>LOG(Table1_1__2[[#This Row],[6:2 FTS]])</calculatedColumnFormula>
    </tableColumn>
    <tableColumn id="67" xr3:uid="{813DAAE8-4DC5-4BC5-AED7-48F9E953129A}" uniqueName="67" name="log_8:2 FTS" queryTableFieldId="67">
      <calculatedColumnFormula>LOG(Table1_1__2[[#This Row],[8:2 FTS]])</calculatedColumnFormula>
    </tableColumn>
    <tableColumn id="68" xr3:uid="{77AC5742-1B1D-4A6B-AE58-93C5020B5979}" uniqueName="68" name="log_FOSA" queryTableFieldId="68">
      <calculatedColumnFormula>LOG(Table1_1__2[[#This Row],[FOSA]])</calculatedColumnFormula>
    </tableColumn>
    <tableColumn id="69" xr3:uid="{BCA14EEE-D319-4E7D-AED4-0445B70BB2F9}" uniqueName="69" name="log_N-MeFOSA" queryTableFieldId="69">
      <calculatedColumnFormula>LOG(Table1_1__2[[#This Row],[N-MeFOSA]])</calculatedColumnFormula>
    </tableColumn>
    <tableColumn id="70" xr3:uid="{CA2664F8-9B6B-4E52-AB90-29452BB76B41}" uniqueName="70" name="log_N-MeFOSAA" queryTableFieldId="70">
      <calculatedColumnFormula>LOG(Table1_1__2[[#This Row],[N-MeFOSAA]])</calculatedColumnFormula>
    </tableColumn>
    <tableColumn id="71" xr3:uid="{FBE74D84-2348-4C11-A001-D0B6EC12CA3D}" uniqueName="71" name="log_N-EtFOSAA" queryTableFieldId="71">
      <calculatedColumnFormula>LOG(Table1_1__2[[#This Row],[N-EtFOSAA]])</calculatedColumnFormula>
    </tableColumn>
    <tableColumn id="72" xr3:uid="{F65F5BE8-C86D-42AD-9E17-AB9F86C4F2AA}" uniqueName="72" name="log_ADONA" queryTableFieldId="72">
      <calculatedColumnFormula>LOG(Table1_1__2[[#This Row],[ADONA]])</calculatedColumnFormula>
    </tableColumn>
    <tableColumn id="73" xr3:uid="{C38090CE-2576-471B-88D6-367AFB5BAC7A}" uniqueName="73" name="log_3:3 FTCA" queryTableFieldId="73">
      <calculatedColumnFormula>LOG(Table1_1__2[[#This Row],[3:3 FTCA]])</calculatedColumnFormula>
    </tableColumn>
    <tableColumn id="74" xr3:uid="{B84B31F7-B738-4BB8-A160-BCE9ADD40F28}" uniqueName="74" name="log_5:3 FTCA" queryTableFieldId="74">
      <calculatedColumnFormula>LOG(Table1_1__2[[#This Row],[5:3 FTCA]])</calculatedColumnFormula>
    </tableColumn>
    <tableColumn id="75" xr3:uid="{EA154880-58B4-4CA0-A146-3F5486A2C775}" uniqueName="75" name="log_7:3 FTCA" queryTableFieldId="75">
      <calculatedColumnFormula>LOG(Table1_1__2[[#This Row],[7:3 FTCA]])</calculatedColumnFormula>
    </tableColumn>
    <tableColumn id="76" xr3:uid="{C6673F26-DCB7-4C9E-8700-047819E0B96F}" uniqueName="76" name="log_N-EtFOSA" queryTableFieldId="76">
      <calculatedColumnFormula>LOG(Table1_1__2[[#This Row],[N-EtFOSA]])</calculatedColumnFormula>
    </tableColumn>
    <tableColumn id="77" xr3:uid="{13DEED50-0418-47B8-BD4F-30F265F46916}" uniqueName="77" name="log_N-MeFOSE" queryTableFieldId="77">
      <calculatedColumnFormula>LOG(Table1_1__2[[#This Row],[N-MeFOSE]])</calculatedColumnFormula>
    </tableColumn>
    <tableColumn id="78" xr3:uid="{83A884CC-A54E-4E92-86FD-830A615E95CF}" uniqueName="78" name="log_N-EtFOSE" queryTableFieldId="78">
      <calculatedColumnFormula>LOG(Table1_1__2[[#This Row],[N-EtFOSE]])</calculatedColumnFormula>
    </tableColumn>
    <tableColumn id="79" xr3:uid="{F444EF34-4DC2-40D1-B9A5-735FB8B5B14A}" uniqueName="79" name="log_HFPO-DA" queryTableFieldId="79">
      <calculatedColumnFormula>LOG(Table1_1__2[[#This Row],[HFPO-DA]])</calculatedColumnFormula>
    </tableColumn>
    <tableColumn id="80" xr3:uid="{B91F7968-C145-4D68-8845-0F5C53DB30AC}" uniqueName="80" name="log_PFMBA" queryTableFieldId="80">
      <calculatedColumnFormula>LOG(Table1_1__2[[#This Row],[PFMBA]])</calculatedColumnFormula>
    </tableColumn>
    <tableColumn id="81" xr3:uid="{FD8DF1A1-6C15-47AA-A1F9-260DA5368F6E}" uniqueName="81" name="log_NFDHA" queryTableFieldId="81">
      <calculatedColumnFormula>LOG(Table1_1__2[[#This Row],[NFDHA]])</calculatedColumnFormula>
    </tableColumn>
    <tableColumn id="82" xr3:uid="{748589DA-3747-4CBB-B2E0-471D44FAEE93}" uniqueName="82" name="log_9Cl-PF3ONS" queryTableFieldId="82">
      <calculatedColumnFormula>LOG(Table1_1__2[[#This Row],[9Cl-PF3ONS]])</calculatedColumnFormula>
    </tableColumn>
    <tableColumn id="83" xr3:uid="{E47B842B-6B41-44EB-AFDF-8BC1CC3A07D8}" uniqueName="83" name="log_11Cl-PF3OUdS" queryTableFieldId="83">
      <calculatedColumnFormula>LOG(Table1_1__2[[#This Row],[11Cl-PF3OUdS]])</calculatedColumnFormula>
    </tableColumn>
    <tableColumn id="84" xr3:uid="{C4BAA5D0-28E5-49E4-BA8B-E34B5D99B457}" uniqueName="84" name="log_PFEESA" queryTableFieldId="84">
      <calculatedColumnFormula>LOG(Table1_1__2[[#This Row],[PFEESA]])</calculatedColumnFormula>
    </tableColumn>
    <tableColumn id="85" xr3:uid="{518B6B1A-BB46-4CB1-8D8E-56028C3DE339}" uniqueName="85" name="log_PFMPA" queryTableFieldId="85">
      <calculatedColumnFormula>LOG(Table1_1__2[[#This Row],[PFMPA]])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3EC7A9-D0F4-4272-B123-B5D3386DA4F2}" name="Table1_1" displayName="Table1_1" ref="A1:I2401" tableType="queryTable" totalsRowShown="0">
  <autoFilter ref="A1:I2401" xr:uid="{A43EC7A9-D0F4-4272-B123-B5D3386DA4F2}"/>
  <tableColumns count="9">
    <tableColumn id="1" xr3:uid="{E76EC751-B5F0-4AB3-A17D-6F392AB32E0E}" uniqueName="1" name="Sample ID" queryTableFieldId="1" dataDxfId="10"/>
    <tableColumn id="2" xr3:uid="{36681189-4A84-4005-A041-D9D15B61817C}" uniqueName="2" name="SampleDate" queryTableFieldId="2" dataDxfId="9"/>
    <tableColumn id="3" xr3:uid="{971EA9D6-95A4-41AA-AD3E-5AAD966A15EA}" uniqueName="3" name="Julian" queryTableFieldId="3"/>
    <tableColumn id="4" xr3:uid="{B1FECF9A-12E0-48B9-A3B8-CCFD16F49EA6}" uniqueName="4" name="Location" queryTableFieldId="4" dataDxfId="8"/>
    <tableColumn id="5" xr3:uid="{C769EAD8-808E-401F-ABEE-EAD915C792A5}" uniqueName="5" name="Seasonality" queryTableFieldId="5" dataDxfId="7"/>
    <tableColumn id="6" xr3:uid="{24636E8D-C182-4379-81DA-5BB9BB295955}" uniqueName="6" name="Parameter" queryTableFieldId="6" dataDxfId="6"/>
    <tableColumn id="9" xr3:uid="{6357729C-38A2-4603-89D2-66BA3CF2C594}" uniqueName="9" name="CAS_rn" queryTableFieldId="9" dataDxfId="5">
      <calculatedColumnFormula>_xlfn.XLOOKUP(Table1_1[[#This Row],[Parameter]],[1]analyte_order!$B:$B,[1]analyte_order!$C:$C)</calculatedColumnFormula>
    </tableColumn>
    <tableColumn id="8" xr3:uid="{52337852-C685-4847-890D-0CFB8A28FA6D}" uniqueName="8" name="Order" queryTableFieldId="8" dataDxfId="4">
      <calculatedColumnFormula>_xlfn.XLOOKUP(Table1_1[[#This Row],[CAS_rn]],[1]analyte_order!$C:$C,[1]analyte_order!$E:$E)</calculatedColumnFormula>
    </tableColumn>
    <tableColumn id="7" xr3:uid="{121D43B1-0C15-40C7-87A6-D98B8381FBF3}" uniqueName="7" name="Result" queryTableField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BF27D-B095-4D72-BDCC-F274E6A56466}">
  <dimension ref="A1:CG65"/>
  <sheetViews>
    <sheetView tabSelected="1" workbookViewId="0">
      <selection activeCell="AT1" sqref="AT1:CG65"/>
    </sheetView>
  </sheetViews>
  <sheetFormatPr defaultRowHeight="15.6" x14ac:dyDescent="0.3"/>
  <cols>
    <col min="1" max="1" width="27.59765625" bestFit="1" customWidth="1"/>
    <col min="2" max="2" width="14.296875" bestFit="1" customWidth="1"/>
    <col min="3" max="3" width="10.296875" bestFit="1" customWidth="1"/>
    <col min="4" max="4" width="12.5" bestFit="1" customWidth="1"/>
    <col min="5" max="5" width="7.8984375" bestFit="1" customWidth="1"/>
    <col min="7" max="8" width="9.09765625" bestFit="1" customWidth="1"/>
    <col min="9" max="9" width="8.19921875" bestFit="1" customWidth="1"/>
    <col min="10" max="11" width="8" bestFit="1" customWidth="1"/>
    <col min="12" max="13" width="9" bestFit="1" customWidth="1"/>
    <col min="14" max="14" width="10.09765625" bestFit="1" customWidth="1"/>
    <col min="15" max="15" width="10.296875" bestFit="1" customWidth="1"/>
    <col min="16" max="16" width="7.59765625" bestFit="1" customWidth="1"/>
    <col min="17" max="17" width="8.5" bestFit="1" customWidth="1"/>
    <col min="20" max="20" width="7.8984375" bestFit="1" customWidth="1"/>
    <col min="21" max="22" width="7.69921875" bestFit="1" customWidth="1"/>
    <col min="23" max="23" width="8.69921875" bestFit="1" customWidth="1"/>
    <col min="24" max="26" width="9.59765625" bestFit="1" customWidth="1"/>
    <col min="27" max="27" width="8.09765625" bestFit="1" customWidth="1"/>
    <col min="28" max="28" width="13" bestFit="1" customWidth="1"/>
    <col min="29" max="29" width="14.3984375" bestFit="1" customWidth="1"/>
    <col min="30" max="30" width="13.59765625" bestFit="1" customWidth="1"/>
    <col min="31" max="31" width="10.09765625" bestFit="1" customWidth="1"/>
    <col min="32" max="34" width="11.296875" bestFit="1" customWidth="1"/>
    <col min="35" max="35" width="12.19921875" bestFit="1" customWidth="1"/>
    <col min="36" max="36" width="12.8984375" bestFit="1" customWidth="1"/>
    <col min="37" max="37" width="12.09765625" bestFit="1" customWidth="1"/>
    <col min="38" max="38" width="11.796875" bestFit="1" customWidth="1"/>
    <col min="39" max="40" width="9.69921875" bestFit="1" customWidth="1"/>
    <col min="41" max="41" width="13.8984375" bestFit="1" customWidth="1"/>
    <col min="42" max="42" width="16" bestFit="1" customWidth="1"/>
    <col min="43" max="43" width="10.296875" bestFit="1" customWidth="1"/>
    <col min="44" max="44" width="9.59765625" bestFit="1" customWidth="1"/>
  </cols>
  <sheetData>
    <row r="1" spans="1:85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49</v>
      </c>
      <c r="Y1" t="s">
        <v>50</v>
      </c>
      <c r="Z1" t="s">
        <v>51</v>
      </c>
      <c r="AA1" t="s">
        <v>60</v>
      </c>
      <c r="AB1" t="s">
        <v>58</v>
      </c>
      <c r="AC1" t="s">
        <v>59</v>
      </c>
      <c r="AD1" t="s">
        <v>57</v>
      </c>
      <c r="AE1" t="s">
        <v>24</v>
      </c>
      <c r="AF1" t="s">
        <v>52</v>
      </c>
      <c r="AG1" t="s">
        <v>53</v>
      </c>
      <c r="AH1" t="s">
        <v>54</v>
      </c>
      <c r="AI1" t="s">
        <v>149</v>
      </c>
      <c r="AJ1" t="s">
        <v>150</v>
      </c>
      <c r="AK1" t="s">
        <v>151</v>
      </c>
      <c r="AL1" t="s">
        <v>152</v>
      </c>
      <c r="AM1" t="s">
        <v>153</v>
      </c>
      <c r="AN1" t="s">
        <v>154</v>
      </c>
      <c r="AO1" t="s">
        <v>155</v>
      </c>
      <c r="AP1" t="s">
        <v>156</v>
      </c>
      <c r="AQ1" t="s">
        <v>157</v>
      </c>
      <c r="AR1" t="s">
        <v>158</v>
      </c>
      <c r="AS1" t="s">
        <v>159</v>
      </c>
      <c r="AT1" t="s">
        <v>160</v>
      </c>
      <c r="AU1" t="s">
        <v>161</v>
      </c>
      <c r="AV1" t="s">
        <v>162</v>
      </c>
      <c r="AW1" t="s">
        <v>163</v>
      </c>
      <c r="AX1" t="s">
        <v>164</v>
      </c>
      <c r="AY1" t="s">
        <v>165</v>
      </c>
      <c r="AZ1" t="s">
        <v>166</v>
      </c>
      <c r="BA1" t="s">
        <v>167</v>
      </c>
      <c r="BB1" t="s">
        <v>168</v>
      </c>
      <c r="BC1" t="s">
        <v>169</v>
      </c>
      <c r="BD1" t="s">
        <v>170</v>
      </c>
      <c r="BE1" t="s">
        <v>171</v>
      </c>
      <c r="BF1" t="s">
        <v>172</v>
      </c>
      <c r="BG1" t="s">
        <v>173</v>
      </c>
      <c r="BH1" t="s">
        <v>174</v>
      </c>
      <c r="BI1" t="s">
        <v>175</v>
      </c>
      <c r="BJ1" t="s">
        <v>176</v>
      </c>
      <c r="BK1" t="s">
        <v>177</v>
      </c>
      <c r="BL1" t="s">
        <v>178</v>
      </c>
      <c r="BM1" t="s">
        <v>179</v>
      </c>
      <c r="BN1" t="s">
        <v>180</v>
      </c>
      <c r="BO1" t="s">
        <v>181</v>
      </c>
      <c r="BP1" t="s">
        <v>182</v>
      </c>
      <c r="BQ1" t="s">
        <v>183</v>
      </c>
      <c r="BR1" t="s">
        <v>184</v>
      </c>
      <c r="BS1" t="s">
        <v>185</v>
      </c>
      <c r="BT1" t="s">
        <v>186</v>
      </c>
      <c r="BU1" t="s">
        <v>187</v>
      </c>
      <c r="BV1" t="s">
        <v>188</v>
      </c>
      <c r="BW1" t="s">
        <v>189</v>
      </c>
      <c r="BX1" t="s">
        <v>190</v>
      </c>
      <c r="BY1" t="s">
        <v>191</v>
      </c>
      <c r="BZ1" t="s">
        <v>192</v>
      </c>
      <c r="CA1" t="s">
        <v>193</v>
      </c>
      <c r="CB1" t="s">
        <v>194</v>
      </c>
      <c r="CC1" t="s">
        <v>195</v>
      </c>
      <c r="CD1" t="s">
        <v>196</v>
      </c>
      <c r="CE1" t="s">
        <v>197</v>
      </c>
      <c r="CF1" t="s">
        <v>198</v>
      </c>
      <c r="CG1" t="s">
        <v>199</v>
      </c>
    </row>
    <row r="2" spans="1:85" x14ac:dyDescent="0.3">
      <c r="A2" s="2" t="s">
        <v>61</v>
      </c>
      <c r="B2" s="3">
        <v>44285</v>
      </c>
      <c r="C2" s="2" t="s">
        <v>26</v>
      </c>
      <c r="D2" s="2" t="s">
        <v>27</v>
      </c>
      <c r="E2">
        <v>0.2</v>
      </c>
      <c r="F2">
        <v>0.1</v>
      </c>
      <c r="G2">
        <v>0.16</v>
      </c>
      <c r="H2">
        <v>0.09</v>
      </c>
      <c r="I2">
        <v>0.4</v>
      </c>
      <c r="J2">
        <v>0.05</v>
      </c>
      <c r="K2">
        <v>0.05</v>
      </c>
      <c r="L2">
        <v>0.05</v>
      </c>
      <c r="M2">
        <v>0.05</v>
      </c>
      <c r="N2">
        <v>0.05</v>
      </c>
      <c r="O2">
        <v>0.05</v>
      </c>
      <c r="P2">
        <v>0.05</v>
      </c>
      <c r="Q2">
        <v>0.05</v>
      </c>
      <c r="R2">
        <v>0.34</v>
      </c>
      <c r="S2">
        <v>0.05</v>
      </c>
      <c r="T2">
        <v>0.94</v>
      </c>
      <c r="U2">
        <v>0.05</v>
      </c>
      <c r="V2">
        <v>0.05</v>
      </c>
      <c r="W2">
        <v>0.05</v>
      </c>
      <c r="X2">
        <v>0.2</v>
      </c>
      <c r="Y2">
        <v>0.4</v>
      </c>
      <c r="Z2">
        <v>0.4</v>
      </c>
      <c r="AA2">
        <v>0.09</v>
      </c>
      <c r="AB2">
        <v>0.05</v>
      </c>
      <c r="AC2">
        <v>0.05</v>
      </c>
      <c r="AD2">
        <v>0.05</v>
      </c>
      <c r="AE2">
        <v>0.2</v>
      </c>
      <c r="AF2">
        <v>0.25</v>
      </c>
      <c r="AG2">
        <v>1.25</v>
      </c>
      <c r="AH2">
        <v>1.25</v>
      </c>
      <c r="AI2">
        <v>0.05</v>
      </c>
      <c r="AJ2">
        <v>0.5</v>
      </c>
      <c r="AK2">
        <v>0.5</v>
      </c>
      <c r="AL2">
        <v>0.3</v>
      </c>
      <c r="AM2">
        <v>0.1</v>
      </c>
      <c r="AN2">
        <v>0.1</v>
      </c>
      <c r="AO2">
        <v>0.2</v>
      </c>
      <c r="AP2">
        <v>0.2</v>
      </c>
      <c r="AQ2">
        <v>0.1</v>
      </c>
      <c r="AR2">
        <v>0.1</v>
      </c>
      <c r="AS2">
        <f>SUM(Table1_1__2[[#This Row],[PFBA]:[PFMPA]])</f>
        <v>9.1699999999999982</v>
      </c>
      <c r="AT2">
        <f>LOG(Table1_1__2[[#This Row],[PFBA]])</f>
        <v>-0.69897000433601875</v>
      </c>
      <c r="AU2">
        <f>LOG(Table1_1__2[[#This Row],[PFPeA]])</f>
        <v>-1</v>
      </c>
      <c r="AV2">
        <f>LOG(Table1_1__2[[#This Row],[PFHxA]])</f>
        <v>-0.79588001734407521</v>
      </c>
      <c r="AW2">
        <f>LOG(Table1_1__2[[#This Row],[PFHpA]])</f>
        <v>-1.0457574905606752</v>
      </c>
      <c r="AX2">
        <f>LOG(Table1_1__2[[#This Row],[PFOA]])</f>
        <v>-0.3979400086720376</v>
      </c>
      <c r="AY2">
        <f>LOG(Table1_1__2[[#This Row],[PFNA]])</f>
        <v>-1.3010299956639813</v>
      </c>
      <c r="AZ2">
        <f>LOG(Table1_1__2[[#This Row],[PFDA]])</f>
        <v>-1.3010299956639813</v>
      </c>
      <c r="BA2">
        <f>LOG(Table1_1__2[[#This Row],[PFUnA]])</f>
        <v>-1.3010299956639813</v>
      </c>
      <c r="BB2">
        <f>LOG(Table1_1__2[[#This Row],[PFDoA]])</f>
        <v>-1.3010299956639813</v>
      </c>
      <c r="BC2">
        <f>LOG(Table1_1__2[[#This Row],[PFTrDA]])</f>
        <v>-1.3010299956639813</v>
      </c>
      <c r="BD2">
        <f>LOG(Table1_1__2[[#This Row],[PFTeDA]])</f>
        <v>-1.3010299956639813</v>
      </c>
      <c r="BE2">
        <f>LOG(Table1_1__2[[#This Row],[PFBS]])</f>
        <v>-1.3010299956639813</v>
      </c>
      <c r="BF2">
        <f>LOG(Table1_1__2[[#This Row],[PFPeS]])</f>
        <v>-1.3010299956639813</v>
      </c>
      <c r="BG2">
        <f>LOG(Table1_1__2[[#This Row],[PFHxS]])</f>
        <v>-0.46852108295774486</v>
      </c>
      <c r="BH2">
        <f>LOG(Table1_1__2[[#This Row],[PFHpS]])</f>
        <v>-1.3010299956639813</v>
      </c>
      <c r="BI2">
        <f>LOG(Table1_1__2[[#This Row],[PFOS]])</f>
        <v>-2.6872146400301365E-2</v>
      </c>
      <c r="BJ2">
        <f>LOG(Table1_1__2[[#This Row],[PFNS]])</f>
        <v>-1.3010299956639813</v>
      </c>
      <c r="BK2">
        <f>LOG(Table1_1__2[[#This Row],[PFDS]])</f>
        <v>-1.3010299956639813</v>
      </c>
      <c r="BL2">
        <f>LOG(Table1_1__2[[#This Row],[PFDoS]])</f>
        <v>-1.3010299956639813</v>
      </c>
      <c r="BM2">
        <f>LOG(Table1_1__2[[#This Row],[4:2 FTS]])</f>
        <v>-0.69897000433601875</v>
      </c>
      <c r="BN2">
        <f>LOG(Table1_1__2[[#This Row],[6:2 FTS]])</f>
        <v>-0.3979400086720376</v>
      </c>
      <c r="BO2">
        <f>LOG(Table1_1__2[[#This Row],[8:2 FTS]])</f>
        <v>-0.3979400086720376</v>
      </c>
      <c r="BP2">
        <f>LOG(Table1_1__2[[#This Row],[FOSA]])</f>
        <v>-1.0457574905606752</v>
      </c>
      <c r="BQ2">
        <f>LOG(Table1_1__2[[#This Row],[N-MeFOSA]])</f>
        <v>-1.3010299956639813</v>
      </c>
      <c r="BR2">
        <f>LOG(Table1_1__2[[#This Row],[N-MeFOSAA]])</f>
        <v>-1.3010299956639813</v>
      </c>
      <c r="BS2">
        <f>LOG(Table1_1__2[[#This Row],[N-EtFOSAA]])</f>
        <v>-1.3010299956639813</v>
      </c>
      <c r="BT2">
        <f>LOG(Table1_1__2[[#This Row],[ADONA]])</f>
        <v>-0.69897000433601875</v>
      </c>
      <c r="BU2">
        <f>LOG(Table1_1__2[[#This Row],[3:3 FTCA]])</f>
        <v>-0.6020599913279624</v>
      </c>
      <c r="BV2">
        <f>LOG(Table1_1__2[[#This Row],[5:3 FTCA]])</f>
        <v>9.691001300805642E-2</v>
      </c>
      <c r="BW2">
        <f>LOG(Table1_1__2[[#This Row],[7:3 FTCA]])</f>
        <v>9.691001300805642E-2</v>
      </c>
      <c r="BX2">
        <f>LOG(Table1_1__2[[#This Row],[N-EtFOSA]])</f>
        <v>-1.3010299956639813</v>
      </c>
      <c r="BY2">
        <f>LOG(Table1_1__2[[#This Row],[N-MeFOSE]])</f>
        <v>-0.3010299956639812</v>
      </c>
      <c r="BZ2">
        <f>LOG(Table1_1__2[[#This Row],[N-EtFOSE]])</f>
        <v>-0.3010299956639812</v>
      </c>
      <c r="CA2">
        <f>LOG(Table1_1__2[[#This Row],[HFPO-DA]])</f>
        <v>-0.52287874528033762</v>
      </c>
      <c r="CB2">
        <f>LOG(Table1_1__2[[#This Row],[PFMBA]])</f>
        <v>-1</v>
      </c>
      <c r="CC2">
        <f>LOG(Table1_1__2[[#This Row],[NFDHA]])</f>
        <v>-1</v>
      </c>
      <c r="CD2">
        <f>LOG(Table1_1__2[[#This Row],[9Cl-PF3ONS]])</f>
        <v>-0.69897000433601875</v>
      </c>
      <c r="CE2">
        <f>LOG(Table1_1__2[[#This Row],[11Cl-PF3OUdS]])</f>
        <v>-0.69897000433601875</v>
      </c>
      <c r="CF2">
        <f>LOG(Table1_1__2[[#This Row],[PFEESA]])</f>
        <v>-1</v>
      </c>
      <c r="CG2">
        <f>LOG(Table1_1__2[[#This Row],[PFMPA]])</f>
        <v>-1</v>
      </c>
    </row>
    <row r="3" spans="1:85" x14ac:dyDescent="0.3">
      <c r="A3" s="2" t="s">
        <v>62</v>
      </c>
      <c r="B3" s="3">
        <v>44285</v>
      </c>
      <c r="C3" s="2" t="s">
        <v>31</v>
      </c>
      <c r="D3" s="2" t="s">
        <v>27</v>
      </c>
      <c r="E3">
        <v>0.2</v>
      </c>
      <c r="F3">
        <v>0.1</v>
      </c>
      <c r="G3">
        <v>0.09</v>
      </c>
      <c r="H3">
        <v>0.09</v>
      </c>
      <c r="I3">
        <v>6.8000000000000005E-2</v>
      </c>
      <c r="J3">
        <v>4.9500000000000002E-2</v>
      </c>
      <c r="K3">
        <v>4.9500000000000002E-2</v>
      </c>
      <c r="L3">
        <v>4.9500000000000002E-2</v>
      </c>
      <c r="M3">
        <v>4.9500000000000002E-2</v>
      </c>
      <c r="N3">
        <v>4.9500000000000002E-2</v>
      </c>
      <c r="O3">
        <v>4.9500000000000002E-2</v>
      </c>
      <c r="P3">
        <v>4.9500000000000002E-2</v>
      </c>
      <c r="Q3">
        <v>4.9500000000000002E-2</v>
      </c>
      <c r="R3">
        <v>0.21</v>
      </c>
      <c r="S3">
        <v>4.9500000000000002E-2</v>
      </c>
      <c r="T3">
        <v>1.2</v>
      </c>
      <c r="U3">
        <v>4.9500000000000002E-2</v>
      </c>
      <c r="V3">
        <v>4.9500000000000002E-2</v>
      </c>
      <c r="W3">
        <v>4.9500000000000002E-2</v>
      </c>
      <c r="X3">
        <v>0.2</v>
      </c>
      <c r="Y3">
        <v>0.39500000000000002</v>
      </c>
      <c r="Z3">
        <v>0.39500000000000002</v>
      </c>
      <c r="AA3">
        <v>0.14000000000000001</v>
      </c>
      <c r="AB3">
        <v>4.9500000000000002E-2</v>
      </c>
      <c r="AC3">
        <v>4.9500000000000002E-2</v>
      </c>
      <c r="AD3">
        <v>4.9500000000000002E-2</v>
      </c>
      <c r="AE3">
        <v>0.2</v>
      </c>
      <c r="AF3">
        <v>0.245</v>
      </c>
      <c r="AG3">
        <v>1.25</v>
      </c>
      <c r="AH3">
        <v>1.25</v>
      </c>
      <c r="AI3">
        <v>4.9500000000000002E-2</v>
      </c>
      <c r="AJ3">
        <v>0.495</v>
      </c>
      <c r="AK3">
        <v>0.495</v>
      </c>
      <c r="AL3">
        <v>0.29499999999999998</v>
      </c>
      <c r="AM3">
        <v>0.1</v>
      </c>
      <c r="AN3">
        <v>0.1</v>
      </c>
      <c r="AO3">
        <v>0.2</v>
      </c>
      <c r="AP3">
        <v>0.2</v>
      </c>
      <c r="AQ3">
        <v>0.1</v>
      </c>
      <c r="AR3">
        <v>0.1</v>
      </c>
      <c r="AS3">
        <f>SUM(Table1_1__2[[#This Row],[PFBA]:[PFMPA]])</f>
        <v>8.9099999999999984</v>
      </c>
      <c r="AT3">
        <f>LOG(Table1_1__2[[#This Row],[PFBA]])</f>
        <v>-0.69897000433601875</v>
      </c>
      <c r="AU3">
        <f>LOG(Table1_1__2[[#This Row],[PFPeA]])</f>
        <v>-1</v>
      </c>
      <c r="AV3">
        <f>LOG(Table1_1__2[[#This Row],[PFHxA]])</f>
        <v>-1.0457574905606752</v>
      </c>
      <c r="AW3">
        <f>LOG(Table1_1__2[[#This Row],[PFHpA]])</f>
        <v>-1.0457574905606752</v>
      </c>
      <c r="AX3">
        <f>LOG(Table1_1__2[[#This Row],[PFOA]])</f>
        <v>-1.1674910872937636</v>
      </c>
      <c r="AY3">
        <f>LOG(Table1_1__2[[#This Row],[PFNA]])</f>
        <v>-1.3053948010664314</v>
      </c>
      <c r="AZ3">
        <f>LOG(Table1_1__2[[#This Row],[PFDA]])</f>
        <v>-1.3053948010664314</v>
      </c>
      <c r="BA3">
        <f>LOG(Table1_1__2[[#This Row],[PFUnA]])</f>
        <v>-1.3053948010664314</v>
      </c>
      <c r="BB3">
        <f>LOG(Table1_1__2[[#This Row],[PFDoA]])</f>
        <v>-1.3053948010664314</v>
      </c>
      <c r="BC3">
        <f>LOG(Table1_1__2[[#This Row],[PFTrDA]])</f>
        <v>-1.3053948010664314</v>
      </c>
      <c r="BD3">
        <f>LOG(Table1_1__2[[#This Row],[PFTeDA]])</f>
        <v>-1.3053948010664314</v>
      </c>
      <c r="BE3">
        <f>LOG(Table1_1__2[[#This Row],[PFBS]])</f>
        <v>-1.3053948010664314</v>
      </c>
      <c r="BF3">
        <f>LOG(Table1_1__2[[#This Row],[PFPeS]])</f>
        <v>-1.3053948010664314</v>
      </c>
      <c r="BG3">
        <f>LOG(Table1_1__2[[#This Row],[PFHxS]])</f>
        <v>-0.6777807052660807</v>
      </c>
      <c r="BH3">
        <f>LOG(Table1_1__2[[#This Row],[PFHpS]])</f>
        <v>-1.3053948010664314</v>
      </c>
      <c r="BI3">
        <f>LOG(Table1_1__2[[#This Row],[PFOS]])</f>
        <v>7.9181246047624818E-2</v>
      </c>
      <c r="BJ3">
        <f>LOG(Table1_1__2[[#This Row],[PFNS]])</f>
        <v>-1.3053948010664314</v>
      </c>
      <c r="BK3">
        <f>LOG(Table1_1__2[[#This Row],[PFDS]])</f>
        <v>-1.3053948010664314</v>
      </c>
      <c r="BL3">
        <f>LOG(Table1_1__2[[#This Row],[PFDoS]])</f>
        <v>-1.3053948010664314</v>
      </c>
      <c r="BM3">
        <f>LOG(Table1_1__2[[#This Row],[4:2 FTS]])</f>
        <v>-0.69897000433601875</v>
      </c>
      <c r="BN3">
        <f>LOG(Table1_1__2[[#This Row],[6:2 FTS]])</f>
        <v>-0.40340290437353976</v>
      </c>
      <c r="BO3">
        <f>LOG(Table1_1__2[[#This Row],[8:2 FTS]])</f>
        <v>-0.40340290437353976</v>
      </c>
      <c r="BP3">
        <f>LOG(Table1_1__2[[#This Row],[FOSA]])</f>
        <v>-0.85387196432176193</v>
      </c>
      <c r="BQ3">
        <f>LOG(Table1_1__2[[#This Row],[N-MeFOSA]])</f>
        <v>-1.3053948010664314</v>
      </c>
      <c r="BR3">
        <f>LOG(Table1_1__2[[#This Row],[N-MeFOSAA]])</f>
        <v>-1.3053948010664314</v>
      </c>
      <c r="BS3">
        <f>LOG(Table1_1__2[[#This Row],[N-EtFOSAA]])</f>
        <v>-1.3053948010664314</v>
      </c>
      <c r="BT3">
        <f>LOG(Table1_1__2[[#This Row],[ADONA]])</f>
        <v>-0.69897000433601875</v>
      </c>
      <c r="BU3">
        <f>LOG(Table1_1__2[[#This Row],[3:3 FTCA]])</f>
        <v>-0.61083391563546752</v>
      </c>
      <c r="BV3">
        <f>LOG(Table1_1__2[[#This Row],[5:3 FTCA]])</f>
        <v>9.691001300805642E-2</v>
      </c>
      <c r="BW3">
        <f>LOG(Table1_1__2[[#This Row],[7:3 FTCA]])</f>
        <v>9.691001300805642E-2</v>
      </c>
      <c r="BX3">
        <f>LOG(Table1_1__2[[#This Row],[N-EtFOSA]])</f>
        <v>-1.3053948010664314</v>
      </c>
      <c r="BY3">
        <f>LOG(Table1_1__2[[#This Row],[N-MeFOSE]])</f>
        <v>-0.3053948010664313</v>
      </c>
      <c r="BZ3">
        <f>LOG(Table1_1__2[[#This Row],[N-EtFOSE]])</f>
        <v>-0.3053948010664313</v>
      </c>
      <c r="CA3">
        <f>LOG(Table1_1__2[[#This Row],[HFPO-DA]])</f>
        <v>-0.53017798402183702</v>
      </c>
      <c r="CB3">
        <f>LOG(Table1_1__2[[#This Row],[PFMBA]])</f>
        <v>-1</v>
      </c>
      <c r="CC3">
        <f>LOG(Table1_1__2[[#This Row],[NFDHA]])</f>
        <v>-1</v>
      </c>
      <c r="CD3">
        <f>LOG(Table1_1__2[[#This Row],[9Cl-PF3ONS]])</f>
        <v>-0.69897000433601875</v>
      </c>
      <c r="CE3">
        <f>LOG(Table1_1__2[[#This Row],[11Cl-PF3OUdS]])</f>
        <v>-0.69897000433601875</v>
      </c>
      <c r="CF3">
        <f>LOG(Table1_1__2[[#This Row],[PFEESA]])</f>
        <v>-1</v>
      </c>
      <c r="CG3">
        <f>LOG(Table1_1__2[[#This Row],[PFMPA]])</f>
        <v>-1</v>
      </c>
    </row>
    <row r="4" spans="1:85" x14ac:dyDescent="0.3">
      <c r="A4" s="2" t="s">
        <v>63</v>
      </c>
      <c r="B4" s="3">
        <v>44285</v>
      </c>
      <c r="C4" s="2" t="s">
        <v>33</v>
      </c>
      <c r="D4" s="2" t="s">
        <v>27</v>
      </c>
      <c r="E4">
        <v>0.2</v>
      </c>
      <c r="F4">
        <v>0.1</v>
      </c>
      <c r="G4">
        <v>0.09</v>
      </c>
      <c r="H4">
        <v>0.09</v>
      </c>
      <c r="I4">
        <v>0.1</v>
      </c>
      <c r="J4">
        <v>0.05</v>
      </c>
      <c r="K4">
        <v>0.05</v>
      </c>
      <c r="L4">
        <v>0.05</v>
      </c>
      <c r="M4">
        <v>0.05</v>
      </c>
      <c r="N4">
        <v>0.05</v>
      </c>
      <c r="O4">
        <v>0.05</v>
      </c>
      <c r="P4">
        <v>0.05</v>
      </c>
      <c r="Q4">
        <v>0.05</v>
      </c>
      <c r="R4">
        <v>0.34</v>
      </c>
      <c r="S4">
        <v>0.05</v>
      </c>
      <c r="T4">
        <v>1.3</v>
      </c>
      <c r="U4">
        <v>0.05</v>
      </c>
      <c r="V4">
        <v>0.05</v>
      </c>
      <c r="W4">
        <v>0.05</v>
      </c>
      <c r="X4">
        <v>0.2</v>
      </c>
      <c r="Y4">
        <v>0.4</v>
      </c>
      <c r="Z4">
        <v>0.4</v>
      </c>
      <c r="AA4">
        <v>0.09</v>
      </c>
      <c r="AB4">
        <v>0.05</v>
      </c>
      <c r="AC4">
        <v>0.05</v>
      </c>
      <c r="AD4">
        <v>0.05</v>
      </c>
      <c r="AE4">
        <v>0.2</v>
      </c>
      <c r="AF4">
        <v>0.25</v>
      </c>
      <c r="AG4">
        <v>1.25</v>
      </c>
      <c r="AH4">
        <v>1.25</v>
      </c>
      <c r="AI4">
        <v>0.05</v>
      </c>
      <c r="AJ4">
        <v>0.5</v>
      </c>
      <c r="AK4">
        <v>0.5</v>
      </c>
      <c r="AL4">
        <v>0.3</v>
      </c>
      <c r="AM4">
        <v>0.1</v>
      </c>
      <c r="AN4">
        <v>0.1</v>
      </c>
      <c r="AO4">
        <v>0.2</v>
      </c>
      <c r="AP4">
        <v>0.2</v>
      </c>
      <c r="AQ4">
        <v>0.1</v>
      </c>
      <c r="AR4">
        <v>0.1</v>
      </c>
      <c r="AS4">
        <f>SUM(Table1_1__2[[#This Row],[PFBA]:[PFMPA]])</f>
        <v>9.1599999999999966</v>
      </c>
      <c r="AT4">
        <f>LOG(Table1_1__2[[#This Row],[PFBA]])</f>
        <v>-0.69897000433601875</v>
      </c>
      <c r="AU4">
        <f>LOG(Table1_1__2[[#This Row],[PFPeA]])</f>
        <v>-1</v>
      </c>
      <c r="AV4">
        <f>LOG(Table1_1__2[[#This Row],[PFHxA]])</f>
        <v>-1.0457574905606752</v>
      </c>
      <c r="AW4">
        <f>LOG(Table1_1__2[[#This Row],[PFHpA]])</f>
        <v>-1.0457574905606752</v>
      </c>
      <c r="AX4">
        <f>LOG(Table1_1__2[[#This Row],[PFOA]])</f>
        <v>-1</v>
      </c>
      <c r="AY4">
        <f>LOG(Table1_1__2[[#This Row],[PFNA]])</f>
        <v>-1.3010299956639813</v>
      </c>
      <c r="AZ4">
        <f>LOG(Table1_1__2[[#This Row],[PFDA]])</f>
        <v>-1.3010299956639813</v>
      </c>
      <c r="BA4">
        <f>LOG(Table1_1__2[[#This Row],[PFUnA]])</f>
        <v>-1.3010299956639813</v>
      </c>
      <c r="BB4">
        <f>LOG(Table1_1__2[[#This Row],[PFDoA]])</f>
        <v>-1.3010299956639813</v>
      </c>
      <c r="BC4">
        <f>LOG(Table1_1__2[[#This Row],[PFTrDA]])</f>
        <v>-1.3010299956639813</v>
      </c>
      <c r="BD4">
        <f>LOG(Table1_1__2[[#This Row],[PFTeDA]])</f>
        <v>-1.3010299956639813</v>
      </c>
      <c r="BE4">
        <f>LOG(Table1_1__2[[#This Row],[PFBS]])</f>
        <v>-1.3010299956639813</v>
      </c>
      <c r="BF4">
        <f>LOG(Table1_1__2[[#This Row],[PFPeS]])</f>
        <v>-1.3010299956639813</v>
      </c>
      <c r="BG4">
        <f>LOG(Table1_1__2[[#This Row],[PFHxS]])</f>
        <v>-0.46852108295774486</v>
      </c>
      <c r="BH4">
        <f>LOG(Table1_1__2[[#This Row],[PFHpS]])</f>
        <v>-1.3010299956639813</v>
      </c>
      <c r="BI4">
        <f>LOG(Table1_1__2[[#This Row],[PFOS]])</f>
        <v>0.11394335230683679</v>
      </c>
      <c r="BJ4">
        <f>LOG(Table1_1__2[[#This Row],[PFNS]])</f>
        <v>-1.3010299956639813</v>
      </c>
      <c r="BK4">
        <f>LOG(Table1_1__2[[#This Row],[PFDS]])</f>
        <v>-1.3010299956639813</v>
      </c>
      <c r="BL4">
        <f>LOG(Table1_1__2[[#This Row],[PFDoS]])</f>
        <v>-1.3010299956639813</v>
      </c>
      <c r="BM4">
        <f>LOG(Table1_1__2[[#This Row],[4:2 FTS]])</f>
        <v>-0.69897000433601875</v>
      </c>
      <c r="BN4">
        <f>LOG(Table1_1__2[[#This Row],[6:2 FTS]])</f>
        <v>-0.3979400086720376</v>
      </c>
      <c r="BO4">
        <f>LOG(Table1_1__2[[#This Row],[8:2 FTS]])</f>
        <v>-0.3979400086720376</v>
      </c>
      <c r="BP4">
        <f>LOG(Table1_1__2[[#This Row],[FOSA]])</f>
        <v>-1.0457574905606752</v>
      </c>
      <c r="BQ4">
        <f>LOG(Table1_1__2[[#This Row],[N-MeFOSA]])</f>
        <v>-1.3010299956639813</v>
      </c>
      <c r="BR4">
        <f>LOG(Table1_1__2[[#This Row],[N-MeFOSAA]])</f>
        <v>-1.3010299956639813</v>
      </c>
      <c r="BS4">
        <f>LOG(Table1_1__2[[#This Row],[N-EtFOSAA]])</f>
        <v>-1.3010299956639813</v>
      </c>
      <c r="BT4">
        <f>LOG(Table1_1__2[[#This Row],[ADONA]])</f>
        <v>-0.69897000433601875</v>
      </c>
      <c r="BU4">
        <f>LOG(Table1_1__2[[#This Row],[3:3 FTCA]])</f>
        <v>-0.6020599913279624</v>
      </c>
      <c r="BV4">
        <f>LOG(Table1_1__2[[#This Row],[5:3 FTCA]])</f>
        <v>9.691001300805642E-2</v>
      </c>
      <c r="BW4">
        <f>LOG(Table1_1__2[[#This Row],[7:3 FTCA]])</f>
        <v>9.691001300805642E-2</v>
      </c>
      <c r="BX4">
        <f>LOG(Table1_1__2[[#This Row],[N-EtFOSA]])</f>
        <v>-1.3010299956639813</v>
      </c>
      <c r="BY4">
        <f>LOG(Table1_1__2[[#This Row],[N-MeFOSE]])</f>
        <v>-0.3010299956639812</v>
      </c>
      <c r="BZ4">
        <f>LOG(Table1_1__2[[#This Row],[N-EtFOSE]])</f>
        <v>-0.3010299956639812</v>
      </c>
      <c r="CA4">
        <f>LOG(Table1_1__2[[#This Row],[HFPO-DA]])</f>
        <v>-0.52287874528033762</v>
      </c>
      <c r="CB4">
        <f>LOG(Table1_1__2[[#This Row],[PFMBA]])</f>
        <v>-1</v>
      </c>
      <c r="CC4">
        <f>LOG(Table1_1__2[[#This Row],[NFDHA]])</f>
        <v>-1</v>
      </c>
      <c r="CD4">
        <f>LOG(Table1_1__2[[#This Row],[9Cl-PF3ONS]])</f>
        <v>-0.69897000433601875</v>
      </c>
      <c r="CE4">
        <f>LOG(Table1_1__2[[#This Row],[11Cl-PF3OUdS]])</f>
        <v>-0.69897000433601875</v>
      </c>
      <c r="CF4">
        <f>LOG(Table1_1__2[[#This Row],[PFEESA]])</f>
        <v>-1</v>
      </c>
      <c r="CG4">
        <f>LOG(Table1_1__2[[#This Row],[PFMPA]])</f>
        <v>-1</v>
      </c>
    </row>
    <row r="5" spans="1:85" x14ac:dyDescent="0.3">
      <c r="A5" s="2" t="s">
        <v>64</v>
      </c>
      <c r="B5" s="3">
        <v>44285</v>
      </c>
      <c r="C5" s="2" t="s">
        <v>29</v>
      </c>
      <c r="D5" s="2" t="s">
        <v>27</v>
      </c>
      <c r="E5">
        <v>0.2</v>
      </c>
      <c r="F5">
        <v>0.1</v>
      </c>
      <c r="G5">
        <v>0.09</v>
      </c>
      <c r="H5">
        <v>0.09</v>
      </c>
      <c r="I5">
        <v>0.14000000000000001</v>
      </c>
      <c r="J5">
        <v>0.05</v>
      </c>
      <c r="K5">
        <v>0.05</v>
      </c>
      <c r="L5">
        <v>0.05</v>
      </c>
      <c r="M5">
        <v>0.05</v>
      </c>
      <c r="N5">
        <v>0.05</v>
      </c>
      <c r="O5">
        <v>0.05</v>
      </c>
      <c r="P5">
        <v>0.05</v>
      </c>
      <c r="Q5">
        <v>0.05</v>
      </c>
      <c r="R5">
        <v>0.18</v>
      </c>
      <c r="S5">
        <v>0.05</v>
      </c>
      <c r="T5">
        <v>0.78</v>
      </c>
      <c r="U5">
        <v>0.05</v>
      </c>
      <c r="V5">
        <v>0.05</v>
      </c>
      <c r="W5">
        <v>0.05</v>
      </c>
      <c r="X5">
        <v>0.2</v>
      </c>
      <c r="Y5">
        <v>0.4</v>
      </c>
      <c r="Z5">
        <v>0.4</v>
      </c>
      <c r="AA5">
        <v>0.09</v>
      </c>
      <c r="AB5">
        <v>0.05</v>
      </c>
      <c r="AC5">
        <v>0.05</v>
      </c>
      <c r="AD5">
        <v>0.05</v>
      </c>
      <c r="AE5">
        <v>0.2</v>
      </c>
      <c r="AF5">
        <v>0.25</v>
      </c>
      <c r="AG5">
        <v>1.25</v>
      </c>
      <c r="AH5">
        <v>1.25</v>
      </c>
      <c r="AI5">
        <v>0.05</v>
      </c>
      <c r="AJ5">
        <v>0.5</v>
      </c>
      <c r="AK5">
        <v>0.5</v>
      </c>
      <c r="AL5">
        <v>0.3</v>
      </c>
      <c r="AM5">
        <v>0.1</v>
      </c>
      <c r="AN5">
        <v>0.1</v>
      </c>
      <c r="AO5">
        <v>0.2</v>
      </c>
      <c r="AP5">
        <v>0.2</v>
      </c>
      <c r="AQ5">
        <v>0.1</v>
      </c>
      <c r="AR5">
        <v>0.1</v>
      </c>
      <c r="AS5">
        <f>SUM(Table1_1__2[[#This Row],[PFBA]:[PFMPA]])</f>
        <v>8.519999999999996</v>
      </c>
      <c r="AT5">
        <f>LOG(Table1_1__2[[#This Row],[PFBA]])</f>
        <v>-0.69897000433601875</v>
      </c>
      <c r="AU5">
        <f>LOG(Table1_1__2[[#This Row],[PFPeA]])</f>
        <v>-1</v>
      </c>
      <c r="AV5">
        <f>LOG(Table1_1__2[[#This Row],[PFHxA]])</f>
        <v>-1.0457574905606752</v>
      </c>
      <c r="AW5">
        <f>LOG(Table1_1__2[[#This Row],[PFHpA]])</f>
        <v>-1.0457574905606752</v>
      </c>
      <c r="AX5">
        <f>LOG(Table1_1__2[[#This Row],[PFOA]])</f>
        <v>-0.85387196432176193</v>
      </c>
      <c r="AY5">
        <f>LOG(Table1_1__2[[#This Row],[PFNA]])</f>
        <v>-1.3010299956639813</v>
      </c>
      <c r="AZ5">
        <f>LOG(Table1_1__2[[#This Row],[PFDA]])</f>
        <v>-1.3010299956639813</v>
      </c>
      <c r="BA5">
        <f>LOG(Table1_1__2[[#This Row],[PFUnA]])</f>
        <v>-1.3010299956639813</v>
      </c>
      <c r="BB5">
        <f>LOG(Table1_1__2[[#This Row],[PFDoA]])</f>
        <v>-1.3010299956639813</v>
      </c>
      <c r="BC5">
        <f>LOG(Table1_1__2[[#This Row],[PFTrDA]])</f>
        <v>-1.3010299956639813</v>
      </c>
      <c r="BD5">
        <f>LOG(Table1_1__2[[#This Row],[PFTeDA]])</f>
        <v>-1.3010299956639813</v>
      </c>
      <c r="BE5">
        <f>LOG(Table1_1__2[[#This Row],[PFBS]])</f>
        <v>-1.3010299956639813</v>
      </c>
      <c r="BF5">
        <f>LOG(Table1_1__2[[#This Row],[PFPeS]])</f>
        <v>-1.3010299956639813</v>
      </c>
      <c r="BG5">
        <f>LOG(Table1_1__2[[#This Row],[PFHxS]])</f>
        <v>-0.74472749489669399</v>
      </c>
      <c r="BH5">
        <f>LOG(Table1_1__2[[#This Row],[PFHpS]])</f>
        <v>-1.3010299956639813</v>
      </c>
      <c r="BI5">
        <f>LOG(Table1_1__2[[#This Row],[PFOS]])</f>
        <v>-0.10790539730951958</v>
      </c>
      <c r="BJ5">
        <f>LOG(Table1_1__2[[#This Row],[PFNS]])</f>
        <v>-1.3010299956639813</v>
      </c>
      <c r="BK5">
        <f>LOG(Table1_1__2[[#This Row],[PFDS]])</f>
        <v>-1.3010299956639813</v>
      </c>
      <c r="BL5">
        <f>LOG(Table1_1__2[[#This Row],[PFDoS]])</f>
        <v>-1.3010299956639813</v>
      </c>
      <c r="BM5">
        <f>LOG(Table1_1__2[[#This Row],[4:2 FTS]])</f>
        <v>-0.69897000433601875</v>
      </c>
      <c r="BN5">
        <f>LOG(Table1_1__2[[#This Row],[6:2 FTS]])</f>
        <v>-0.3979400086720376</v>
      </c>
      <c r="BO5">
        <f>LOG(Table1_1__2[[#This Row],[8:2 FTS]])</f>
        <v>-0.3979400086720376</v>
      </c>
      <c r="BP5">
        <f>LOG(Table1_1__2[[#This Row],[FOSA]])</f>
        <v>-1.0457574905606752</v>
      </c>
      <c r="BQ5">
        <f>LOG(Table1_1__2[[#This Row],[N-MeFOSA]])</f>
        <v>-1.3010299956639813</v>
      </c>
      <c r="BR5">
        <f>LOG(Table1_1__2[[#This Row],[N-MeFOSAA]])</f>
        <v>-1.3010299956639813</v>
      </c>
      <c r="BS5">
        <f>LOG(Table1_1__2[[#This Row],[N-EtFOSAA]])</f>
        <v>-1.3010299956639813</v>
      </c>
      <c r="BT5">
        <f>LOG(Table1_1__2[[#This Row],[ADONA]])</f>
        <v>-0.69897000433601875</v>
      </c>
      <c r="BU5">
        <f>LOG(Table1_1__2[[#This Row],[3:3 FTCA]])</f>
        <v>-0.6020599913279624</v>
      </c>
      <c r="BV5">
        <f>LOG(Table1_1__2[[#This Row],[5:3 FTCA]])</f>
        <v>9.691001300805642E-2</v>
      </c>
      <c r="BW5">
        <f>LOG(Table1_1__2[[#This Row],[7:3 FTCA]])</f>
        <v>9.691001300805642E-2</v>
      </c>
      <c r="BX5">
        <f>LOG(Table1_1__2[[#This Row],[N-EtFOSA]])</f>
        <v>-1.3010299956639813</v>
      </c>
      <c r="BY5">
        <f>LOG(Table1_1__2[[#This Row],[N-MeFOSE]])</f>
        <v>-0.3010299956639812</v>
      </c>
      <c r="BZ5">
        <f>LOG(Table1_1__2[[#This Row],[N-EtFOSE]])</f>
        <v>-0.3010299956639812</v>
      </c>
      <c r="CA5">
        <f>LOG(Table1_1__2[[#This Row],[HFPO-DA]])</f>
        <v>-0.52287874528033762</v>
      </c>
      <c r="CB5">
        <f>LOG(Table1_1__2[[#This Row],[PFMBA]])</f>
        <v>-1</v>
      </c>
      <c r="CC5">
        <f>LOG(Table1_1__2[[#This Row],[NFDHA]])</f>
        <v>-1</v>
      </c>
      <c r="CD5">
        <f>LOG(Table1_1__2[[#This Row],[9Cl-PF3ONS]])</f>
        <v>-0.69897000433601875</v>
      </c>
      <c r="CE5">
        <f>LOG(Table1_1__2[[#This Row],[11Cl-PF3OUdS]])</f>
        <v>-0.69897000433601875</v>
      </c>
      <c r="CF5">
        <f>LOG(Table1_1__2[[#This Row],[PFEESA]])</f>
        <v>-1</v>
      </c>
      <c r="CG5">
        <f>LOG(Table1_1__2[[#This Row],[PFMPA]])</f>
        <v>-1</v>
      </c>
    </row>
    <row r="6" spans="1:85" x14ac:dyDescent="0.3">
      <c r="A6" s="2" t="s">
        <v>25</v>
      </c>
      <c r="B6" s="3">
        <v>44288</v>
      </c>
      <c r="C6" s="2" t="s">
        <v>26</v>
      </c>
      <c r="D6" s="2" t="s">
        <v>27</v>
      </c>
      <c r="E6">
        <v>0.08</v>
      </c>
      <c r="F6">
        <v>0.04</v>
      </c>
      <c r="G6">
        <v>0.17</v>
      </c>
      <c r="H6">
        <v>0.02</v>
      </c>
      <c r="I6">
        <v>0.33200000000000002</v>
      </c>
      <c r="J6">
        <v>6.6000000000000003E-2</v>
      </c>
      <c r="K6">
        <v>0.02</v>
      </c>
      <c r="L6">
        <v>0.02</v>
      </c>
      <c r="M6">
        <v>0.02</v>
      </c>
      <c r="N6">
        <v>0.02</v>
      </c>
      <c r="O6">
        <v>0.02</v>
      </c>
      <c r="P6">
        <v>0.02</v>
      </c>
      <c r="Q6">
        <v>0.02</v>
      </c>
      <c r="R6">
        <v>0.33</v>
      </c>
      <c r="S6">
        <v>0.02</v>
      </c>
      <c r="T6">
        <v>0.97199999999999998</v>
      </c>
      <c r="U6">
        <v>0.02</v>
      </c>
      <c r="V6">
        <v>0.02</v>
      </c>
      <c r="W6">
        <v>0.02</v>
      </c>
      <c r="X6">
        <v>0.08</v>
      </c>
      <c r="Y6">
        <v>0.08</v>
      </c>
      <c r="Z6">
        <v>0.08</v>
      </c>
      <c r="AA6">
        <v>0.02</v>
      </c>
      <c r="AB6">
        <v>0.02</v>
      </c>
      <c r="AC6">
        <v>0.02</v>
      </c>
      <c r="AD6">
        <v>0.02</v>
      </c>
      <c r="AE6">
        <v>0.08</v>
      </c>
      <c r="AF6">
        <v>0.08</v>
      </c>
      <c r="AG6">
        <v>0.5</v>
      </c>
      <c r="AH6">
        <v>0.5</v>
      </c>
      <c r="AS6">
        <f>SUM(Table1_1__2[[#This Row],[PFBA]:[PFMPA]])</f>
        <v>3.7100000000000009</v>
      </c>
      <c r="AT6">
        <f>LOG(Table1_1__2[[#This Row],[PFBA]])</f>
        <v>-1.0969100130080565</v>
      </c>
      <c r="AU6">
        <f>LOG(Table1_1__2[[#This Row],[PFPeA]])</f>
        <v>-1.3979400086720375</v>
      </c>
      <c r="AV6">
        <f>LOG(Table1_1__2[[#This Row],[PFHxA]])</f>
        <v>-0.769551078621726</v>
      </c>
      <c r="AW6">
        <f>LOG(Table1_1__2[[#This Row],[PFHpA]])</f>
        <v>-1.6989700043360187</v>
      </c>
      <c r="AX6">
        <f>LOG(Table1_1__2[[#This Row],[PFOA]])</f>
        <v>-0.4788619162959637</v>
      </c>
      <c r="AY6">
        <f>LOG(Table1_1__2[[#This Row],[PFNA]])</f>
        <v>-1.1804560644581312</v>
      </c>
      <c r="AZ6">
        <f>LOG(Table1_1__2[[#This Row],[PFDA]])</f>
        <v>-1.6989700043360187</v>
      </c>
      <c r="BA6">
        <f>LOG(Table1_1__2[[#This Row],[PFUnA]])</f>
        <v>-1.6989700043360187</v>
      </c>
      <c r="BB6">
        <f>LOG(Table1_1__2[[#This Row],[PFDoA]])</f>
        <v>-1.6989700043360187</v>
      </c>
      <c r="BC6">
        <f>LOG(Table1_1__2[[#This Row],[PFTrDA]])</f>
        <v>-1.6989700043360187</v>
      </c>
      <c r="BD6">
        <f>LOG(Table1_1__2[[#This Row],[PFTeDA]])</f>
        <v>-1.6989700043360187</v>
      </c>
      <c r="BE6">
        <f>LOG(Table1_1__2[[#This Row],[PFBS]])</f>
        <v>-1.6989700043360187</v>
      </c>
      <c r="BF6">
        <f>LOG(Table1_1__2[[#This Row],[PFPeS]])</f>
        <v>-1.6989700043360187</v>
      </c>
      <c r="BG6">
        <f>LOG(Table1_1__2[[#This Row],[PFHxS]])</f>
        <v>-0.48148606012211248</v>
      </c>
      <c r="BH6">
        <f>LOG(Table1_1__2[[#This Row],[PFHpS]])</f>
        <v>-1.6989700043360187</v>
      </c>
      <c r="BI6">
        <f>LOG(Table1_1__2[[#This Row],[PFOS]])</f>
        <v>-1.2333735073725434E-2</v>
      </c>
      <c r="BJ6">
        <f>LOG(Table1_1__2[[#This Row],[PFNS]])</f>
        <v>-1.6989700043360187</v>
      </c>
      <c r="BK6">
        <f>LOG(Table1_1__2[[#This Row],[PFDS]])</f>
        <v>-1.6989700043360187</v>
      </c>
      <c r="BL6">
        <f>LOG(Table1_1__2[[#This Row],[PFDoS]])</f>
        <v>-1.6989700043360187</v>
      </c>
      <c r="BM6">
        <f>LOG(Table1_1__2[[#This Row],[4:2 FTS]])</f>
        <v>-1.0969100130080565</v>
      </c>
      <c r="BN6">
        <f>LOG(Table1_1__2[[#This Row],[6:2 FTS]])</f>
        <v>-1.0969100130080565</v>
      </c>
      <c r="BO6">
        <f>LOG(Table1_1__2[[#This Row],[8:2 FTS]])</f>
        <v>-1.0969100130080565</v>
      </c>
      <c r="BP6">
        <f>LOG(Table1_1__2[[#This Row],[FOSA]])</f>
        <v>-1.6989700043360187</v>
      </c>
      <c r="BQ6">
        <f>LOG(Table1_1__2[[#This Row],[N-MeFOSA]])</f>
        <v>-1.6989700043360187</v>
      </c>
      <c r="BR6">
        <f>LOG(Table1_1__2[[#This Row],[N-MeFOSAA]])</f>
        <v>-1.6989700043360187</v>
      </c>
      <c r="BS6">
        <f>LOG(Table1_1__2[[#This Row],[N-EtFOSAA]])</f>
        <v>-1.6989700043360187</v>
      </c>
      <c r="BT6">
        <f>LOG(Table1_1__2[[#This Row],[ADONA]])</f>
        <v>-1.0969100130080565</v>
      </c>
      <c r="BU6">
        <f>LOG(Table1_1__2[[#This Row],[3:3 FTCA]])</f>
        <v>-1.0969100130080565</v>
      </c>
      <c r="BV6">
        <f>LOG(Table1_1__2[[#This Row],[5:3 FTCA]])</f>
        <v>-0.3010299956639812</v>
      </c>
      <c r="BW6">
        <f>LOG(Table1_1__2[[#This Row],[7:3 FTCA]])</f>
        <v>-0.3010299956639812</v>
      </c>
      <c r="BX6" t="e">
        <f>LOG(Table1_1__2[[#This Row],[N-EtFOSA]])</f>
        <v>#NUM!</v>
      </c>
      <c r="BY6" t="e">
        <f>LOG(Table1_1__2[[#This Row],[N-MeFOSE]])</f>
        <v>#NUM!</v>
      </c>
      <c r="BZ6" t="e">
        <f>LOG(Table1_1__2[[#This Row],[N-EtFOSE]])</f>
        <v>#NUM!</v>
      </c>
      <c r="CA6" t="e">
        <f>LOG(Table1_1__2[[#This Row],[HFPO-DA]])</f>
        <v>#NUM!</v>
      </c>
      <c r="CB6" t="e">
        <f>LOG(Table1_1__2[[#This Row],[PFMBA]])</f>
        <v>#NUM!</v>
      </c>
      <c r="CC6" t="e">
        <f>LOG(Table1_1__2[[#This Row],[NFDHA]])</f>
        <v>#NUM!</v>
      </c>
      <c r="CD6" t="e">
        <f>LOG(Table1_1__2[[#This Row],[9Cl-PF3ONS]])</f>
        <v>#NUM!</v>
      </c>
      <c r="CE6" t="e">
        <f>LOG(Table1_1__2[[#This Row],[11Cl-PF3OUdS]])</f>
        <v>#NUM!</v>
      </c>
      <c r="CF6" t="e">
        <f>LOG(Table1_1__2[[#This Row],[PFEESA]])</f>
        <v>#NUM!</v>
      </c>
      <c r="CG6" t="e">
        <f>LOG(Table1_1__2[[#This Row],[PFMPA]])</f>
        <v>#NUM!</v>
      </c>
    </row>
    <row r="7" spans="1:85" x14ac:dyDescent="0.3">
      <c r="A7" s="2" t="s">
        <v>30</v>
      </c>
      <c r="B7" s="3">
        <v>44288</v>
      </c>
      <c r="C7" s="2" t="s">
        <v>31</v>
      </c>
      <c r="D7" s="2" t="s">
        <v>27</v>
      </c>
      <c r="E7">
        <v>0.08</v>
      </c>
      <c r="F7">
        <v>0.106</v>
      </c>
      <c r="G7">
        <v>0.32100000000000001</v>
      </c>
      <c r="H7">
        <v>3.7999999999999999E-2</v>
      </c>
      <c r="I7">
        <v>9.1999999999999998E-2</v>
      </c>
      <c r="J7">
        <v>0.05</v>
      </c>
      <c r="K7">
        <v>0.02</v>
      </c>
      <c r="L7">
        <v>3.6999999999999998E-2</v>
      </c>
      <c r="M7">
        <v>3.3000000000000002E-2</v>
      </c>
      <c r="N7">
        <v>0.02</v>
      </c>
      <c r="O7">
        <v>0.02</v>
      </c>
      <c r="P7">
        <v>0.02</v>
      </c>
      <c r="Q7">
        <v>0.02</v>
      </c>
      <c r="R7">
        <v>0.19</v>
      </c>
      <c r="S7">
        <v>0.02</v>
      </c>
      <c r="T7">
        <v>1.04</v>
      </c>
      <c r="U7">
        <v>0.02</v>
      </c>
      <c r="V7">
        <v>0.02</v>
      </c>
      <c r="W7">
        <v>0.02</v>
      </c>
      <c r="X7">
        <v>0.08</v>
      </c>
      <c r="Y7">
        <v>0.151</v>
      </c>
      <c r="Z7">
        <v>0.08</v>
      </c>
      <c r="AA7">
        <v>0.18</v>
      </c>
      <c r="AB7">
        <v>0.02</v>
      </c>
      <c r="AC7">
        <v>0.02</v>
      </c>
      <c r="AD7">
        <v>0.02</v>
      </c>
      <c r="AE7">
        <v>0.08</v>
      </c>
      <c r="AF7">
        <v>0.08</v>
      </c>
      <c r="AG7">
        <v>0.5</v>
      </c>
      <c r="AH7">
        <v>0.5</v>
      </c>
      <c r="AS7">
        <f>SUM(Table1_1__2[[#This Row],[PFBA]:[PFMPA]])</f>
        <v>3.8780000000000006</v>
      </c>
      <c r="AT7">
        <f>LOG(Table1_1__2[[#This Row],[PFBA]])</f>
        <v>-1.0969100130080565</v>
      </c>
      <c r="AU7">
        <f>LOG(Table1_1__2[[#This Row],[PFPeA]])</f>
        <v>-0.97469413473522981</v>
      </c>
      <c r="AV7">
        <f>LOG(Table1_1__2[[#This Row],[PFHxA]])</f>
        <v>-0.4934949675951279</v>
      </c>
      <c r="AW7">
        <f>LOG(Table1_1__2[[#This Row],[PFHpA]])</f>
        <v>-1.4202164033831899</v>
      </c>
      <c r="AX7">
        <f>LOG(Table1_1__2[[#This Row],[PFOA]])</f>
        <v>-1.0362121726544447</v>
      </c>
      <c r="AY7">
        <f>LOG(Table1_1__2[[#This Row],[PFNA]])</f>
        <v>-1.3010299956639813</v>
      </c>
      <c r="AZ7">
        <f>LOG(Table1_1__2[[#This Row],[PFDA]])</f>
        <v>-1.6989700043360187</v>
      </c>
      <c r="BA7">
        <f>LOG(Table1_1__2[[#This Row],[PFUnA]])</f>
        <v>-1.431798275933005</v>
      </c>
      <c r="BB7">
        <f>LOG(Table1_1__2[[#This Row],[PFDoA]])</f>
        <v>-1.4814860601221125</v>
      </c>
      <c r="BC7">
        <f>LOG(Table1_1__2[[#This Row],[PFTrDA]])</f>
        <v>-1.6989700043360187</v>
      </c>
      <c r="BD7">
        <f>LOG(Table1_1__2[[#This Row],[PFTeDA]])</f>
        <v>-1.6989700043360187</v>
      </c>
      <c r="BE7">
        <f>LOG(Table1_1__2[[#This Row],[PFBS]])</f>
        <v>-1.6989700043360187</v>
      </c>
      <c r="BF7">
        <f>LOG(Table1_1__2[[#This Row],[PFPeS]])</f>
        <v>-1.6989700043360187</v>
      </c>
      <c r="BG7">
        <f>LOG(Table1_1__2[[#This Row],[PFHxS]])</f>
        <v>-0.72124639904717103</v>
      </c>
      <c r="BH7">
        <f>LOG(Table1_1__2[[#This Row],[PFHpS]])</f>
        <v>-1.6989700043360187</v>
      </c>
      <c r="BI7">
        <f>LOG(Table1_1__2[[#This Row],[PFOS]])</f>
        <v>1.703333929878037E-2</v>
      </c>
      <c r="BJ7">
        <f>LOG(Table1_1__2[[#This Row],[PFNS]])</f>
        <v>-1.6989700043360187</v>
      </c>
      <c r="BK7">
        <f>LOG(Table1_1__2[[#This Row],[PFDS]])</f>
        <v>-1.6989700043360187</v>
      </c>
      <c r="BL7">
        <f>LOG(Table1_1__2[[#This Row],[PFDoS]])</f>
        <v>-1.6989700043360187</v>
      </c>
      <c r="BM7">
        <f>LOG(Table1_1__2[[#This Row],[4:2 FTS]])</f>
        <v>-1.0969100130080565</v>
      </c>
      <c r="BN7">
        <f>LOG(Table1_1__2[[#This Row],[6:2 FTS]])</f>
        <v>-0.82102305270683062</v>
      </c>
      <c r="BO7">
        <f>LOG(Table1_1__2[[#This Row],[8:2 FTS]])</f>
        <v>-1.0969100130080565</v>
      </c>
      <c r="BP7">
        <f>LOG(Table1_1__2[[#This Row],[FOSA]])</f>
        <v>-0.74472749489669399</v>
      </c>
      <c r="BQ7">
        <f>LOG(Table1_1__2[[#This Row],[N-MeFOSA]])</f>
        <v>-1.6989700043360187</v>
      </c>
      <c r="BR7">
        <f>LOG(Table1_1__2[[#This Row],[N-MeFOSAA]])</f>
        <v>-1.6989700043360187</v>
      </c>
      <c r="BS7">
        <f>LOG(Table1_1__2[[#This Row],[N-EtFOSAA]])</f>
        <v>-1.6989700043360187</v>
      </c>
      <c r="BT7">
        <f>LOG(Table1_1__2[[#This Row],[ADONA]])</f>
        <v>-1.0969100130080565</v>
      </c>
      <c r="BU7">
        <f>LOG(Table1_1__2[[#This Row],[3:3 FTCA]])</f>
        <v>-1.0969100130080565</v>
      </c>
      <c r="BV7">
        <f>LOG(Table1_1__2[[#This Row],[5:3 FTCA]])</f>
        <v>-0.3010299956639812</v>
      </c>
      <c r="BW7">
        <f>LOG(Table1_1__2[[#This Row],[7:3 FTCA]])</f>
        <v>-0.3010299956639812</v>
      </c>
      <c r="BX7" t="e">
        <f>LOG(Table1_1__2[[#This Row],[N-EtFOSA]])</f>
        <v>#NUM!</v>
      </c>
      <c r="BY7" t="e">
        <f>LOG(Table1_1__2[[#This Row],[N-MeFOSE]])</f>
        <v>#NUM!</v>
      </c>
      <c r="BZ7" t="e">
        <f>LOG(Table1_1__2[[#This Row],[N-EtFOSE]])</f>
        <v>#NUM!</v>
      </c>
      <c r="CA7" t="e">
        <f>LOG(Table1_1__2[[#This Row],[HFPO-DA]])</f>
        <v>#NUM!</v>
      </c>
      <c r="CB7" t="e">
        <f>LOG(Table1_1__2[[#This Row],[PFMBA]])</f>
        <v>#NUM!</v>
      </c>
      <c r="CC7" t="e">
        <f>LOG(Table1_1__2[[#This Row],[NFDHA]])</f>
        <v>#NUM!</v>
      </c>
      <c r="CD7" t="e">
        <f>LOG(Table1_1__2[[#This Row],[9Cl-PF3ONS]])</f>
        <v>#NUM!</v>
      </c>
      <c r="CE7" t="e">
        <f>LOG(Table1_1__2[[#This Row],[11Cl-PF3OUdS]])</f>
        <v>#NUM!</v>
      </c>
      <c r="CF7" t="e">
        <f>LOG(Table1_1__2[[#This Row],[PFEESA]])</f>
        <v>#NUM!</v>
      </c>
      <c r="CG7" t="e">
        <f>LOG(Table1_1__2[[#This Row],[PFMPA]])</f>
        <v>#NUM!</v>
      </c>
    </row>
    <row r="8" spans="1:85" x14ac:dyDescent="0.3">
      <c r="A8" s="2" t="s">
        <v>32</v>
      </c>
      <c r="B8" s="3">
        <v>44288</v>
      </c>
      <c r="C8" s="2" t="s">
        <v>33</v>
      </c>
      <c r="D8" s="2" t="s">
        <v>27</v>
      </c>
      <c r="E8">
        <v>0.08</v>
      </c>
      <c r="F8">
        <v>9.0999999999999998E-2</v>
      </c>
      <c r="G8">
        <v>0.28000000000000003</v>
      </c>
      <c r="H8">
        <v>3.9E-2</v>
      </c>
      <c r="I8">
        <v>0.127</v>
      </c>
      <c r="J8">
        <v>5.2999999999999999E-2</v>
      </c>
      <c r="K8">
        <v>0.02</v>
      </c>
      <c r="L8">
        <v>0.02</v>
      </c>
      <c r="M8">
        <v>0.02</v>
      </c>
      <c r="N8">
        <v>0.02</v>
      </c>
      <c r="O8">
        <v>0.02</v>
      </c>
      <c r="P8">
        <v>0.02</v>
      </c>
      <c r="Q8">
        <v>0.02</v>
      </c>
      <c r="R8">
        <v>0.49</v>
      </c>
      <c r="S8">
        <v>0.02</v>
      </c>
      <c r="T8">
        <v>1.71</v>
      </c>
      <c r="U8">
        <v>0.02</v>
      </c>
      <c r="V8">
        <v>0.02</v>
      </c>
      <c r="W8">
        <v>0.02</v>
      </c>
      <c r="X8">
        <v>0.08</v>
      </c>
      <c r="Y8">
        <v>0.45500000000000002</v>
      </c>
      <c r="Z8">
        <v>0.17599999999999999</v>
      </c>
      <c r="AA8">
        <v>0.14199999999999999</v>
      </c>
      <c r="AB8">
        <v>0.02</v>
      </c>
      <c r="AC8">
        <v>0.02</v>
      </c>
      <c r="AD8">
        <v>0.02</v>
      </c>
      <c r="AE8">
        <v>0.08</v>
      </c>
      <c r="AF8">
        <v>0.08</v>
      </c>
      <c r="AG8">
        <v>0.5</v>
      </c>
      <c r="AH8">
        <v>0.5</v>
      </c>
      <c r="AS8">
        <f>SUM(Table1_1__2[[#This Row],[PFBA]:[PFMPA]])</f>
        <v>5.1630000000000003</v>
      </c>
      <c r="AT8">
        <f>LOG(Table1_1__2[[#This Row],[PFBA]])</f>
        <v>-1.0969100130080565</v>
      </c>
      <c r="AU8">
        <f>LOG(Table1_1__2[[#This Row],[PFPeA]])</f>
        <v>-1.0409586076789064</v>
      </c>
      <c r="AV8">
        <f>LOG(Table1_1__2[[#This Row],[PFHxA]])</f>
        <v>-0.55284196865778079</v>
      </c>
      <c r="AW8">
        <f>LOG(Table1_1__2[[#This Row],[PFHpA]])</f>
        <v>-1.4089353929735009</v>
      </c>
      <c r="AX8">
        <f>LOG(Table1_1__2[[#This Row],[PFOA]])</f>
        <v>-0.89619627904404309</v>
      </c>
      <c r="AY8">
        <f>LOG(Table1_1__2[[#This Row],[PFNA]])</f>
        <v>-1.2757241303992111</v>
      </c>
      <c r="AZ8">
        <f>LOG(Table1_1__2[[#This Row],[PFDA]])</f>
        <v>-1.6989700043360187</v>
      </c>
      <c r="BA8">
        <f>LOG(Table1_1__2[[#This Row],[PFUnA]])</f>
        <v>-1.6989700043360187</v>
      </c>
      <c r="BB8">
        <f>LOG(Table1_1__2[[#This Row],[PFDoA]])</f>
        <v>-1.6989700043360187</v>
      </c>
      <c r="BC8">
        <f>LOG(Table1_1__2[[#This Row],[PFTrDA]])</f>
        <v>-1.6989700043360187</v>
      </c>
      <c r="BD8">
        <f>LOG(Table1_1__2[[#This Row],[PFTeDA]])</f>
        <v>-1.6989700043360187</v>
      </c>
      <c r="BE8">
        <f>LOG(Table1_1__2[[#This Row],[PFBS]])</f>
        <v>-1.6989700043360187</v>
      </c>
      <c r="BF8">
        <f>LOG(Table1_1__2[[#This Row],[PFPeS]])</f>
        <v>-1.6989700043360187</v>
      </c>
      <c r="BG8">
        <f>LOG(Table1_1__2[[#This Row],[PFHxS]])</f>
        <v>-0.30980391997148632</v>
      </c>
      <c r="BH8">
        <f>LOG(Table1_1__2[[#This Row],[PFHpS]])</f>
        <v>-1.6989700043360187</v>
      </c>
      <c r="BI8">
        <f>LOG(Table1_1__2[[#This Row],[PFOS]])</f>
        <v>0.23299611039215382</v>
      </c>
      <c r="BJ8">
        <f>LOG(Table1_1__2[[#This Row],[PFNS]])</f>
        <v>-1.6989700043360187</v>
      </c>
      <c r="BK8">
        <f>LOG(Table1_1__2[[#This Row],[PFDS]])</f>
        <v>-1.6989700043360187</v>
      </c>
      <c r="BL8">
        <f>LOG(Table1_1__2[[#This Row],[PFDoS]])</f>
        <v>-1.6989700043360187</v>
      </c>
      <c r="BM8">
        <f>LOG(Table1_1__2[[#This Row],[4:2 FTS]])</f>
        <v>-1.0969100130080565</v>
      </c>
      <c r="BN8">
        <f>LOG(Table1_1__2[[#This Row],[6:2 FTS]])</f>
        <v>-0.34198860334288755</v>
      </c>
      <c r="BO8">
        <f>LOG(Table1_1__2[[#This Row],[8:2 FTS]])</f>
        <v>-0.75448733218585018</v>
      </c>
      <c r="BP8">
        <f>LOG(Table1_1__2[[#This Row],[FOSA]])</f>
        <v>-0.8477116556169435</v>
      </c>
      <c r="BQ8">
        <f>LOG(Table1_1__2[[#This Row],[N-MeFOSA]])</f>
        <v>-1.6989700043360187</v>
      </c>
      <c r="BR8">
        <f>LOG(Table1_1__2[[#This Row],[N-MeFOSAA]])</f>
        <v>-1.6989700043360187</v>
      </c>
      <c r="BS8">
        <f>LOG(Table1_1__2[[#This Row],[N-EtFOSAA]])</f>
        <v>-1.6989700043360187</v>
      </c>
      <c r="BT8">
        <f>LOG(Table1_1__2[[#This Row],[ADONA]])</f>
        <v>-1.0969100130080565</v>
      </c>
      <c r="BU8">
        <f>LOG(Table1_1__2[[#This Row],[3:3 FTCA]])</f>
        <v>-1.0969100130080565</v>
      </c>
      <c r="BV8">
        <f>LOG(Table1_1__2[[#This Row],[5:3 FTCA]])</f>
        <v>-0.3010299956639812</v>
      </c>
      <c r="BW8">
        <f>LOG(Table1_1__2[[#This Row],[7:3 FTCA]])</f>
        <v>-0.3010299956639812</v>
      </c>
      <c r="BX8" t="e">
        <f>LOG(Table1_1__2[[#This Row],[N-EtFOSA]])</f>
        <v>#NUM!</v>
      </c>
      <c r="BY8" t="e">
        <f>LOG(Table1_1__2[[#This Row],[N-MeFOSE]])</f>
        <v>#NUM!</v>
      </c>
      <c r="BZ8" t="e">
        <f>LOG(Table1_1__2[[#This Row],[N-EtFOSE]])</f>
        <v>#NUM!</v>
      </c>
      <c r="CA8" t="e">
        <f>LOG(Table1_1__2[[#This Row],[HFPO-DA]])</f>
        <v>#NUM!</v>
      </c>
      <c r="CB8" t="e">
        <f>LOG(Table1_1__2[[#This Row],[PFMBA]])</f>
        <v>#NUM!</v>
      </c>
      <c r="CC8" t="e">
        <f>LOG(Table1_1__2[[#This Row],[NFDHA]])</f>
        <v>#NUM!</v>
      </c>
      <c r="CD8" t="e">
        <f>LOG(Table1_1__2[[#This Row],[9Cl-PF3ONS]])</f>
        <v>#NUM!</v>
      </c>
      <c r="CE8" t="e">
        <f>LOG(Table1_1__2[[#This Row],[11Cl-PF3OUdS]])</f>
        <v>#NUM!</v>
      </c>
      <c r="CF8" t="e">
        <f>LOG(Table1_1__2[[#This Row],[PFEESA]])</f>
        <v>#NUM!</v>
      </c>
      <c r="CG8" t="e">
        <f>LOG(Table1_1__2[[#This Row],[PFMPA]])</f>
        <v>#NUM!</v>
      </c>
    </row>
    <row r="9" spans="1:85" x14ac:dyDescent="0.3">
      <c r="A9" s="2" t="s">
        <v>28</v>
      </c>
      <c r="B9" s="3">
        <v>44288</v>
      </c>
      <c r="C9" s="2" t="s">
        <v>29</v>
      </c>
      <c r="D9" s="2" t="s">
        <v>27</v>
      </c>
      <c r="E9">
        <v>0.08</v>
      </c>
      <c r="F9">
        <v>0.04</v>
      </c>
      <c r="G9">
        <v>0.02</v>
      </c>
      <c r="H9">
        <v>0.02</v>
      </c>
      <c r="I9">
        <v>4.3999999999999997E-2</v>
      </c>
      <c r="J9">
        <v>0.02</v>
      </c>
      <c r="K9">
        <v>0.02</v>
      </c>
      <c r="L9">
        <v>0.02</v>
      </c>
      <c r="M9">
        <v>0.02</v>
      </c>
      <c r="N9">
        <v>0.02</v>
      </c>
      <c r="O9">
        <v>0.02</v>
      </c>
      <c r="P9">
        <v>0.02</v>
      </c>
      <c r="Q9">
        <v>0.02</v>
      </c>
      <c r="R9">
        <v>8.2000000000000003E-2</v>
      </c>
      <c r="S9">
        <v>0.02</v>
      </c>
      <c r="T9">
        <v>0.65300000000000002</v>
      </c>
      <c r="U9">
        <v>0.02</v>
      </c>
      <c r="V9">
        <v>0.02</v>
      </c>
      <c r="W9">
        <v>0.02</v>
      </c>
      <c r="X9">
        <v>0.08</v>
      </c>
      <c r="Y9">
        <v>0.08</v>
      </c>
      <c r="Z9">
        <v>0.08</v>
      </c>
      <c r="AA9">
        <v>4.3999999999999997E-2</v>
      </c>
      <c r="AB9">
        <v>0.02</v>
      </c>
      <c r="AC9">
        <v>0.02</v>
      </c>
      <c r="AD9">
        <v>0.02</v>
      </c>
      <c r="AE9">
        <v>0.08</v>
      </c>
      <c r="AF9">
        <v>0.08</v>
      </c>
      <c r="AG9">
        <v>0.5</v>
      </c>
      <c r="AH9">
        <v>0.5</v>
      </c>
      <c r="AS9">
        <f>SUM(Table1_1__2[[#This Row],[PFBA]:[PFMPA]])</f>
        <v>2.6830000000000007</v>
      </c>
      <c r="AT9">
        <f>LOG(Table1_1__2[[#This Row],[PFBA]])</f>
        <v>-1.0969100130080565</v>
      </c>
      <c r="AU9">
        <f>LOG(Table1_1__2[[#This Row],[PFPeA]])</f>
        <v>-1.3979400086720375</v>
      </c>
      <c r="AV9">
        <f>LOG(Table1_1__2[[#This Row],[PFHxA]])</f>
        <v>-1.6989700043360187</v>
      </c>
      <c r="AW9">
        <f>LOG(Table1_1__2[[#This Row],[PFHpA]])</f>
        <v>-1.6989700043360187</v>
      </c>
      <c r="AX9">
        <f>LOG(Table1_1__2[[#This Row],[PFOA]])</f>
        <v>-1.3565473235138126</v>
      </c>
      <c r="AY9">
        <f>LOG(Table1_1__2[[#This Row],[PFNA]])</f>
        <v>-1.6989700043360187</v>
      </c>
      <c r="AZ9">
        <f>LOG(Table1_1__2[[#This Row],[PFDA]])</f>
        <v>-1.6989700043360187</v>
      </c>
      <c r="BA9">
        <f>LOG(Table1_1__2[[#This Row],[PFUnA]])</f>
        <v>-1.6989700043360187</v>
      </c>
      <c r="BB9">
        <f>LOG(Table1_1__2[[#This Row],[PFDoA]])</f>
        <v>-1.6989700043360187</v>
      </c>
      <c r="BC9">
        <f>LOG(Table1_1__2[[#This Row],[PFTrDA]])</f>
        <v>-1.6989700043360187</v>
      </c>
      <c r="BD9">
        <f>LOG(Table1_1__2[[#This Row],[PFTeDA]])</f>
        <v>-1.6989700043360187</v>
      </c>
      <c r="BE9">
        <f>LOG(Table1_1__2[[#This Row],[PFBS]])</f>
        <v>-1.6989700043360187</v>
      </c>
      <c r="BF9">
        <f>LOG(Table1_1__2[[#This Row],[PFPeS]])</f>
        <v>-1.6989700043360187</v>
      </c>
      <c r="BG9">
        <f>LOG(Table1_1__2[[#This Row],[PFHxS]])</f>
        <v>-1.0861861476162833</v>
      </c>
      <c r="BH9">
        <f>LOG(Table1_1__2[[#This Row],[PFHpS]])</f>
        <v>-1.6989700043360187</v>
      </c>
      <c r="BI9">
        <f>LOG(Table1_1__2[[#This Row],[PFOS]])</f>
        <v>-0.18508681872492605</v>
      </c>
      <c r="BJ9">
        <f>LOG(Table1_1__2[[#This Row],[PFNS]])</f>
        <v>-1.6989700043360187</v>
      </c>
      <c r="BK9">
        <f>LOG(Table1_1__2[[#This Row],[PFDS]])</f>
        <v>-1.6989700043360187</v>
      </c>
      <c r="BL9">
        <f>LOG(Table1_1__2[[#This Row],[PFDoS]])</f>
        <v>-1.6989700043360187</v>
      </c>
      <c r="BM9">
        <f>LOG(Table1_1__2[[#This Row],[4:2 FTS]])</f>
        <v>-1.0969100130080565</v>
      </c>
      <c r="BN9">
        <f>LOG(Table1_1__2[[#This Row],[6:2 FTS]])</f>
        <v>-1.0969100130080565</v>
      </c>
      <c r="BO9">
        <f>LOG(Table1_1__2[[#This Row],[8:2 FTS]])</f>
        <v>-1.0969100130080565</v>
      </c>
      <c r="BP9">
        <f>LOG(Table1_1__2[[#This Row],[FOSA]])</f>
        <v>-1.3565473235138126</v>
      </c>
      <c r="BQ9">
        <f>LOG(Table1_1__2[[#This Row],[N-MeFOSA]])</f>
        <v>-1.6989700043360187</v>
      </c>
      <c r="BR9">
        <f>LOG(Table1_1__2[[#This Row],[N-MeFOSAA]])</f>
        <v>-1.6989700043360187</v>
      </c>
      <c r="BS9">
        <f>LOG(Table1_1__2[[#This Row],[N-EtFOSAA]])</f>
        <v>-1.6989700043360187</v>
      </c>
      <c r="BT9">
        <f>LOG(Table1_1__2[[#This Row],[ADONA]])</f>
        <v>-1.0969100130080565</v>
      </c>
      <c r="BU9">
        <f>LOG(Table1_1__2[[#This Row],[3:3 FTCA]])</f>
        <v>-1.0969100130080565</v>
      </c>
      <c r="BV9">
        <f>LOG(Table1_1__2[[#This Row],[5:3 FTCA]])</f>
        <v>-0.3010299956639812</v>
      </c>
      <c r="BW9">
        <f>LOG(Table1_1__2[[#This Row],[7:3 FTCA]])</f>
        <v>-0.3010299956639812</v>
      </c>
      <c r="BX9" t="e">
        <f>LOG(Table1_1__2[[#This Row],[N-EtFOSA]])</f>
        <v>#NUM!</v>
      </c>
      <c r="BY9" t="e">
        <f>LOG(Table1_1__2[[#This Row],[N-MeFOSE]])</f>
        <v>#NUM!</v>
      </c>
      <c r="BZ9" t="e">
        <f>LOG(Table1_1__2[[#This Row],[N-EtFOSE]])</f>
        <v>#NUM!</v>
      </c>
      <c r="CA9" t="e">
        <f>LOG(Table1_1__2[[#This Row],[HFPO-DA]])</f>
        <v>#NUM!</v>
      </c>
      <c r="CB9" t="e">
        <f>LOG(Table1_1__2[[#This Row],[PFMBA]])</f>
        <v>#NUM!</v>
      </c>
      <c r="CC9" t="e">
        <f>LOG(Table1_1__2[[#This Row],[NFDHA]])</f>
        <v>#NUM!</v>
      </c>
      <c r="CD9" t="e">
        <f>LOG(Table1_1__2[[#This Row],[9Cl-PF3ONS]])</f>
        <v>#NUM!</v>
      </c>
      <c r="CE9" t="e">
        <f>LOG(Table1_1__2[[#This Row],[11Cl-PF3OUdS]])</f>
        <v>#NUM!</v>
      </c>
      <c r="CF9" t="e">
        <f>LOG(Table1_1__2[[#This Row],[PFEESA]])</f>
        <v>#NUM!</v>
      </c>
      <c r="CG9" t="e">
        <f>LOG(Table1_1__2[[#This Row],[PFMPA]])</f>
        <v>#NUM!</v>
      </c>
    </row>
    <row r="10" spans="1:85" x14ac:dyDescent="0.3">
      <c r="A10" s="2" t="s">
        <v>65</v>
      </c>
      <c r="B10" s="3">
        <v>44293.5</v>
      </c>
      <c r="C10" s="2" t="s">
        <v>26</v>
      </c>
      <c r="D10" s="2" t="s">
        <v>27</v>
      </c>
      <c r="E10">
        <v>0.19500000000000001</v>
      </c>
      <c r="F10">
        <v>0.1</v>
      </c>
      <c r="G10">
        <v>0.17</v>
      </c>
      <c r="H10">
        <v>0.09</v>
      </c>
      <c r="I10">
        <v>0.41</v>
      </c>
      <c r="J10">
        <v>4.9000000000000002E-2</v>
      </c>
      <c r="K10">
        <v>4.9000000000000002E-2</v>
      </c>
      <c r="L10">
        <v>4.9000000000000002E-2</v>
      </c>
      <c r="M10">
        <v>4.9000000000000002E-2</v>
      </c>
      <c r="N10">
        <v>4.9000000000000002E-2</v>
      </c>
      <c r="O10">
        <v>4.9000000000000002E-2</v>
      </c>
      <c r="P10">
        <v>4.9000000000000002E-2</v>
      </c>
      <c r="Q10">
        <v>4.9000000000000002E-2</v>
      </c>
      <c r="R10">
        <v>0.43</v>
      </c>
      <c r="S10">
        <v>4.9000000000000002E-2</v>
      </c>
      <c r="T10">
        <v>1.2</v>
      </c>
      <c r="U10">
        <v>4.9000000000000002E-2</v>
      </c>
      <c r="V10">
        <v>4.9000000000000002E-2</v>
      </c>
      <c r="W10">
        <v>4.9000000000000002E-2</v>
      </c>
      <c r="X10">
        <v>0.19500000000000001</v>
      </c>
      <c r="Y10">
        <v>0.39500000000000002</v>
      </c>
      <c r="Z10">
        <v>0.39500000000000002</v>
      </c>
      <c r="AA10">
        <v>0.09</v>
      </c>
      <c r="AB10">
        <v>4.9000000000000002E-2</v>
      </c>
      <c r="AC10">
        <v>4.9000000000000002E-2</v>
      </c>
      <c r="AD10">
        <v>4.9000000000000002E-2</v>
      </c>
      <c r="AE10">
        <v>0.19500000000000001</v>
      </c>
      <c r="AF10">
        <v>0.245</v>
      </c>
      <c r="AG10">
        <v>1.25</v>
      </c>
      <c r="AH10">
        <v>1.25</v>
      </c>
      <c r="AI10">
        <v>4.9000000000000002E-2</v>
      </c>
      <c r="AJ10">
        <v>0.49</v>
      </c>
      <c r="AK10">
        <v>0.49</v>
      </c>
      <c r="AL10">
        <v>0.29499999999999998</v>
      </c>
      <c r="AM10">
        <v>0.1</v>
      </c>
      <c r="AN10">
        <v>0.1</v>
      </c>
      <c r="AO10">
        <v>0.19500000000000001</v>
      </c>
      <c r="AP10">
        <v>0.19500000000000001</v>
      </c>
      <c r="AQ10">
        <v>0.1</v>
      </c>
      <c r="AR10">
        <v>0.1</v>
      </c>
      <c r="AS10">
        <f>SUM(Table1_1__2[[#This Row],[PFBA]:[PFMPA]])</f>
        <v>9.4589999999999996</v>
      </c>
      <c r="AT10">
        <f>LOG(Table1_1__2[[#This Row],[PFBA]])</f>
        <v>-0.70996538863748193</v>
      </c>
      <c r="AU10">
        <f>LOG(Table1_1__2[[#This Row],[PFPeA]])</f>
        <v>-1</v>
      </c>
      <c r="AV10">
        <f>LOG(Table1_1__2[[#This Row],[PFHxA]])</f>
        <v>-0.769551078621726</v>
      </c>
      <c r="AW10">
        <f>LOG(Table1_1__2[[#This Row],[PFHpA]])</f>
        <v>-1.0457574905606752</v>
      </c>
      <c r="AX10">
        <f>LOG(Table1_1__2[[#This Row],[PFOA]])</f>
        <v>-0.38721614328026455</v>
      </c>
      <c r="AY10">
        <f>LOG(Table1_1__2[[#This Row],[PFNA]])</f>
        <v>-1.3098039199714864</v>
      </c>
      <c r="AZ10">
        <f>LOG(Table1_1__2[[#This Row],[PFDA]])</f>
        <v>-1.3098039199714864</v>
      </c>
      <c r="BA10">
        <f>LOG(Table1_1__2[[#This Row],[PFUnA]])</f>
        <v>-1.3098039199714864</v>
      </c>
      <c r="BB10">
        <f>LOG(Table1_1__2[[#This Row],[PFDoA]])</f>
        <v>-1.3098039199714864</v>
      </c>
      <c r="BC10">
        <f>LOG(Table1_1__2[[#This Row],[PFTrDA]])</f>
        <v>-1.3098039199714864</v>
      </c>
      <c r="BD10">
        <f>LOG(Table1_1__2[[#This Row],[PFTeDA]])</f>
        <v>-1.3098039199714864</v>
      </c>
      <c r="BE10">
        <f>LOG(Table1_1__2[[#This Row],[PFBS]])</f>
        <v>-1.3098039199714864</v>
      </c>
      <c r="BF10">
        <f>LOG(Table1_1__2[[#This Row],[PFPeS]])</f>
        <v>-1.3098039199714864</v>
      </c>
      <c r="BG10">
        <f>LOG(Table1_1__2[[#This Row],[PFHxS]])</f>
        <v>-0.36653154442041347</v>
      </c>
      <c r="BH10">
        <f>LOG(Table1_1__2[[#This Row],[PFHpS]])</f>
        <v>-1.3098039199714864</v>
      </c>
      <c r="BI10">
        <f>LOG(Table1_1__2[[#This Row],[PFOS]])</f>
        <v>7.9181246047624818E-2</v>
      </c>
      <c r="BJ10">
        <f>LOG(Table1_1__2[[#This Row],[PFNS]])</f>
        <v>-1.3098039199714864</v>
      </c>
      <c r="BK10">
        <f>LOG(Table1_1__2[[#This Row],[PFDS]])</f>
        <v>-1.3098039199714864</v>
      </c>
      <c r="BL10">
        <f>LOG(Table1_1__2[[#This Row],[PFDoS]])</f>
        <v>-1.3098039199714864</v>
      </c>
      <c r="BM10">
        <f>LOG(Table1_1__2[[#This Row],[4:2 FTS]])</f>
        <v>-0.70996538863748193</v>
      </c>
      <c r="BN10">
        <f>LOG(Table1_1__2[[#This Row],[6:2 FTS]])</f>
        <v>-0.40340290437353976</v>
      </c>
      <c r="BO10">
        <f>LOG(Table1_1__2[[#This Row],[8:2 FTS]])</f>
        <v>-0.40340290437353976</v>
      </c>
      <c r="BP10">
        <f>LOG(Table1_1__2[[#This Row],[FOSA]])</f>
        <v>-1.0457574905606752</v>
      </c>
      <c r="BQ10">
        <f>LOG(Table1_1__2[[#This Row],[N-MeFOSA]])</f>
        <v>-1.3098039199714864</v>
      </c>
      <c r="BR10">
        <f>LOG(Table1_1__2[[#This Row],[N-MeFOSAA]])</f>
        <v>-1.3098039199714864</v>
      </c>
      <c r="BS10">
        <f>LOG(Table1_1__2[[#This Row],[N-EtFOSAA]])</f>
        <v>-1.3098039199714864</v>
      </c>
      <c r="BT10">
        <f>LOG(Table1_1__2[[#This Row],[ADONA]])</f>
        <v>-0.70996538863748193</v>
      </c>
      <c r="BU10">
        <f>LOG(Table1_1__2[[#This Row],[3:3 FTCA]])</f>
        <v>-0.61083391563546752</v>
      </c>
      <c r="BV10">
        <f>LOG(Table1_1__2[[#This Row],[5:3 FTCA]])</f>
        <v>9.691001300805642E-2</v>
      </c>
      <c r="BW10">
        <f>LOG(Table1_1__2[[#This Row],[7:3 FTCA]])</f>
        <v>9.691001300805642E-2</v>
      </c>
      <c r="BX10">
        <f>LOG(Table1_1__2[[#This Row],[N-EtFOSA]])</f>
        <v>-1.3098039199714864</v>
      </c>
      <c r="BY10">
        <f>LOG(Table1_1__2[[#This Row],[N-MeFOSE]])</f>
        <v>-0.30980391997148632</v>
      </c>
      <c r="BZ10">
        <f>LOG(Table1_1__2[[#This Row],[N-EtFOSE]])</f>
        <v>-0.30980391997148632</v>
      </c>
      <c r="CA10">
        <f>LOG(Table1_1__2[[#This Row],[HFPO-DA]])</f>
        <v>-0.53017798402183702</v>
      </c>
      <c r="CB10">
        <f>LOG(Table1_1__2[[#This Row],[PFMBA]])</f>
        <v>-1</v>
      </c>
      <c r="CC10">
        <f>LOG(Table1_1__2[[#This Row],[NFDHA]])</f>
        <v>-1</v>
      </c>
      <c r="CD10">
        <f>LOG(Table1_1__2[[#This Row],[9Cl-PF3ONS]])</f>
        <v>-0.70996538863748193</v>
      </c>
      <c r="CE10">
        <f>LOG(Table1_1__2[[#This Row],[11Cl-PF3OUdS]])</f>
        <v>-0.70996538863748193</v>
      </c>
      <c r="CF10">
        <f>LOG(Table1_1__2[[#This Row],[PFEESA]])</f>
        <v>-1</v>
      </c>
      <c r="CG10">
        <f>LOG(Table1_1__2[[#This Row],[PFMPA]])</f>
        <v>-1</v>
      </c>
    </row>
    <row r="11" spans="1:85" x14ac:dyDescent="0.3">
      <c r="A11" s="2" t="s">
        <v>66</v>
      </c>
      <c r="B11" s="3">
        <v>44293.5</v>
      </c>
      <c r="C11" s="2" t="s">
        <v>31</v>
      </c>
      <c r="D11" s="2" t="s">
        <v>27</v>
      </c>
      <c r="E11">
        <v>0.2</v>
      </c>
      <c r="F11">
        <v>0.1</v>
      </c>
      <c r="G11">
        <v>0.09</v>
      </c>
      <c r="H11">
        <v>0.09</v>
      </c>
      <c r="I11">
        <v>0.11</v>
      </c>
      <c r="J11">
        <v>0.05</v>
      </c>
      <c r="K11">
        <v>0.05</v>
      </c>
      <c r="L11">
        <v>0.05</v>
      </c>
      <c r="M11">
        <v>0.05</v>
      </c>
      <c r="N11">
        <v>0.05</v>
      </c>
      <c r="O11">
        <v>0.05</v>
      </c>
      <c r="P11">
        <v>0.05</v>
      </c>
      <c r="Q11">
        <v>0.05</v>
      </c>
      <c r="R11">
        <v>0.22</v>
      </c>
      <c r="S11">
        <v>0.05</v>
      </c>
      <c r="T11">
        <v>1.3</v>
      </c>
      <c r="U11">
        <v>0.05</v>
      </c>
      <c r="V11">
        <v>0.05</v>
      </c>
      <c r="W11">
        <v>0.05</v>
      </c>
      <c r="X11">
        <v>0.2</v>
      </c>
      <c r="Y11">
        <v>0.4</v>
      </c>
      <c r="Z11">
        <v>0.4</v>
      </c>
      <c r="AA11">
        <v>0.09</v>
      </c>
      <c r="AB11">
        <v>0.05</v>
      </c>
      <c r="AC11">
        <v>0.05</v>
      </c>
      <c r="AD11">
        <v>0.05</v>
      </c>
      <c r="AE11">
        <v>0.2</v>
      </c>
      <c r="AF11">
        <v>0.25</v>
      </c>
      <c r="AG11">
        <v>1.25</v>
      </c>
      <c r="AH11">
        <v>1.25</v>
      </c>
      <c r="AI11">
        <v>0.05</v>
      </c>
      <c r="AJ11">
        <v>0.5</v>
      </c>
      <c r="AK11">
        <v>0.5</v>
      </c>
      <c r="AL11">
        <v>0.3</v>
      </c>
      <c r="AM11">
        <v>0.1</v>
      </c>
      <c r="AN11">
        <v>0.1</v>
      </c>
      <c r="AO11">
        <v>0.2</v>
      </c>
      <c r="AP11">
        <v>0.2</v>
      </c>
      <c r="AQ11">
        <v>0.1</v>
      </c>
      <c r="AR11">
        <v>0.1</v>
      </c>
      <c r="AS11">
        <f>SUM(Table1_1__2[[#This Row],[PFBA]:[PFMPA]])</f>
        <v>9.0499999999999972</v>
      </c>
      <c r="AT11">
        <f>LOG(Table1_1__2[[#This Row],[PFBA]])</f>
        <v>-0.69897000433601875</v>
      </c>
      <c r="AU11">
        <f>LOG(Table1_1__2[[#This Row],[PFPeA]])</f>
        <v>-1</v>
      </c>
      <c r="AV11">
        <f>LOG(Table1_1__2[[#This Row],[PFHxA]])</f>
        <v>-1.0457574905606752</v>
      </c>
      <c r="AW11">
        <f>LOG(Table1_1__2[[#This Row],[PFHpA]])</f>
        <v>-1.0457574905606752</v>
      </c>
      <c r="AX11">
        <f>LOG(Table1_1__2[[#This Row],[PFOA]])</f>
        <v>-0.95860731484177497</v>
      </c>
      <c r="AY11">
        <f>LOG(Table1_1__2[[#This Row],[PFNA]])</f>
        <v>-1.3010299956639813</v>
      </c>
      <c r="AZ11">
        <f>LOG(Table1_1__2[[#This Row],[PFDA]])</f>
        <v>-1.3010299956639813</v>
      </c>
      <c r="BA11">
        <f>LOG(Table1_1__2[[#This Row],[PFUnA]])</f>
        <v>-1.3010299956639813</v>
      </c>
      <c r="BB11">
        <f>LOG(Table1_1__2[[#This Row],[PFDoA]])</f>
        <v>-1.3010299956639813</v>
      </c>
      <c r="BC11">
        <f>LOG(Table1_1__2[[#This Row],[PFTrDA]])</f>
        <v>-1.3010299956639813</v>
      </c>
      <c r="BD11">
        <f>LOG(Table1_1__2[[#This Row],[PFTeDA]])</f>
        <v>-1.3010299956639813</v>
      </c>
      <c r="BE11">
        <f>LOG(Table1_1__2[[#This Row],[PFBS]])</f>
        <v>-1.3010299956639813</v>
      </c>
      <c r="BF11">
        <f>LOG(Table1_1__2[[#This Row],[PFPeS]])</f>
        <v>-1.3010299956639813</v>
      </c>
      <c r="BG11">
        <f>LOG(Table1_1__2[[#This Row],[PFHxS]])</f>
        <v>-0.65757731917779372</v>
      </c>
      <c r="BH11">
        <f>LOG(Table1_1__2[[#This Row],[PFHpS]])</f>
        <v>-1.3010299956639813</v>
      </c>
      <c r="BI11">
        <f>LOG(Table1_1__2[[#This Row],[PFOS]])</f>
        <v>0.11394335230683679</v>
      </c>
      <c r="BJ11">
        <f>LOG(Table1_1__2[[#This Row],[PFNS]])</f>
        <v>-1.3010299956639813</v>
      </c>
      <c r="BK11">
        <f>LOG(Table1_1__2[[#This Row],[PFDS]])</f>
        <v>-1.3010299956639813</v>
      </c>
      <c r="BL11">
        <f>LOG(Table1_1__2[[#This Row],[PFDoS]])</f>
        <v>-1.3010299956639813</v>
      </c>
      <c r="BM11">
        <f>LOG(Table1_1__2[[#This Row],[4:2 FTS]])</f>
        <v>-0.69897000433601875</v>
      </c>
      <c r="BN11">
        <f>LOG(Table1_1__2[[#This Row],[6:2 FTS]])</f>
        <v>-0.3979400086720376</v>
      </c>
      <c r="BO11">
        <f>LOG(Table1_1__2[[#This Row],[8:2 FTS]])</f>
        <v>-0.3979400086720376</v>
      </c>
      <c r="BP11">
        <f>LOG(Table1_1__2[[#This Row],[FOSA]])</f>
        <v>-1.0457574905606752</v>
      </c>
      <c r="BQ11">
        <f>LOG(Table1_1__2[[#This Row],[N-MeFOSA]])</f>
        <v>-1.3010299956639813</v>
      </c>
      <c r="BR11">
        <f>LOG(Table1_1__2[[#This Row],[N-MeFOSAA]])</f>
        <v>-1.3010299956639813</v>
      </c>
      <c r="BS11">
        <f>LOG(Table1_1__2[[#This Row],[N-EtFOSAA]])</f>
        <v>-1.3010299956639813</v>
      </c>
      <c r="BT11">
        <f>LOG(Table1_1__2[[#This Row],[ADONA]])</f>
        <v>-0.69897000433601875</v>
      </c>
      <c r="BU11">
        <f>LOG(Table1_1__2[[#This Row],[3:3 FTCA]])</f>
        <v>-0.6020599913279624</v>
      </c>
      <c r="BV11">
        <f>LOG(Table1_1__2[[#This Row],[5:3 FTCA]])</f>
        <v>9.691001300805642E-2</v>
      </c>
      <c r="BW11">
        <f>LOG(Table1_1__2[[#This Row],[7:3 FTCA]])</f>
        <v>9.691001300805642E-2</v>
      </c>
      <c r="BX11">
        <f>LOG(Table1_1__2[[#This Row],[N-EtFOSA]])</f>
        <v>-1.3010299956639813</v>
      </c>
      <c r="BY11">
        <f>LOG(Table1_1__2[[#This Row],[N-MeFOSE]])</f>
        <v>-0.3010299956639812</v>
      </c>
      <c r="BZ11">
        <f>LOG(Table1_1__2[[#This Row],[N-EtFOSE]])</f>
        <v>-0.3010299956639812</v>
      </c>
      <c r="CA11">
        <f>LOG(Table1_1__2[[#This Row],[HFPO-DA]])</f>
        <v>-0.52287874528033762</v>
      </c>
      <c r="CB11">
        <f>LOG(Table1_1__2[[#This Row],[PFMBA]])</f>
        <v>-1</v>
      </c>
      <c r="CC11">
        <f>LOG(Table1_1__2[[#This Row],[NFDHA]])</f>
        <v>-1</v>
      </c>
      <c r="CD11">
        <f>LOG(Table1_1__2[[#This Row],[9Cl-PF3ONS]])</f>
        <v>-0.69897000433601875</v>
      </c>
      <c r="CE11">
        <f>LOG(Table1_1__2[[#This Row],[11Cl-PF3OUdS]])</f>
        <v>-0.69897000433601875</v>
      </c>
      <c r="CF11">
        <f>LOG(Table1_1__2[[#This Row],[PFEESA]])</f>
        <v>-1</v>
      </c>
      <c r="CG11">
        <f>LOG(Table1_1__2[[#This Row],[PFMPA]])</f>
        <v>-1</v>
      </c>
    </row>
    <row r="12" spans="1:85" x14ac:dyDescent="0.3">
      <c r="A12" s="2" t="s">
        <v>67</v>
      </c>
      <c r="B12" s="3">
        <v>44293.5</v>
      </c>
      <c r="C12" s="2" t="s">
        <v>33</v>
      </c>
      <c r="D12" s="2" t="s">
        <v>27</v>
      </c>
      <c r="E12">
        <v>0.2</v>
      </c>
      <c r="F12">
        <v>0.1</v>
      </c>
      <c r="G12">
        <v>0.09</v>
      </c>
      <c r="H12">
        <v>0.09</v>
      </c>
      <c r="I12">
        <v>6.7000000000000004E-2</v>
      </c>
      <c r="J12">
        <v>4.9500000000000002E-2</v>
      </c>
      <c r="K12">
        <v>4.9500000000000002E-2</v>
      </c>
      <c r="L12">
        <v>4.9500000000000002E-2</v>
      </c>
      <c r="M12">
        <v>4.9500000000000002E-2</v>
      </c>
      <c r="N12">
        <v>4.9500000000000002E-2</v>
      </c>
      <c r="O12">
        <v>4.9500000000000002E-2</v>
      </c>
      <c r="P12">
        <v>4.9500000000000002E-2</v>
      </c>
      <c r="Q12">
        <v>4.9500000000000002E-2</v>
      </c>
      <c r="R12">
        <v>0.28999999999999998</v>
      </c>
      <c r="S12">
        <v>4.9500000000000002E-2</v>
      </c>
      <c r="T12">
        <v>1</v>
      </c>
      <c r="U12">
        <v>4.9500000000000002E-2</v>
      </c>
      <c r="V12">
        <v>4.9500000000000002E-2</v>
      </c>
      <c r="W12">
        <v>4.9500000000000002E-2</v>
      </c>
      <c r="X12">
        <v>0.2</v>
      </c>
      <c r="Y12">
        <v>0.39500000000000002</v>
      </c>
      <c r="Z12">
        <v>0.39500000000000002</v>
      </c>
      <c r="AA12">
        <v>0.09</v>
      </c>
      <c r="AB12">
        <v>4.9500000000000002E-2</v>
      </c>
      <c r="AC12">
        <v>4.9500000000000002E-2</v>
      </c>
      <c r="AD12">
        <v>4.9500000000000002E-2</v>
      </c>
      <c r="AE12">
        <v>0.2</v>
      </c>
      <c r="AF12">
        <v>0.245</v>
      </c>
      <c r="AG12">
        <v>1.25</v>
      </c>
      <c r="AH12">
        <v>1.25</v>
      </c>
      <c r="AI12">
        <v>4.9500000000000002E-2</v>
      </c>
      <c r="AJ12">
        <v>0.495</v>
      </c>
      <c r="AK12">
        <v>0.495</v>
      </c>
      <c r="AL12">
        <v>0.29499999999999998</v>
      </c>
      <c r="AM12">
        <v>0.1</v>
      </c>
      <c r="AN12">
        <v>0.1</v>
      </c>
      <c r="AO12">
        <v>0.2</v>
      </c>
      <c r="AP12">
        <v>0.2</v>
      </c>
      <c r="AQ12">
        <v>0.1</v>
      </c>
      <c r="AR12">
        <v>0.1</v>
      </c>
      <c r="AS12">
        <f>SUM(Table1_1__2[[#This Row],[PFBA]:[PFMPA]])</f>
        <v>8.738999999999999</v>
      </c>
      <c r="AT12">
        <f>LOG(Table1_1__2[[#This Row],[PFBA]])</f>
        <v>-0.69897000433601875</v>
      </c>
      <c r="AU12">
        <f>LOG(Table1_1__2[[#This Row],[PFPeA]])</f>
        <v>-1</v>
      </c>
      <c r="AV12">
        <f>LOG(Table1_1__2[[#This Row],[PFHxA]])</f>
        <v>-1.0457574905606752</v>
      </c>
      <c r="AW12">
        <f>LOG(Table1_1__2[[#This Row],[PFHpA]])</f>
        <v>-1.0457574905606752</v>
      </c>
      <c r="AX12">
        <f>LOG(Table1_1__2[[#This Row],[PFOA]])</f>
        <v>-1.1739251972991736</v>
      </c>
      <c r="AY12">
        <f>LOG(Table1_1__2[[#This Row],[PFNA]])</f>
        <v>-1.3053948010664314</v>
      </c>
      <c r="AZ12">
        <f>LOG(Table1_1__2[[#This Row],[PFDA]])</f>
        <v>-1.3053948010664314</v>
      </c>
      <c r="BA12">
        <f>LOG(Table1_1__2[[#This Row],[PFUnA]])</f>
        <v>-1.3053948010664314</v>
      </c>
      <c r="BB12">
        <f>LOG(Table1_1__2[[#This Row],[PFDoA]])</f>
        <v>-1.3053948010664314</v>
      </c>
      <c r="BC12">
        <f>LOG(Table1_1__2[[#This Row],[PFTrDA]])</f>
        <v>-1.3053948010664314</v>
      </c>
      <c r="BD12">
        <f>LOG(Table1_1__2[[#This Row],[PFTeDA]])</f>
        <v>-1.3053948010664314</v>
      </c>
      <c r="BE12">
        <f>LOG(Table1_1__2[[#This Row],[PFBS]])</f>
        <v>-1.3053948010664314</v>
      </c>
      <c r="BF12">
        <f>LOG(Table1_1__2[[#This Row],[PFPeS]])</f>
        <v>-1.3053948010664314</v>
      </c>
      <c r="BG12">
        <f>LOG(Table1_1__2[[#This Row],[PFHxS]])</f>
        <v>-0.53760200210104392</v>
      </c>
      <c r="BH12">
        <f>LOG(Table1_1__2[[#This Row],[PFHpS]])</f>
        <v>-1.3053948010664314</v>
      </c>
      <c r="BI12">
        <f>LOG(Table1_1__2[[#This Row],[PFOS]])</f>
        <v>0</v>
      </c>
      <c r="BJ12">
        <f>LOG(Table1_1__2[[#This Row],[PFNS]])</f>
        <v>-1.3053948010664314</v>
      </c>
      <c r="BK12">
        <f>LOG(Table1_1__2[[#This Row],[PFDS]])</f>
        <v>-1.3053948010664314</v>
      </c>
      <c r="BL12">
        <f>LOG(Table1_1__2[[#This Row],[PFDoS]])</f>
        <v>-1.3053948010664314</v>
      </c>
      <c r="BM12">
        <f>LOG(Table1_1__2[[#This Row],[4:2 FTS]])</f>
        <v>-0.69897000433601875</v>
      </c>
      <c r="BN12">
        <f>LOG(Table1_1__2[[#This Row],[6:2 FTS]])</f>
        <v>-0.40340290437353976</v>
      </c>
      <c r="BO12">
        <f>LOG(Table1_1__2[[#This Row],[8:2 FTS]])</f>
        <v>-0.40340290437353976</v>
      </c>
      <c r="BP12">
        <f>LOG(Table1_1__2[[#This Row],[FOSA]])</f>
        <v>-1.0457574905606752</v>
      </c>
      <c r="BQ12">
        <f>LOG(Table1_1__2[[#This Row],[N-MeFOSA]])</f>
        <v>-1.3053948010664314</v>
      </c>
      <c r="BR12">
        <f>LOG(Table1_1__2[[#This Row],[N-MeFOSAA]])</f>
        <v>-1.3053948010664314</v>
      </c>
      <c r="BS12">
        <f>LOG(Table1_1__2[[#This Row],[N-EtFOSAA]])</f>
        <v>-1.3053948010664314</v>
      </c>
      <c r="BT12">
        <f>LOG(Table1_1__2[[#This Row],[ADONA]])</f>
        <v>-0.69897000433601875</v>
      </c>
      <c r="BU12">
        <f>LOG(Table1_1__2[[#This Row],[3:3 FTCA]])</f>
        <v>-0.61083391563546752</v>
      </c>
      <c r="BV12">
        <f>LOG(Table1_1__2[[#This Row],[5:3 FTCA]])</f>
        <v>9.691001300805642E-2</v>
      </c>
      <c r="BW12">
        <f>LOG(Table1_1__2[[#This Row],[7:3 FTCA]])</f>
        <v>9.691001300805642E-2</v>
      </c>
      <c r="BX12">
        <f>LOG(Table1_1__2[[#This Row],[N-EtFOSA]])</f>
        <v>-1.3053948010664314</v>
      </c>
      <c r="BY12">
        <f>LOG(Table1_1__2[[#This Row],[N-MeFOSE]])</f>
        <v>-0.3053948010664313</v>
      </c>
      <c r="BZ12">
        <f>LOG(Table1_1__2[[#This Row],[N-EtFOSE]])</f>
        <v>-0.3053948010664313</v>
      </c>
      <c r="CA12">
        <f>LOG(Table1_1__2[[#This Row],[HFPO-DA]])</f>
        <v>-0.53017798402183702</v>
      </c>
      <c r="CB12">
        <f>LOG(Table1_1__2[[#This Row],[PFMBA]])</f>
        <v>-1</v>
      </c>
      <c r="CC12">
        <f>LOG(Table1_1__2[[#This Row],[NFDHA]])</f>
        <v>-1</v>
      </c>
      <c r="CD12">
        <f>LOG(Table1_1__2[[#This Row],[9Cl-PF3ONS]])</f>
        <v>-0.69897000433601875</v>
      </c>
      <c r="CE12">
        <f>LOG(Table1_1__2[[#This Row],[11Cl-PF3OUdS]])</f>
        <v>-0.69897000433601875</v>
      </c>
      <c r="CF12">
        <f>LOG(Table1_1__2[[#This Row],[PFEESA]])</f>
        <v>-1</v>
      </c>
      <c r="CG12">
        <f>LOG(Table1_1__2[[#This Row],[PFMPA]])</f>
        <v>-1</v>
      </c>
    </row>
    <row r="13" spans="1:85" x14ac:dyDescent="0.3">
      <c r="A13" s="2" t="s">
        <v>68</v>
      </c>
      <c r="B13" s="3">
        <v>44293.5</v>
      </c>
      <c r="C13" s="2" t="s">
        <v>29</v>
      </c>
      <c r="D13" s="2" t="s">
        <v>27</v>
      </c>
      <c r="E13">
        <v>0.2</v>
      </c>
      <c r="F13">
        <v>0.1</v>
      </c>
      <c r="G13">
        <v>0.09</v>
      </c>
      <c r="H13">
        <v>0.09</v>
      </c>
      <c r="I13">
        <v>8.2000000000000003E-2</v>
      </c>
      <c r="J13">
        <v>4.9500000000000002E-2</v>
      </c>
      <c r="K13">
        <v>4.9500000000000002E-2</v>
      </c>
      <c r="L13">
        <v>4.9500000000000002E-2</v>
      </c>
      <c r="M13">
        <v>4.9500000000000002E-2</v>
      </c>
      <c r="N13">
        <v>4.9500000000000002E-2</v>
      </c>
      <c r="O13">
        <v>4.9500000000000002E-2</v>
      </c>
      <c r="P13">
        <v>4.9500000000000002E-2</v>
      </c>
      <c r="Q13">
        <v>4.9500000000000002E-2</v>
      </c>
      <c r="R13">
        <v>0.22</v>
      </c>
      <c r="S13">
        <v>4.9500000000000002E-2</v>
      </c>
      <c r="T13">
        <v>0.69</v>
      </c>
      <c r="U13">
        <v>4.9500000000000002E-2</v>
      </c>
      <c r="V13">
        <v>4.9500000000000002E-2</v>
      </c>
      <c r="W13">
        <v>4.9500000000000002E-2</v>
      </c>
      <c r="X13">
        <v>0.2</v>
      </c>
      <c r="Y13">
        <v>0.39500000000000002</v>
      </c>
      <c r="Z13">
        <v>0.39500000000000002</v>
      </c>
      <c r="AA13">
        <v>0.09</v>
      </c>
      <c r="AB13">
        <v>4.9500000000000002E-2</v>
      </c>
      <c r="AC13">
        <v>4.9500000000000002E-2</v>
      </c>
      <c r="AD13">
        <v>4.9500000000000002E-2</v>
      </c>
      <c r="AE13">
        <v>0.2</v>
      </c>
      <c r="AF13">
        <v>0.25</v>
      </c>
      <c r="AG13">
        <v>1.25</v>
      </c>
      <c r="AH13">
        <v>1.25</v>
      </c>
      <c r="AI13">
        <v>4.9500000000000002E-2</v>
      </c>
      <c r="AJ13">
        <v>0.495</v>
      </c>
      <c r="AK13">
        <v>0.495</v>
      </c>
      <c r="AL13">
        <v>0.3</v>
      </c>
      <c r="AM13">
        <v>0.1</v>
      </c>
      <c r="AN13">
        <v>0.1</v>
      </c>
      <c r="AO13">
        <v>0.2</v>
      </c>
      <c r="AP13">
        <v>0.2</v>
      </c>
      <c r="AQ13">
        <v>0.1</v>
      </c>
      <c r="AR13">
        <v>0.1</v>
      </c>
      <c r="AS13">
        <f>SUM(Table1_1__2[[#This Row],[PFBA]:[PFMPA]])</f>
        <v>8.3839999999999986</v>
      </c>
      <c r="AT13">
        <f>LOG(Table1_1__2[[#This Row],[PFBA]])</f>
        <v>-0.69897000433601875</v>
      </c>
      <c r="AU13">
        <f>LOG(Table1_1__2[[#This Row],[PFPeA]])</f>
        <v>-1</v>
      </c>
      <c r="AV13">
        <f>LOG(Table1_1__2[[#This Row],[PFHxA]])</f>
        <v>-1.0457574905606752</v>
      </c>
      <c r="AW13">
        <f>LOG(Table1_1__2[[#This Row],[PFHpA]])</f>
        <v>-1.0457574905606752</v>
      </c>
      <c r="AX13">
        <f>LOG(Table1_1__2[[#This Row],[PFOA]])</f>
        <v>-1.0861861476162833</v>
      </c>
      <c r="AY13">
        <f>LOG(Table1_1__2[[#This Row],[PFNA]])</f>
        <v>-1.3053948010664314</v>
      </c>
      <c r="AZ13">
        <f>LOG(Table1_1__2[[#This Row],[PFDA]])</f>
        <v>-1.3053948010664314</v>
      </c>
      <c r="BA13">
        <f>LOG(Table1_1__2[[#This Row],[PFUnA]])</f>
        <v>-1.3053948010664314</v>
      </c>
      <c r="BB13">
        <f>LOG(Table1_1__2[[#This Row],[PFDoA]])</f>
        <v>-1.3053948010664314</v>
      </c>
      <c r="BC13">
        <f>LOG(Table1_1__2[[#This Row],[PFTrDA]])</f>
        <v>-1.3053948010664314</v>
      </c>
      <c r="BD13">
        <f>LOG(Table1_1__2[[#This Row],[PFTeDA]])</f>
        <v>-1.3053948010664314</v>
      </c>
      <c r="BE13">
        <f>LOG(Table1_1__2[[#This Row],[PFBS]])</f>
        <v>-1.3053948010664314</v>
      </c>
      <c r="BF13">
        <f>LOG(Table1_1__2[[#This Row],[PFPeS]])</f>
        <v>-1.3053948010664314</v>
      </c>
      <c r="BG13">
        <f>LOG(Table1_1__2[[#This Row],[PFHxS]])</f>
        <v>-0.65757731917779372</v>
      </c>
      <c r="BH13">
        <f>LOG(Table1_1__2[[#This Row],[PFHpS]])</f>
        <v>-1.3053948010664314</v>
      </c>
      <c r="BI13">
        <f>LOG(Table1_1__2[[#This Row],[PFOS]])</f>
        <v>-0.16115090926274472</v>
      </c>
      <c r="BJ13">
        <f>LOG(Table1_1__2[[#This Row],[PFNS]])</f>
        <v>-1.3053948010664314</v>
      </c>
      <c r="BK13">
        <f>LOG(Table1_1__2[[#This Row],[PFDS]])</f>
        <v>-1.3053948010664314</v>
      </c>
      <c r="BL13">
        <f>LOG(Table1_1__2[[#This Row],[PFDoS]])</f>
        <v>-1.3053948010664314</v>
      </c>
      <c r="BM13">
        <f>LOG(Table1_1__2[[#This Row],[4:2 FTS]])</f>
        <v>-0.69897000433601875</v>
      </c>
      <c r="BN13">
        <f>LOG(Table1_1__2[[#This Row],[6:2 FTS]])</f>
        <v>-0.40340290437353976</v>
      </c>
      <c r="BO13">
        <f>LOG(Table1_1__2[[#This Row],[8:2 FTS]])</f>
        <v>-0.40340290437353976</v>
      </c>
      <c r="BP13">
        <f>LOG(Table1_1__2[[#This Row],[FOSA]])</f>
        <v>-1.0457574905606752</v>
      </c>
      <c r="BQ13">
        <f>LOG(Table1_1__2[[#This Row],[N-MeFOSA]])</f>
        <v>-1.3053948010664314</v>
      </c>
      <c r="BR13">
        <f>LOG(Table1_1__2[[#This Row],[N-MeFOSAA]])</f>
        <v>-1.3053948010664314</v>
      </c>
      <c r="BS13">
        <f>LOG(Table1_1__2[[#This Row],[N-EtFOSAA]])</f>
        <v>-1.3053948010664314</v>
      </c>
      <c r="BT13">
        <f>LOG(Table1_1__2[[#This Row],[ADONA]])</f>
        <v>-0.69897000433601875</v>
      </c>
      <c r="BU13">
        <f>LOG(Table1_1__2[[#This Row],[3:3 FTCA]])</f>
        <v>-0.6020599913279624</v>
      </c>
      <c r="BV13">
        <f>LOG(Table1_1__2[[#This Row],[5:3 FTCA]])</f>
        <v>9.691001300805642E-2</v>
      </c>
      <c r="BW13">
        <f>LOG(Table1_1__2[[#This Row],[7:3 FTCA]])</f>
        <v>9.691001300805642E-2</v>
      </c>
      <c r="BX13">
        <f>LOG(Table1_1__2[[#This Row],[N-EtFOSA]])</f>
        <v>-1.3053948010664314</v>
      </c>
      <c r="BY13">
        <f>LOG(Table1_1__2[[#This Row],[N-MeFOSE]])</f>
        <v>-0.3053948010664313</v>
      </c>
      <c r="BZ13">
        <f>LOG(Table1_1__2[[#This Row],[N-EtFOSE]])</f>
        <v>-0.3053948010664313</v>
      </c>
      <c r="CA13">
        <f>LOG(Table1_1__2[[#This Row],[HFPO-DA]])</f>
        <v>-0.52287874528033762</v>
      </c>
      <c r="CB13">
        <f>LOG(Table1_1__2[[#This Row],[PFMBA]])</f>
        <v>-1</v>
      </c>
      <c r="CC13">
        <f>LOG(Table1_1__2[[#This Row],[NFDHA]])</f>
        <v>-1</v>
      </c>
      <c r="CD13">
        <f>LOG(Table1_1__2[[#This Row],[9Cl-PF3ONS]])</f>
        <v>-0.69897000433601875</v>
      </c>
      <c r="CE13">
        <f>LOG(Table1_1__2[[#This Row],[11Cl-PF3OUdS]])</f>
        <v>-0.69897000433601875</v>
      </c>
      <c r="CF13">
        <f>LOG(Table1_1__2[[#This Row],[PFEESA]])</f>
        <v>-1</v>
      </c>
      <c r="CG13">
        <f>LOG(Table1_1__2[[#This Row],[PFMPA]])</f>
        <v>-1</v>
      </c>
    </row>
    <row r="14" spans="1:85" x14ac:dyDescent="0.3">
      <c r="A14" s="2" t="s">
        <v>69</v>
      </c>
      <c r="B14" s="3">
        <v>44299.5</v>
      </c>
      <c r="C14" s="2" t="s">
        <v>26</v>
      </c>
      <c r="D14" s="2" t="s">
        <v>27</v>
      </c>
      <c r="E14">
        <v>0.2</v>
      </c>
      <c r="F14">
        <v>0.1</v>
      </c>
      <c r="G14">
        <v>0.19</v>
      </c>
      <c r="H14">
        <v>0.09</v>
      </c>
      <c r="I14">
        <v>0.37</v>
      </c>
      <c r="J14">
        <v>4.9500000000000002E-2</v>
      </c>
      <c r="K14">
        <v>4.9500000000000002E-2</v>
      </c>
      <c r="L14">
        <v>4.9500000000000002E-2</v>
      </c>
      <c r="M14">
        <v>4.9500000000000002E-2</v>
      </c>
      <c r="N14">
        <v>4.9500000000000002E-2</v>
      </c>
      <c r="O14">
        <v>4.9500000000000002E-2</v>
      </c>
      <c r="P14">
        <v>4.9500000000000002E-2</v>
      </c>
      <c r="Q14">
        <v>4.9500000000000002E-2</v>
      </c>
      <c r="R14">
        <v>0.5</v>
      </c>
      <c r="S14">
        <v>4.9500000000000002E-2</v>
      </c>
      <c r="T14">
        <v>1.1000000000000001</v>
      </c>
      <c r="U14">
        <v>4.9500000000000002E-2</v>
      </c>
      <c r="V14">
        <v>4.9500000000000002E-2</v>
      </c>
      <c r="W14">
        <v>4.9500000000000002E-2</v>
      </c>
      <c r="X14">
        <v>0.2</v>
      </c>
      <c r="Y14">
        <v>0.4</v>
      </c>
      <c r="Z14">
        <v>0.4</v>
      </c>
      <c r="AA14">
        <v>0.09</v>
      </c>
      <c r="AB14">
        <v>4.9500000000000002E-2</v>
      </c>
      <c r="AC14">
        <v>4.9500000000000002E-2</v>
      </c>
      <c r="AD14">
        <v>4.9500000000000002E-2</v>
      </c>
      <c r="AE14">
        <v>0.2</v>
      </c>
      <c r="AF14">
        <v>0.25</v>
      </c>
      <c r="AG14">
        <v>1.25</v>
      </c>
      <c r="AH14">
        <v>1.25</v>
      </c>
      <c r="AI14">
        <v>4.9500000000000002E-2</v>
      </c>
      <c r="AJ14">
        <v>0.495</v>
      </c>
      <c r="AK14">
        <v>0.495</v>
      </c>
      <c r="AL14">
        <v>0.3</v>
      </c>
      <c r="AM14">
        <v>0.1</v>
      </c>
      <c r="AN14">
        <v>0.1</v>
      </c>
      <c r="AO14">
        <v>0.2</v>
      </c>
      <c r="AP14">
        <v>0.2</v>
      </c>
      <c r="AQ14">
        <v>0.1</v>
      </c>
      <c r="AR14">
        <v>0.1</v>
      </c>
      <c r="AS14">
        <f>SUM(Table1_1__2[[#This Row],[PFBA]:[PFMPA]])</f>
        <v>9.4719999999999995</v>
      </c>
      <c r="AT14">
        <f>LOG(Table1_1__2[[#This Row],[PFBA]])</f>
        <v>-0.69897000433601875</v>
      </c>
      <c r="AU14">
        <f>LOG(Table1_1__2[[#This Row],[PFPeA]])</f>
        <v>-1</v>
      </c>
      <c r="AV14">
        <f>LOG(Table1_1__2[[#This Row],[PFHxA]])</f>
        <v>-0.72124639904717103</v>
      </c>
      <c r="AW14">
        <f>LOG(Table1_1__2[[#This Row],[PFHpA]])</f>
        <v>-1.0457574905606752</v>
      </c>
      <c r="AX14">
        <f>LOG(Table1_1__2[[#This Row],[PFOA]])</f>
        <v>-0.43179827593300502</v>
      </c>
      <c r="AY14">
        <f>LOG(Table1_1__2[[#This Row],[PFNA]])</f>
        <v>-1.3053948010664314</v>
      </c>
      <c r="AZ14">
        <f>LOG(Table1_1__2[[#This Row],[PFDA]])</f>
        <v>-1.3053948010664314</v>
      </c>
      <c r="BA14">
        <f>LOG(Table1_1__2[[#This Row],[PFUnA]])</f>
        <v>-1.3053948010664314</v>
      </c>
      <c r="BB14">
        <f>LOG(Table1_1__2[[#This Row],[PFDoA]])</f>
        <v>-1.3053948010664314</v>
      </c>
      <c r="BC14">
        <f>LOG(Table1_1__2[[#This Row],[PFTrDA]])</f>
        <v>-1.3053948010664314</v>
      </c>
      <c r="BD14">
        <f>LOG(Table1_1__2[[#This Row],[PFTeDA]])</f>
        <v>-1.3053948010664314</v>
      </c>
      <c r="BE14">
        <f>LOG(Table1_1__2[[#This Row],[PFBS]])</f>
        <v>-1.3053948010664314</v>
      </c>
      <c r="BF14">
        <f>LOG(Table1_1__2[[#This Row],[PFPeS]])</f>
        <v>-1.3053948010664314</v>
      </c>
      <c r="BG14">
        <f>LOG(Table1_1__2[[#This Row],[PFHxS]])</f>
        <v>-0.3010299956639812</v>
      </c>
      <c r="BH14">
        <f>LOG(Table1_1__2[[#This Row],[PFHpS]])</f>
        <v>-1.3053948010664314</v>
      </c>
      <c r="BI14">
        <f>LOG(Table1_1__2[[#This Row],[PFOS]])</f>
        <v>4.1392685158225077E-2</v>
      </c>
      <c r="BJ14">
        <f>LOG(Table1_1__2[[#This Row],[PFNS]])</f>
        <v>-1.3053948010664314</v>
      </c>
      <c r="BK14">
        <f>LOG(Table1_1__2[[#This Row],[PFDS]])</f>
        <v>-1.3053948010664314</v>
      </c>
      <c r="BL14">
        <f>LOG(Table1_1__2[[#This Row],[PFDoS]])</f>
        <v>-1.3053948010664314</v>
      </c>
      <c r="BM14">
        <f>LOG(Table1_1__2[[#This Row],[4:2 FTS]])</f>
        <v>-0.69897000433601875</v>
      </c>
      <c r="BN14">
        <f>LOG(Table1_1__2[[#This Row],[6:2 FTS]])</f>
        <v>-0.3979400086720376</v>
      </c>
      <c r="BO14">
        <f>LOG(Table1_1__2[[#This Row],[8:2 FTS]])</f>
        <v>-0.3979400086720376</v>
      </c>
      <c r="BP14">
        <f>LOG(Table1_1__2[[#This Row],[FOSA]])</f>
        <v>-1.0457574905606752</v>
      </c>
      <c r="BQ14">
        <f>LOG(Table1_1__2[[#This Row],[N-MeFOSA]])</f>
        <v>-1.3053948010664314</v>
      </c>
      <c r="BR14">
        <f>LOG(Table1_1__2[[#This Row],[N-MeFOSAA]])</f>
        <v>-1.3053948010664314</v>
      </c>
      <c r="BS14">
        <f>LOG(Table1_1__2[[#This Row],[N-EtFOSAA]])</f>
        <v>-1.3053948010664314</v>
      </c>
      <c r="BT14">
        <f>LOG(Table1_1__2[[#This Row],[ADONA]])</f>
        <v>-0.69897000433601875</v>
      </c>
      <c r="BU14">
        <f>LOG(Table1_1__2[[#This Row],[3:3 FTCA]])</f>
        <v>-0.6020599913279624</v>
      </c>
      <c r="BV14">
        <f>LOG(Table1_1__2[[#This Row],[5:3 FTCA]])</f>
        <v>9.691001300805642E-2</v>
      </c>
      <c r="BW14">
        <f>LOG(Table1_1__2[[#This Row],[7:3 FTCA]])</f>
        <v>9.691001300805642E-2</v>
      </c>
      <c r="BX14">
        <f>LOG(Table1_1__2[[#This Row],[N-EtFOSA]])</f>
        <v>-1.3053948010664314</v>
      </c>
      <c r="BY14">
        <f>LOG(Table1_1__2[[#This Row],[N-MeFOSE]])</f>
        <v>-0.3053948010664313</v>
      </c>
      <c r="BZ14">
        <f>LOG(Table1_1__2[[#This Row],[N-EtFOSE]])</f>
        <v>-0.3053948010664313</v>
      </c>
      <c r="CA14">
        <f>LOG(Table1_1__2[[#This Row],[HFPO-DA]])</f>
        <v>-0.52287874528033762</v>
      </c>
      <c r="CB14">
        <f>LOG(Table1_1__2[[#This Row],[PFMBA]])</f>
        <v>-1</v>
      </c>
      <c r="CC14">
        <f>LOG(Table1_1__2[[#This Row],[NFDHA]])</f>
        <v>-1</v>
      </c>
      <c r="CD14">
        <f>LOG(Table1_1__2[[#This Row],[9Cl-PF3ONS]])</f>
        <v>-0.69897000433601875</v>
      </c>
      <c r="CE14">
        <f>LOG(Table1_1__2[[#This Row],[11Cl-PF3OUdS]])</f>
        <v>-0.69897000433601875</v>
      </c>
      <c r="CF14">
        <f>LOG(Table1_1__2[[#This Row],[PFEESA]])</f>
        <v>-1</v>
      </c>
      <c r="CG14">
        <f>LOG(Table1_1__2[[#This Row],[PFMPA]])</f>
        <v>-1</v>
      </c>
    </row>
    <row r="15" spans="1:85" x14ac:dyDescent="0.3">
      <c r="A15" s="2" t="s">
        <v>70</v>
      </c>
      <c r="B15" s="3">
        <v>44299.5</v>
      </c>
      <c r="C15" s="2" t="s">
        <v>31</v>
      </c>
      <c r="D15" s="2" t="s">
        <v>27</v>
      </c>
      <c r="E15">
        <v>0.19500000000000001</v>
      </c>
      <c r="F15">
        <v>0.1</v>
      </c>
      <c r="G15">
        <v>9.4E-2</v>
      </c>
      <c r="H15">
        <v>0.09</v>
      </c>
      <c r="I15">
        <v>0.1</v>
      </c>
      <c r="J15">
        <v>4.9000000000000002E-2</v>
      </c>
      <c r="K15">
        <v>4.9000000000000002E-2</v>
      </c>
      <c r="L15">
        <v>4.9000000000000002E-2</v>
      </c>
      <c r="M15">
        <v>4.9000000000000002E-2</v>
      </c>
      <c r="N15">
        <v>4.9000000000000002E-2</v>
      </c>
      <c r="O15">
        <v>4.9000000000000002E-2</v>
      </c>
      <c r="P15">
        <v>4.9000000000000002E-2</v>
      </c>
      <c r="Q15">
        <v>4.9000000000000002E-2</v>
      </c>
      <c r="R15">
        <v>0.24</v>
      </c>
      <c r="S15">
        <v>4.9000000000000002E-2</v>
      </c>
      <c r="T15">
        <v>1.3</v>
      </c>
      <c r="U15">
        <v>4.9000000000000002E-2</v>
      </c>
      <c r="V15">
        <v>4.9000000000000002E-2</v>
      </c>
      <c r="W15">
        <v>4.9000000000000002E-2</v>
      </c>
      <c r="X15">
        <v>0.19500000000000001</v>
      </c>
      <c r="Y15">
        <v>0.39500000000000002</v>
      </c>
      <c r="Z15">
        <v>0.39500000000000002</v>
      </c>
      <c r="AA15">
        <v>0.11</v>
      </c>
      <c r="AB15">
        <v>4.9000000000000002E-2</v>
      </c>
      <c r="AC15">
        <v>4.9000000000000002E-2</v>
      </c>
      <c r="AD15">
        <v>4.9000000000000002E-2</v>
      </c>
      <c r="AE15">
        <v>0.19500000000000001</v>
      </c>
      <c r="AF15">
        <v>0.245</v>
      </c>
      <c r="AG15">
        <v>1.25</v>
      </c>
      <c r="AH15">
        <v>1.25</v>
      </c>
      <c r="AI15">
        <v>4.9000000000000002E-2</v>
      </c>
      <c r="AJ15">
        <v>0.49</v>
      </c>
      <c r="AK15">
        <v>0.49</v>
      </c>
      <c r="AL15">
        <v>0.29499999999999998</v>
      </c>
      <c r="AM15">
        <v>0.1</v>
      </c>
      <c r="AN15">
        <v>0.1</v>
      </c>
      <c r="AO15">
        <v>0.19500000000000001</v>
      </c>
      <c r="AP15">
        <v>0.19500000000000001</v>
      </c>
      <c r="AQ15">
        <v>0.1</v>
      </c>
      <c r="AR15">
        <v>0.1</v>
      </c>
      <c r="AS15">
        <f>SUM(Table1_1__2[[#This Row],[PFBA]:[PFMPA]])</f>
        <v>9.0030000000000001</v>
      </c>
      <c r="AT15">
        <f>LOG(Table1_1__2[[#This Row],[PFBA]])</f>
        <v>-0.70996538863748193</v>
      </c>
      <c r="AU15">
        <f>LOG(Table1_1__2[[#This Row],[PFPeA]])</f>
        <v>-1</v>
      </c>
      <c r="AV15">
        <f>LOG(Table1_1__2[[#This Row],[PFHxA]])</f>
        <v>-1.0268721464003014</v>
      </c>
      <c r="AW15">
        <f>LOG(Table1_1__2[[#This Row],[PFHpA]])</f>
        <v>-1.0457574905606752</v>
      </c>
      <c r="AX15">
        <f>LOG(Table1_1__2[[#This Row],[PFOA]])</f>
        <v>-1</v>
      </c>
      <c r="AY15">
        <f>LOG(Table1_1__2[[#This Row],[PFNA]])</f>
        <v>-1.3098039199714864</v>
      </c>
      <c r="AZ15">
        <f>LOG(Table1_1__2[[#This Row],[PFDA]])</f>
        <v>-1.3098039199714864</v>
      </c>
      <c r="BA15">
        <f>LOG(Table1_1__2[[#This Row],[PFUnA]])</f>
        <v>-1.3098039199714864</v>
      </c>
      <c r="BB15">
        <f>LOG(Table1_1__2[[#This Row],[PFDoA]])</f>
        <v>-1.3098039199714864</v>
      </c>
      <c r="BC15">
        <f>LOG(Table1_1__2[[#This Row],[PFTrDA]])</f>
        <v>-1.3098039199714864</v>
      </c>
      <c r="BD15">
        <f>LOG(Table1_1__2[[#This Row],[PFTeDA]])</f>
        <v>-1.3098039199714864</v>
      </c>
      <c r="BE15">
        <f>LOG(Table1_1__2[[#This Row],[PFBS]])</f>
        <v>-1.3098039199714864</v>
      </c>
      <c r="BF15">
        <f>LOG(Table1_1__2[[#This Row],[PFPeS]])</f>
        <v>-1.3098039199714864</v>
      </c>
      <c r="BG15">
        <f>LOG(Table1_1__2[[#This Row],[PFHxS]])</f>
        <v>-0.61978875828839397</v>
      </c>
      <c r="BH15">
        <f>LOG(Table1_1__2[[#This Row],[PFHpS]])</f>
        <v>-1.3098039199714864</v>
      </c>
      <c r="BI15">
        <f>LOG(Table1_1__2[[#This Row],[PFOS]])</f>
        <v>0.11394335230683679</v>
      </c>
      <c r="BJ15">
        <f>LOG(Table1_1__2[[#This Row],[PFNS]])</f>
        <v>-1.3098039199714864</v>
      </c>
      <c r="BK15">
        <f>LOG(Table1_1__2[[#This Row],[PFDS]])</f>
        <v>-1.3098039199714864</v>
      </c>
      <c r="BL15">
        <f>LOG(Table1_1__2[[#This Row],[PFDoS]])</f>
        <v>-1.3098039199714864</v>
      </c>
      <c r="BM15">
        <f>LOG(Table1_1__2[[#This Row],[4:2 FTS]])</f>
        <v>-0.70996538863748193</v>
      </c>
      <c r="BN15">
        <f>LOG(Table1_1__2[[#This Row],[6:2 FTS]])</f>
        <v>-0.40340290437353976</v>
      </c>
      <c r="BO15">
        <f>LOG(Table1_1__2[[#This Row],[8:2 FTS]])</f>
        <v>-0.40340290437353976</v>
      </c>
      <c r="BP15">
        <f>LOG(Table1_1__2[[#This Row],[FOSA]])</f>
        <v>-0.95860731484177497</v>
      </c>
      <c r="BQ15">
        <f>LOG(Table1_1__2[[#This Row],[N-MeFOSA]])</f>
        <v>-1.3098039199714864</v>
      </c>
      <c r="BR15">
        <f>LOG(Table1_1__2[[#This Row],[N-MeFOSAA]])</f>
        <v>-1.3098039199714864</v>
      </c>
      <c r="BS15">
        <f>LOG(Table1_1__2[[#This Row],[N-EtFOSAA]])</f>
        <v>-1.3098039199714864</v>
      </c>
      <c r="BT15">
        <f>LOG(Table1_1__2[[#This Row],[ADONA]])</f>
        <v>-0.70996538863748193</v>
      </c>
      <c r="BU15">
        <f>LOG(Table1_1__2[[#This Row],[3:3 FTCA]])</f>
        <v>-0.61083391563546752</v>
      </c>
      <c r="BV15">
        <f>LOG(Table1_1__2[[#This Row],[5:3 FTCA]])</f>
        <v>9.691001300805642E-2</v>
      </c>
      <c r="BW15">
        <f>LOG(Table1_1__2[[#This Row],[7:3 FTCA]])</f>
        <v>9.691001300805642E-2</v>
      </c>
      <c r="BX15">
        <f>LOG(Table1_1__2[[#This Row],[N-EtFOSA]])</f>
        <v>-1.3098039199714864</v>
      </c>
      <c r="BY15">
        <f>LOG(Table1_1__2[[#This Row],[N-MeFOSE]])</f>
        <v>-0.30980391997148632</v>
      </c>
      <c r="BZ15">
        <f>LOG(Table1_1__2[[#This Row],[N-EtFOSE]])</f>
        <v>-0.30980391997148632</v>
      </c>
      <c r="CA15">
        <f>LOG(Table1_1__2[[#This Row],[HFPO-DA]])</f>
        <v>-0.53017798402183702</v>
      </c>
      <c r="CB15">
        <f>LOG(Table1_1__2[[#This Row],[PFMBA]])</f>
        <v>-1</v>
      </c>
      <c r="CC15">
        <f>LOG(Table1_1__2[[#This Row],[NFDHA]])</f>
        <v>-1</v>
      </c>
      <c r="CD15">
        <f>LOG(Table1_1__2[[#This Row],[9Cl-PF3ONS]])</f>
        <v>-0.70996538863748193</v>
      </c>
      <c r="CE15">
        <f>LOG(Table1_1__2[[#This Row],[11Cl-PF3OUdS]])</f>
        <v>-0.70996538863748193</v>
      </c>
      <c r="CF15">
        <f>LOG(Table1_1__2[[#This Row],[PFEESA]])</f>
        <v>-1</v>
      </c>
      <c r="CG15">
        <f>LOG(Table1_1__2[[#This Row],[PFMPA]])</f>
        <v>-1</v>
      </c>
    </row>
    <row r="16" spans="1:85" x14ac:dyDescent="0.3">
      <c r="A16" s="2" t="s">
        <v>71</v>
      </c>
      <c r="B16" s="3">
        <v>44299.5</v>
      </c>
      <c r="C16" s="2" t="s">
        <v>33</v>
      </c>
      <c r="D16" s="2" t="s">
        <v>27</v>
      </c>
      <c r="E16">
        <v>0.19500000000000001</v>
      </c>
      <c r="F16">
        <v>0.1</v>
      </c>
      <c r="G16">
        <v>0.09</v>
      </c>
      <c r="H16">
        <v>0.09</v>
      </c>
      <c r="I16">
        <v>0.08</v>
      </c>
      <c r="J16">
        <v>4.9500000000000002E-2</v>
      </c>
      <c r="K16">
        <v>4.9500000000000002E-2</v>
      </c>
      <c r="L16">
        <v>4.9500000000000002E-2</v>
      </c>
      <c r="M16">
        <v>4.9500000000000002E-2</v>
      </c>
      <c r="N16">
        <v>4.9500000000000002E-2</v>
      </c>
      <c r="O16">
        <v>4.9500000000000002E-2</v>
      </c>
      <c r="P16">
        <v>4.9500000000000002E-2</v>
      </c>
      <c r="Q16">
        <v>4.9500000000000002E-2</v>
      </c>
      <c r="R16">
        <v>0.22</v>
      </c>
      <c r="S16">
        <v>4.9500000000000002E-2</v>
      </c>
      <c r="T16">
        <v>1.2</v>
      </c>
      <c r="U16">
        <v>4.9500000000000002E-2</v>
      </c>
      <c r="V16">
        <v>4.9500000000000002E-2</v>
      </c>
      <c r="W16">
        <v>4.9500000000000002E-2</v>
      </c>
      <c r="X16">
        <v>0.19500000000000001</v>
      </c>
      <c r="Y16">
        <v>0.39500000000000002</v>
      </c>
      <c r="Z16">
        <v>0.39500000000000002</v>
      </c>
      <c r="AA16">
        <v>0.09</v>
      </c>
      <c r="AB16">
        <v>4.9500000000000002E-2</v>
      </c>
      <c r="AC16">
        <v>4.9500000000000002E-2</v>
      </c>
      <c r="AD16">
        <v>4.9500000000000002E-2</v>
      </c>
      <c r="AE16">
        <v>0.19500000000000001</v>
      </c>
      <c r="AF16">
        <v>0.245</v>
      </c>
      <c r="AG16">
        <v>1.25</v>
      </c>
      <c r="AH16">
        <v>1.25</v>
      </c>
      <c r="AI16">
        <v>4.9500000000000002E-2</v>
      </c>
      <c r="AJ16">
        <v>0.495</v>
      </c>
      <c r="AK16">
        <v>0.495</v>
      </c>
      <c r="AL16">
        <v>0.29499999999999998</v>
      </c>
      <c r="AM16">
        <v>0.1</v>
      </c>
      <c r="AN16">
        <v>0.1</v>
      </c>
      <c r="AO16">
        <v>0.19500000000000001</v>
      </c>
      <c r="AP16">
        <v>0.19500000000000001</v>
      </c>
      <c r="AQ16">
        <v>0.1</v>
      </c>
      <c r="AR16">
        <v>0.1</v>
      </c>
      <c r="AS16">
        <f>SUM(Table1_1__2[[#This Row],[PFBA]:[PFMPA]])</f>
        <v>8.8569999999999993</v>
      </c>
      <c r="AT16">
        <f>LOG(Table1_1__2[[#This Row],[PFBA]])</f>
        <v>-0.70996538863748193</v>
      </c>
      <c r="AU16">
        <f>LOG(Table1_1__2[[#This Row],[PFPeA]])</f>
        <v>-1</v>
      </c>
      <c r="AV16">
        <f>LOG(Table1_1__2[[#This Row],[PFHxA]])</f>
        <v>-1.0457574905606752</v>
      </c>
      <c r="AW16">
        <f>LOG(Table1_1__2[[#This Row],[PFHpA]])</f>
        <v>-1.0457574905606752</v>
      </c>
      <c r="AX16">
        <f>LOG(Table1_1__2[[#This Row],[PFOA]])</f>
        <v>-1.0969100130080565</v>
      </c>
      <c r="AY16">
        <f>LOG(Table1_1__2[[#This Row],[PFNA]])</f>
        <v>-1.3053948010664314</v>
      </c>
      <c r="AZ16">
        <f>LOG(Table1_1__2[[#This Row],[PFDA]])</f>
        <v>-1.3053948010664314</v>
      </c>
      <c r="BA16">
        <f>LOG(Table1_1__2[[#This Row],[PFUnA]])</f>
        <v>-1.3053948010664314</v>
      </c>
      <c r="BB16">
        <f>LOG(Table1_1__2[[#This Row],[PFDoA]])</f>
        <v>-1.3053948010664314</v>
      </c>
      <c r="BC16">
        <f>LOG(Table1_1__2[[#This Row],[PFTrDA]])</f>
        <v>-1.3053948010664314</v>
      </c>
      <c r="BD16">
        <f>LOG(Table1_1__2[[#This Row],[PFTeDA]])</f>
        <v>-1.3053948010664314</v>
      </c>
      <c r="BE16">
        <f>LOG(Table1_1__2[[#This Row],[PFBS]])</f>
        <v>-1.3053948010664314</v>
      </c>
      <c r="BF16">
        <f>LOG(Table1_1__2[[#This Row],[PFPeS]])</f>
        <v>-1.3053948010664314</v>
      </c>
      <c r="BG16">
        <f>LOG(Table1_1__2[[#This Row],[PFHxS]])</f>
        <v>-0.65757731917779372</v>
      </c>
      <c r="BH16">
        <f>LOG(Table1_1__2[[#This Row],[PFHpS]])</f>
        <v>-1.3053948010664314</v>
      </c>
      <c r="BI16">
        <f>LOG(Table1_1__2[[#This Row],[PFOS]])</f>
        <v>7.9181246047624818E-2</v>
      </c>
      <c r="BJ16">
        <f>LOG(Table1_1__2[[#This Row],[PFNS]])</f>
        <v>-1.3053948010664314</v>
      </c>
      <c r="BK16">
        <f>LOG(Table1_1__2[[#This Row],[PFDS]])</f>
        <v>-1.3053948010664314</v>
      </c>
      <c r="BL16">
        <f>LOG(Table1_1__2[[#This Row],[PFDoS]])</f>
        <v>-1.3053948010664314</v>
      </c>
      <c r="BM16">
        <f>LOG(Table1_1__2[[#This Row],[4:2 FTS]])</f>
        <v>-0.70996538863748193</v>
      </c>
      <c r="BN16">
        <f>LOG(Table1_1__2[[#This Row],[6:2 FTS]])</f>
        <v>-0.40340290437353976</v>
      </c>
      <c r="BO16">
        <f>LOG(Table1_1__2[[#This Row],[8:2 FTS]])</f>
        <v>-0.40340290437353976</v>
      </c>
      <c r="BP16">
        <f>LOG(Table1_1__2[[#This Row],[FOSA]])</f>
        <v>-1.0457574905606752</v>
      </c>
      <c r="BQ16">
        <f>LOG(Table1_1__2[[#This Row],[N-MeFOSA]])</f>
        <v>-1.3053948010664314</v>
      </c>
      <c r="BR16">
        <f>LOG(Table1_1__2[[#This Row],[N-MeFOSAA]])</f>
        <v>-1.3053948010664314</v>
      </c>
      <c r="BS16">
        <f>LOG(Table1_1__2[[#This Row],[N-EtFOSAA]])</f>
        <v>-1.3053948010664314</v>
      </c>
      <c r="BT16">
        <f>LOG(Table1_1__2[[#This Row],[ADONA]])</f>
        <v>-0.70996538863748193</v>
      </c>
      <c r="BU16">
        <f>LOG(Table1_1__2[[#This Row],[3:3 FTCA]])</f>
        <v>-0.61083391563546752</v>
      </c>
      <c r="BV16">
        <f>LOG(Table1_1__2[[#This Row],[5:3 FTCA]])</f>
        <v>9.691001300805642E-2</v>
      </c>
      <c r="BW16">
        <f>LOG(Table1_1__2[[#This Row],[7:3 FTCA]])</f>
        <v>9.691001300805642E-2</v>
      </c>
      <c r="BX16">
        <f>LOG(Table1_1__2[[#This Row],[N-EtFOSA]])</f>
        <v>-1.3053948010664314</v>
      </c>
      <c r="BY16">
        <f>LOG(Table1_1__2[[#This Row],[N-MeFOSE]])</f>
        <v>-0.3053948010664313</v>
      </c>
      <c r="BZ16">
        <f>LOG(Table1_1__2[[#This Row],[N-EtFOSE]])</f>
        <v>-0.3053948010664313</v>
      </c>
      <c r="CA16">
        <f>LOG(Table1_1__2[[#This Row],[HFPO-DA]])</f>
        <v>-0.53017798402183702</v>
      </c>
      <c r="CB16">
        <f>LOG(Table1_1__2[[#This Row],[PFMBA]])</f>
        <v>-1</v>
      </c>
      <c r="CC16">
        <f>LOG(Table1_1__2[[#This Row],[NFDHA]])</f>
        <v>-1</v>
      </c>
      <c r="CD16">
        <f>LOG(Table1_1__2[[#This Row],[9Cl-PF3ONS]])</f>
        <v>-0.70996538863748193</v>
      </c>
      <c r="CE16">
        <f>LOG(Table1_1__2[[#This Row],[11Cl-PF3OUdS]])</f>
        <v>-0.70996538863748193</v>
      </c>
      <c r="CF16">
        <f>LOG(Table1_1__2[[#This Row],[PFEESA]])</f>
        <v>-1</v>
      </c>
      <c r="CG16">
        <f>LOG(Table1_1__2[[#This Row],[PFMPA]])</f>
        <v>-1</v>
      </c>
    </row>
    <row r="17" spans="1:85" x14ac:dyDescent="0.3">
      <c r="A17" s="2" t="s">
        <v>72</v>
      </c>
      <c r="B17" s="3">
        <v>44299.5</v>
      </c>
      <c r="C17" s="2" t="s">
        <v>29</v>
      </c>
      <c r="D17" s="2" t="s">
        <v>27</v>
      </c>
      <c r="E17">
        <v>0.2</v>
      </c>
      <c r="F17">
        <v>0.1</v>
      </c>
      <c r="G17">
        <v>0.09</v>
      </c>
      <c r="H17">
        <v>0.09</v>
      </c>
      <c r="I17">
        <v>9.0999999999999998E-2</v>
      </c>
      <c r="J17">
        <v>4.9500000000000002E-2</v>
      </c>
      <c r="K17">
        <v>4.9500000000000002E-2</v>
      </c>
      <c r="L17">
        <v>4.9500000000000002E-2</v>
      </c>
      <c r="M17">
        <v>4.9500000000000002E-2</v>
      </c>
      <c r="N17">
        <v>4.9500000000000002E-2</v>
      </c>
      <c r="O17">
        <v>4.9500000000000002E-2</v>
      </c>
      <c r="P17">
        <v>4.9500000000000002E-2</v>
      </c>
      <c r="Q17">
        <v>4.9500000000000002E-2</v>
      </c>
      <c r="R17">
        <v>0.18</v>
      </c>
      <c r="S17">
        <v>4.9500000000000002E-2</v>
      </c>
      <c r="T17">
        <v>0.6</v>
      </c>
      <c r="U17">
        <v>4.9500000000000002E-2</v>
      </c>
      <c r="V17">
        <v>4.9500000000000002E-2</v>
      </c>
      <c r="W17">
        <v>4.9500000000000002E-2</v>
      </c>
      <c r="X17">
        <v>0.2</v>
      </c>
      <c r="Y17">
        <v>0.39500000000000002</v>
      </c>
      <c r="Z17">
        <v>0.39500000000000002</v>
      </c>
      <c r="AA17">
        <v>0.09</v>
      </c>
      <c r="AB17">
        <v>4.9500000000000002E-2</v>
      </c>
      <c r="AC17">
        <v>4.9500000000000002E-2</v>
      </c>
      <c r="AD17">
        <v>4.9500000000000002E-2</v>
      </c>
      <c r="AE17">
        <v>0.2</v>
      </c>
      <c r="AF17">
        <v>0.25</v>
      </c>
      <c r="AG17">
        <v>1.25</v>
      </c>
      <c r="AH17">
        <v>1.25</v>
      </c>
      <c r="AI17">
        <v>4.9500000000000002E-2</v>
      </c>
      <c r="AJ17">
        <v>0.495</v>
      </c>
      <c r="AK17">
        <v>0.495</v>
      </c>
      <c r="AL17">
        <v>0.29499999999999998</v>
      </c>
      <c r="AM17">
        <v>0.1</v>
      </c>
      <c r="AN17">
        <v>0.1</v>
      </c>
      <c r="AO17">
        <v>0.2</v>
      </c>
      <c r="AP17">
        <v>0.2</v>
      </c>
      <c r="AQ17">
        <v>0.1</v>
      </c>
      <c r="AR17">
        <v>0.1</v>
      </c>
      <c r="AS17">
        <f>SUM(Table1_1__2[[#This Row],[PFBA]:[PFMPA]])</f>
        <v>8.2579999999999991</v>
      </c>
      <c r="AT17">
        <f>LOG(Table1_1__2[[#This Row],[PFBA]])</f>
        <v>-0.69897000433601875</v>
      </c>
      <c r="AU17">
        <f>LOG(Table1_1__2[[#This Row],[PFPeA]])</f>
        <v>-1</v>
      </c>
      <c r="AV17">
        <f>LOG(Table1_1__2[[#This Row],[PFHxA]])</f>
        <v>-1.0457574905606752</v>
      </c>
      <c r="AW17">
        <f>LOG(Table1_1__2[[#This Row],[PFHpA]])</f>
        <v>-1.0457574905606752</v>
      </c>
      <c r="AX17">
        <f>LOG(Table1_1__2[[#This Row],[PFOA]])</f>
        <v>-1.0409586076789064</v>
      </c>
      <c r="AY17">
        <f>LOG(Table1_1__2[[#This Row],[PFNA]])</f>
        <v>-1.3053948010664314</v>
      </c>
      <c r="AZ17">
        <f>LOG(Table1_1__2[[#This Row],[PFDA]])</f>
        <v>-1.3053948010664314</v>
      </c>
      <c r="BA17">
        <f>LOG(Table1_1__2[[#This Row],[PFUnA]])</f>
        <v>-1.3053948010664314</v>
      </c>
      <c r="BB17">
        <f>LOG(Table1_1__2[[#This Row],[PFDoA]])</f>
        <v>-1.3053948010664314</v>
      </c>
      <c r="BC17">
        <f>LOG(Table1_1__2[[#This Row],[PFTrDA]])</f>
        <v>-1.3053948010664314</v>
      </c>
      <c r="BD17">
        <f>LOG(Table1_1__2[[#This Row],[PFTeDA]])</f>
        <v>-1.3053948010664314</v>
      </c>
      <c r="BE17">
        <f>LOG(Table1_1__2[[#This Row],[PFBS]])</f>
        <v>-1.3053948010664314</v>
      </c>
      <c r="BF17">
        <f>LOG(Table1_1__2[[#This Row],[PFPeS]])</f>
        <v>-1.3053948010664314</v>
      </c>
      <c r="BG17">
        <f>LOG(Table1_1__2[[#This Row],[PFHxS]])</f>
        <v>-0.74472749489669399</v>
      </c>
      <c r="BH17">
        <f>LOG(Table1_1__2[[#This Row],[PFHpS]])</f>
        <v>-1.3053948010664314</v>
      </c>
      <c r="BI17">
        <f>LOG(Table1_1__2[[#This Row],[PFOS]])</f>
        <v>-0.22184874961635639</v>
      </c>
      <c r="BJ17">
        <f>LOG(Table1_1__2[[#This Row],[PFNS]])</f>
        <v>-1.3053948010664314</v>
      </c>
      <c r="BK17">
        <f>LOG(Table1_1__2[[#This Row],[PFDS]])</f>
        <v>-1.3053948010664314</v>
      </c>
      <c r="BL17">
        <f>LOG(Table1_1__2[[#This Row],[PFDoS]])</f>
        <v>-1.3053948010664314</v>
      </c>
      <c r="BM17">
        <f>LOG(Table1_1__2[[#This Row],[4:2 FTS]])</f>
        <v>-0.69897000433601875</v>
      </c>
      <c r="BN17">
        <f>LOG(Table1_1__2[[#This Row],[6:2 FTS]])</f>
        <v>-0.40340290437353976</v>
      </c>
      <c r="BO17">
        <f>LOG(Table1_1__2[[#This Row],[8:2 FTS]])</f>
        <v>-0.40340290437353976</v>
      </c>
      <c r="BP17">
        <f>LOG(Table1_1__2[[#This Row],[FOSA]])</f>
        <v>-1.0457574905606752</v>
      </c>
      <c r="BQ17">
        <f>LOG(Table1_1__2[[#This Row],[N-MeFOSA]])</f>
        <v>-1.3053948010664314</v>
      </c>
      <c r="BR17">
        <f>LOG(Table1_1__2[[#This Row],[N-MeFOSAA]])</f>
        <v>-1.3053948010664314</v>
      </c>
      <c r="BS17">
        <f>LOG(Table1_1__2[[#This Row],[N-EtFOSAA]])</f>
        <v>-1.3053948010664314</v>
      </c>
      <c r="BT17">
        <f>LOG(Table1_1__2[[#This Row],[ADONA]])</f>
        <v>-0.69897000433601875</v>
      </c>
      <c r="BU17">
        <f>LOG(Table1_1__2[[#This Row],[3:3 FTCA]])</f>
        <v>-0.6020599913279624</v>
      </c>
      <c r="BV17">
        <f>LOG(Table1_1__2[[#This Row],[5:3 FTCA]])</f>
        <v>9.691001300805642E-2</v>
      </c>
      <c r="BW17">
        <f>LOG(Table1_1__2[[#This Row],[7:3 FTCA]])</f>
        <v>9.691001300805642E-2</v>
      </c>
      <c r="BX17">
        <f>LOG(Table1_1__2[[#This Row],[N-EtFOSA]])</f>
        <v>-1.3053948010664314</v>
      </c>
      <c r="BY17">
        <f>LOG(Table1_1__2[[#This Row],[N-MeFOSE]])</f>
        <v>-0.3053948010664313</v>
      </c>
      <c r="BZ17">
        <f>LOG(Table1_1__2[[#This Row],[N-EtFOSE]])</f>
        <v>-0.3053948010664313</v>
      </c>
      <c r="CA17">
        <f>LOG(Table1_1__2[[#This Row],[HFPO-DA]])</f>
        <v>-0.53017798402183702</v>
      </c>
      <c r="CB17">
        <f>LOG(Table1_1__2[[#This Row],[PFMBA]])</f>
        <v>-1</v>
      </c>
      <c r="CC17">
        <f>LOG(Table1_1__2[[#This Row],[NFDHA]])</f>
        <v>-1</v>
      </c>
      <c r="CD17">
        <f>LOG(Table1_1__2[[#This Row],[9Cl-PF3ONS]])</f>
        <v>-0.69897000433601875</v>
      </c>
      <c r="CE17">
        <f>LOG(Table1_1__2[[#This Row],[11Cl-PF3OUdS]])</f>
        <v>-0.69897000433601875</v>
      </c>
      <c r="CF17">
        <f>LOG(Table1_1__2[[#This Row],[PFEESA]])</f>
        <v>-1</v>
      </c>
      <c r="CG17">
        <f>LOG(Table1_1__2[[#This Row],[PFMPA]])</f>
        <v>-1</v>
      </c>
    </row>
    <row r="18" spans="1:85" x14ac:dyDescent="0.3">
      <c r="A18" s="2" t="s">
        <v>73</v>
      </c>
      <c r="B18" s="3">
        <v>44301.5</v>
      </c>
      <c r="C18" s="2" t="s">
        <v>26</v>
      </c>
      <c r="D18" s="2" t="s">
        <v>27</v>
      </c>
      <c r="E18">
        <v>0.19500000000000001</v>
      </c>
      <c r="F18">
        <v>0.1</v>
      </c>
      <c r="G18">
        <v>0.13</v>
      </c>
      <c r="H18">
        <v>0.09</v>
      </c>
      <c r="I18">
        <v>0.26</v>
      </c>
      <c r="J18">
        <v>4.9000000000000002E-2</v>
      </c>
      <c r="K18">
        <v>4.9000000000000002E-2</v>
      </c>
      <c r="L18">
        <v>4.9000000000000002E-2</v>
      </c>
      <c r="M18">
        <v>4.9000000000000002E-2</v>
      </c>
      <c r="N18">
        <v>4.9000000000000002E-2</v>
      </c>
      <c r="O18">
        <v>4.9000000000000002E-2</v>
      </c>
      <c r="P18">
        <v>4.9000000000000002E-2</v>
      </c>
      <c r="Q18">
        <v>4.9000000000000002E-2</v>
      </c>
      <c r="R18">
        <v>0.28000000000000003</v>
      </c>
      <c r="S18">
        <v>4.9000000000000002E-2</v>
      </c>
      <c r="T18">
        <v>0.79</v>
      </c>
      <c r="U18">
        <v>4.9000000000000002E-2</v>
      </c>
      <c r="V18">
        <v>4.9000000000000002E-2</v>
      </c>
      <c r="W18">
        <v>4.9000000000000002E-2</v>
      </c>
      <c r="X18">
        <v>0.19500000000000001</v>
      </c>
      <c r="Y18">
        <v>0.39500000000000002</v>
      </c>
      <c r="Z18">
        <v>0.39500000000000002</v>
      </c>
      <c r="AA18">
        <v>0.09</v>
      </c>
      <c r="AB18">
        <v>4.9000000000000002E-2</v>
      </c>
      <c r="AC18">
        <v>4.9000000000000002E-2</v>
      </c>
      <c r="AD18">
        <v>4.9000000000000002E-2</v>
      </c>
      <c r="AE18">
        <v>0.19500000000000001</v>
      </c>
      <c r="AF18">
        <v>0.245</v>
      </c>
      <c r="AG18">
        <v>1.25</v>
      </c>
      <c r="AH18">
        <v>1.25</v>
      </c>
      <c r="AI18">
        <v>4.9000000000000002E-2</v>
      </c>
      <c r="AJ18">
        <v>0.49</v>
      </c>
      <c r="AK18">
        <v>0.49</v>
      </c>
      <c r="AL18">
        <v>0.29499999999999998</v>
      </c>
      <c r="AM18">
        <v>0.1</v>
      </c>
      <c r="AN18">
        <v>0.1</v>
      </c>
      <c r="AO18">
        <v>0.19500000000000001</v>
      </c>
      <c r="AP18">
        <v>0.19500000000000001</v>
      </c>
      <c r="AQ18">
        <v>0.1</v>
      </c>
      <c r="AR18">
        <v>0.1</v>
      </c>
      <c r="AS18">
        <f>SUM(Table1_1__2[[#This Row],[PFBA]:[PFMPA]])</f>
        <v>8.7089999999999996</v>
      </c>
      <c r="AT18">
        <f>LOG(Table1_1__2[[#This Row],[PFBA]])</f>
        <v>-0.70996538863748193</v>
      </c>
      <c r="AU18">
        <f>LOG(Table1_1__2[[#This Row],[PFPeA]])</f>
        <v>-1</v>
      </c>
      <c r="AV18">
        <f>LOG(Table1_1__2[[#This Row],[PFHxA]])</f>
        <v>-0.88605664769316317</v>
      </c>
      <c r="AW18">
        <f>LOG(Table1_1__2[[#This Row],[PFHpA]])</f>
        <v>-1.0457574905606752</v>
      </c>
      <c r="AX18">
        <f>LOG(Table1_1__2[[#This Row],[PFOA]])</f>
        <v>-0.58502665202918203</v>
      </c>
      <c r="AY18">
        <f>LOG(Table1_1__2[[#This Row],[PFNA]])</f>
        <v>-1.3098039199714864</v>
      </c>
      <c r="AZ18">
        <f>LOG(Table1_1__2[[#This Row],[PFDA]])</f>
        <v>-1.3098039199714864</v>
      </c>
      <c r="BA18">
        <f>LOG(Table1_1__2[[#This Row],[PFUnA]])</f>
        <v>-1.3098039199714864</v>
      </c>
      <c r="BB18">
        <f>LOG(Table1_1__2[[#This Row],[PFDoA]])</f>
        <v>-1.3098039199714864</v>
      </c>
      <c r="BC18">
        <f>LOG(Table1_1__2[[#This Row],[PFTrDA]])</f>
        <v>-1.3098039199714864</v>
      </c>
      <c r="BD18">
        <f>LOG(Table1_1__2[[#This Row],[PFTeDA]])</f>
        <v>-1.3098039199714864</v>
      </c>
      <c r="BE18">
        <f>LOG(Table1_1__2[[#This Row],[PFBS]])</f>
        <v>-1.3098039199714864</v>
      </c>
      <c r="BF18">
        <f>LOG(Table1_1__2[[#This Row],[PFPeS]])</f>
        <v>-1.3098039199714864</v>
      </c>
      <c r="BG18">
        <f>LOG(Table1_1__2[[#This Row],[PFHxS]])</f>
        <v>-0.55284196865778079</v>
      </c>
      <c r="BH18">
        <f>LOG(Table1_1__2[[#This Row],[PFHpS]])</f>
        <v>-1.3098039199714864</v>
      </c>
      <c r="BI18">
        <f>LOG(Table1_1__2[[#This Row],[PFOS]])</f>
        <v>-0.10237290870955855</v>
      </c>
      <c r="BJ18">
        <f>LOG(Table1_1__2[[#This Row],[PFNS]])</f>
        <v>-1.3098039199714864</v>
      </c>
      <c r="BK18">
        <f>LOG(Table1_1__2[[#This Row],[PFDS]])</f>
        <v>-1.3098039199714864</v>
      </c>
      <c r="BL18">
        <f>LOG(Table1_1__2[[#This Row],[PFDoS]])</f>
        <v>-1.3098039199714864</v>
      </c>
      <c r="BM18">
        <f>LOG(Table1_1__2[[#This Row],[4:2 FTS]])</f>
        <v>-0.70996538863748193</v>
      </c>
      <c r="BN18">
        <f>LOG(Table1_1__2[[#This Row],[6:2 FTS]])</f>
        <v>-0.40340290437353976</v>
      </c>
      <c r="BO18">
        <f>LOG(Table1_1__2[[#This Row],[8:2 FTS]])</f>
        <v>-0.40340290437353976</v>
      </c>
      <c r="BP18">
        <f>LOG(Table1_1__2[[#This Row],[FOSA]])</f>
        <v>-1.0457574905606752</v>
      </c>
      <c r="BQ18">
        <f>LOG(Table1_1__2[[#This Row],[N-MeFOSA]])</f>
        <v>-1.3098039199714864</v>
      </c>
      <c r="BR18">
        <f>LOG(Table1_1__2[[#This Row],[N-MeFOSAA]])</f>
        <v>-1.3098039199714864</v>
      </c>
      <c r="BS18">
        <f>LOG(Table1_1__2[[#This Row],[N-EtFOSAA]])</f>
        <v>-1.3098039199714864</v>
      </c>
      <c r="BT18">
        <f>LOG(Table1_1__2[[#This Row],[ADONA]])</f>
        <v>-0.70996538863748193</v>
      </c>
      <c r="BU18">
        <f>LOG(Table1_1__2[[#This Row],[3:3 FTCA]])</f>
        <v>-0.61083391563546752</v>
      </c>
      <c r="BV18">
        <f>LOG(Table1_1__2[[#This Row],[5:3 FTCA]])</f>
        <v>9.691001300805642E-2</v>
      </c>
      <c r="BW18">
        <f>LOG(Table1_1__2[[#This Row],[7:3 FTCA]])</f>
        <v>9.691001300805642E-2</v>
      </c>
      <c r="BX18">
        <f>LOG(Table1_1__2[[#This Row],[N-EtFOSA]])</f>
        <v>-1.3098039199714864</v>
      </c>
      <c r="BY18">
        <f>LOG(Table1_1__2[[#This Row],[N-MeFOSE]])</f>
        <v>-0.30980391997148632</v>
      </c>
      <c r="BZ18">
        <f>LOG(Table1_1__2[[#This Row],[N-EtFOSE]])</f>
        <v>-0.30980391997148632</v>
      </c>
      <c r="CA18">
        <f>LOG(Table1_1__2[[#This Row],[HFPO-DA]])</f>
        <v>-0.53017798402183702</v>
      </c>
      <c r="CB18">
        <f>LOG(Table1_1__2[[#This Row],[PFMBA]])</f>
        <v>-1</v>
      </c>
      <c r="CC18">
        <f>LOG(Table1_1__2[[#This Row],[NFDHA]])</f>
        <v>-1</v>
      </c>
      <c r="CD18">
        <f>LOG(Table1_1__2[[#This Row],[9Cl-PF3ONS]])</f>
        <v>-0.70996538863748193</v>
      </c>
      <c r="CE18">
        <f>LOG(Table1_1__2[[#This Row],[11Cl-PF3OUdS]])</f>
        <v>-0.70996538863748193</v>
      </c>
      <c r="CF18">
        <f>LOG(Table1_1__2[[#This Row],[PFEESA]])</f>
        <v>-1</v>
      </c>
      <c r="CG18">
        <f>LOG(Table1_1__2[[#This Row],[PFMPA]])</f>
        <v>-1</v>
      </c>
    </row>
    <row r="19" spans="1:85" x14ac:dyDescent="0.3">
      <c r="A19" s="2" t="s">
        <v>74</v>
      </c>
      <c r="B19" s="3">
        <v>44301.5</v>
      </c>
      <c r="C19" s="2" t="s">
        <v>31</v>
      </c>
      <c r="D19" s="2" t="s">
        <v>27</v>
      </c>
      <c r="E19">
        <v>0.2</v>
      </c>
      <c r="F19">
        <v>0.1</v>
      </c>
      <c r="G19">
        <v>9.1999999999999998E-2</v>
      </c>
      <c r="H19">
        <v>0.09</v>
      </c>
      <c r="I19">
        <v>0.1</v>
      </c>
      <c r="J19">
        <v>4.9500000000000002E-2</v>
      </c>
      <c r="K19">
        <v>4.9500000000000002E-2</v>
      </c>
      <c r="L19">
        <v>4.9500000000000002E-2</v>
      </c>
      <c r="M19">
        <v>4.9500000000000002E-2</v>
      </c>
      <c r="N19">
        <v>0.38</v>
      </c>
      <c r="O19">
        <v>4.9500000000000002E-2</v>
      </c>
      <c r="P19">
        <v>4.9500000000000002E-2</v>
      </c>
      <c r="Q19">
        <v>4.9500000000000002E-2</v>
      </c>
      <c r="R19">
        <v>0.35</v>
      </c>
      <c r="S19">
        <v>4.9500000000000002E-2</v>
      </c>
      <c r="T19">
        <v>2.2000000000000002</v>
      </c>
      <c r="U19">
        <v>4.9500000000000002E-2</v>
      </c>
      <c r="V19">
        <v>4.9500000000000002E-2</v>
      </c>
      <c r="W19">
        <v>4.9500000000000002E-2</v>
      </c>
      <c r="X19">
        <v>0.2</v>
      </c>
      <c r="Y19">
        <v>0.39500000000000002</v>
      </c>
      <c r="Z19">
        <v>0.39500000000000002</v>
      </c>
      <c r="AA19">
        <v>0.13</v>
      </c>
      <c r="AB19">
        <v>4.9500000000000002E-2</v>
      </c>
      <c r="AC19">
        <v>4.9500000000000002E-2</v>
      </c>
      <c r="AD19">
        <v>4.9500000000000002E-2</v>
      </c>
      <c r="AE19">
        <v>0.2</v>
      </c>
      <c r="AF19">
        <v>0.245</v>
      </c>
      <c r="AG19">
        <v>1.25</v>
      </c>
      <c r="AH19">
        <v>1.25</v>
      </c>
      <c r="AI19">
        <v>4.9500000000000002E-2</v>
      </c>
      <c r="AJ19">
        <v>0.495</v>
      </c>
      <c r="AK19">
        <v>0.495</v>
      </c>
      <c r="AL19">
        <v>0.29499999999999998</v>
      </c>
      <c r="AM19">
        <v>0.1</v>
      </c>
      <c r="AN19">
        <v>0.1</v>
      </c>
      <c r="AO19">
        <v>0.2</v>
      </c>
      <c r="AP19">
        <v>0.2</v>
      </c>
      <c r="AQ19">
        <v>0.1</v>
      </c>
      <c r="AR19">
        <v>0.1</v>
      </c>
      <c r="AS19">
        <f>SUM(Table1_1__2[[#This Row],[PFBA]:[PFMPA]])</f>
        <v>10.404499999999995</v>
      </c>
      <c r="AT19">
        <f>LOG(Table1_1__2[[#This Row],[PFBA]])</f>
        <v>-0.69897000433601875</v>
      </c>
      <c r="AU19">
        <f>LOG(Table1_1__2[[#This Row],[PFPeA]])</f>
        <v>-1</v>
      </c>
      <c r="AV19">
        <f>LOG(Table1_1__2[[#This Row],[PFHxA]])</f>
        <v>-1.0362121726544447</v>
      </c>
      <c r="AW19">
        <f>LOG(Table1_1__2[[#This Row],[PFHpA]])</f>
        <v>-1.0457574905606752</v>
      </c>
      <c r="AX19">
        <f>LOG(Table1_1__2[[#This Row],[PFOA]])</f>
        <v>-1</v>
      </c>
      <c r="AY19">
        <f>LOG(Table1_1__2[[#This Row],[PFNA]])</f>
        <v>-1.3053948010664314</v>
      </c>
      <c r="AZ19">
        <f>LOG(Table1_1__2[[#This Row],[PFDA]])</f>
        <v>-1.3053948010664314</v>
      </c>
      <c r="BA19">
        <f>LOG(Table1_1__2[[#This Row],[PFUnA]])</f>
        <v>-1.3053948010664314</v>
      </c>
      <c r="BB19">
        <f>LOG(Table1_1__2[[#This Row],[PFDoA]])</f>
        <v>-1.3053948010664314</v>
      </c>
      <c r="BC19">
        <f>LOG(Table1_1__2[[#This Row],[PFTrDA]])</f>
        <v>-0.42021640338318983</v>
      </c>
      <c r="BD19">
        <f>LOG(Table1_1__2[[#This Row],[PFTeDA]])</f>
        <v>-1.3053948010664314</v>
      </c>
      <c r="BE19">
        <f>LOG(Table1_1__2[[#This Row],[PFBS]])</f>
        <v>-1.3053948010664314</v>
      </c>
      <c r="BF19">
        <f>LOG(Table1_1__2[[#This Row],[PFPeS]])</f>
        <v>-1.3053948010664314</v>
      </c>
      <c r="BG19">
        <f>LOG(Table1_1__2[[#This Row],[PFHxS]])</f>
        <v>-0.45593195564972439</v>
      </c>
      <c r="BH19">
        <f>LOG(Table1_1__2[[#This Row],[PFHpS]])</f>
        <v>-1.3053948010664314</v>
      </c>
      <c r="BI19">
        <f>LOG(Table1_1__2[[#This Row],[PFOS]])</f>
        <v>0.34242268082220628</v>
      </c>
      <c r="BJ19">
        <f>LOG(Table1_1__2[[#This Row],[PFNS]])</f>
        <v>-1.3053948010664314</v>
      </c>
      <c r="BK19">
        <f>LOG(Table1_1__2[[#This Row],[PFDS]])</f>
        <v>-1.3053948010664314</v>
      </c>
      <c r="BL19">
        <f>LOG(Table1_1__2[[#This Row],[PFDoS]])</f>
        <v>-1.3053948010664314</v>
      </c>
      <c r="BM19">
        <f>LOG(Table1_1__2[[#This Row],[4:2 FTS]])</f>
        <v>-0.69897000433601875</v>
      </c>
      <c r="BN19">
        <f>LOG(Table1_1__2[[#This Row],[6:2 FTS]])</f>
        <v>-0.40340290437353976</v>
      </c>
      <c r="BO19">
        <f>LOG(Table1_1__2[[#This Row],[8:2 FTS]])</f>
        <v>-0.40340290437353976</v>
      </c>
      <c r="BP19">
        <f>LOG(Table1_1__2[[#This Row],[FOSA]])</f>
        <v>-0.88605664769316317</v>
      </c>
      <c r="BQ19">
        <f>LOG(Table1_1__2[[#This Row],[N-MeFOSA]])</f>
        <v>-1.3053948010664314</v>
      </c>
      <c r="BR19">
        <f>LOG(Table1_1__2[[#This Row],[N-MeFOSAA]])</f>
        <v>-1.3053948010664314</v>
      </c>
      <c r="BS19">
        <f>LOG(Table1_1__2[[#This Row],[N-EtFOSAA]])</f>
        <v>-1.3053948010664314</v>
      </c>
      <c r="BT19">
        <f>LOG(Table1_1__2[[#This Row],[ADONA]])</f>
        <v>-0.69897000433601875</v>
      </c>
      <c r="BU19">
        <f>LOG(Table1_1__2[[#This Row],[3:3 FTCA]])</f>
        <v>-0.61083391563546752</v>
      </c>
      <c r="BV19">
        <f>LOG(Table1_1__2[[#This Row],[5:3 FTCA]])</f>
        <v>9.691001300805642E-2</v>
      </c>
      <c r="BW19">
        <f>LOG(Table1_1__2[[#This Row],[7:3 FTCA]])</f>
        <v>9.691001300805642E-2</v>
      </c>
      <c r="BX19">
        <f>LOG(Table1_1__2[[#This Row],[N-EtFOSA]])</f>
        <v>-1.3053948010664314</v>
      </c>
      <c r="BY19">
        <f>LOG(Table1_1__2[[#This Row],[N-MeFOSE]])</f>
        <v>-0.3053948010664313</v>
      </c>
      <c r="BZ19">
        <f>LOG(Table1_1__2[[#This Row],[N-EtFOSE]])</f>
        <v>-0.3053948010664313</v>
      </c>
      <c r="CA19">
        <f>LOG(Table1_1__2[[#This Row],[HFPO-DA]])</f>
        <v>-0.53017798402183702</v>
      </c>
      <c r="CB19">
        <f>LOG(Table1_1__2[[#This Row],[PFMBA]])</f>
        <v>-1</v>
      </c>
      <c r="CC19">
        <f>LOG(Table1_1__2[[#This Row],[NFDHA]])</f>
        <v>-1</v>
      </c>
      <c r="CD19">
        <f>LOG(Table1_1__2[[#This Row],[9Cl-PF3ONS]])</f>
        <v>-0.69897000433601875</v>
      </c>
      <c r="CE19">
        <f>LOG(Table1_1__2[[#This Row],[11Cl-PF3OUdS]])</f>
        <v>-0.69897000433601875</v>
      </c>
      <c r="CF19">
        <f>LOG(Table1_1__2[[#This Row],[PFEESA]])</f>
        <v>-1</v>
      </c>
      <c r="CG19">
        <f>LOG(Table1_1__2[[#This Row],[PFMPA]])</f>
        <v>-1</v>
      </c>
    </row>
    <row r="20" spans="1:85" x14ac:dyDescent="0.3">
      <c r="A20" s="2" t="s">
        <v>75</v>
      </c>
      <c r="B20" s="3">
        <v>44301.5</v>
      </c>
      <c r="C20" s="2" t="s">
        <v>33</v>
      </c>
      <c r="D20" s="2" t="s">
        <v>27</v>
      </c>
      <c r="E20">
        <v>0.2</v>
      </c>
      <c r="F20">
        <v>0.1</v>
      </c>
      <c r="G20">
        <v>0.09</v>
      </c>
      <c r="H20">
        <v>0.09</v>
      </c>
      <c r="I20">
        <v>0.12</v>
      </c>
      <c r="J20">
        <v>4.9500000000000002E-2</v>
      </c>
      <c r="K20">
        <v>4.9500000000000002E-2</v>
      </c>
      <c r="L20">
        <v>4.9500000000000002E-2</v>
      </c>
      <c r="M20">
        <v>4.9500000000000002E-2</v>
      </c>
      <c r="N20">
        <v>4.9500000000000002E-2</v>
      </c>
      <c r="O20">
        <v>4.9500000000000002E-2</v>
      </c>
      <c r="P20">
        <v>4.9500000000000002E-2</v>
      </c>
      <c r="Q20">
        <v>4.9500000000000002E-2</v>
      </c>
      <c r="R20">
        <v>0.22</v>
      </c>
      <c r="S20">
        <v>4.9500000000000002E-2</v>
      </c>
      <c r="T20">
        <v>1.2</v>
      </c>
      <c r="U20">
        <v>4.9500000000000002E-2</v>
      </c>
      <c r="V20">
        <v>4.9500000000000002E-2</v>
      </c>
      <c r="W20">
        <v>4.9500000000000002E-2</v>
      </c>
      <c r="X20">
        <v>0.2</v>
      </c>
      <c r="Y20">
        <v>0.39500000000000002</v>
      </c>
      <c r="Z20">
        <v>0.39500000000000002</v>
      </c>
      <c r="AA20">
        <v>0.09</v>
      </c>
      <c r="AB20">
        <v>4.9500000000000002E-2</v>
      </c>
      <c r="AC20">
        <v>4.9500000000000002E-2</v>
      </c>
      <c r="AD20">
        <v>4.9500000000000002E-2</v>
      </c>
      <c r="AE20">
        <v>0.2</v>
      </c>
      <c r="AF20">
        <v>0.25</v>
      </c>
      <c r="AG20">
        <v>1.25</v>
      </c>
      <c r="AH20">
        <v>1.25</v>
      </c>
      <c r="AI20">
        <v>4.9500000000000002E-2</v>
      </c>
      <c r="AJ20">
        <v>0.495</v>
      </c>
      <c r="AK20">
        <v>0.495</v>
      </c>
      <c r="AL20">
        <v>0.3</v>
      </c>
      <c r="AM20">
        <v>0.1</v>
      </c>
      <c r="AN20">
        <v>0.1</v>
      </c>
      <c r="AO20">
        <v>0.2</v>
      </c>
      <c r="AP20">
        <v>0.2</v>
      </c>
      <c r="AQ20">
        <v>0.1</v>
      </c>
      <c r="AR20">
        <v>0.1</v>
      </c>
      <c r="AS20">
        <f>SUM(Table1_1__2[[#This Row],[PFBA]:[PFMPA]])</f>
        <v>8.9319999999999986</v>
      </c>
      <c r="AT20">
        <f>LOG(Table1_1__2[[#This Row],[PFBA]])</f>
        <v>-0.69897000433601875</v>
      </c>
      <c r="AU20">
        <f>LOG(Table1_1__2[[#This Row],[PFPeA]])</f>
        <v>-1</v>
      </c>
      <c r="AV20">
        <f>LOG(Table1_1__2[[#This Row],[PFHxA]])</f>
        <v>-1.0457574905606752</v>
      </c>
      <c r="AW20">
        <f>LOG(Table1_1__2[[#This Row],[PFHpA]])</f>
        <v>-1.0457574905606752</v>
      </c>
      <c r="AX20">
        <f>LOG(Table1_1__2[[#This Row],[PFOA]])</f>
        <v>-0.92081875395237522</v>
      </c>
      <c r="AY20">
        <f>LOG(Table1_1__2[[#This Row],[PFNA]])</f>
        <v>-1.3053948010664314</v>
      </c>
      <c r="AZ20">
        <f>LOG(Table1_1__2[[#This Row],[PFDA]])</f>
        <v>-1.3053948010664314</v>
      </c>
      <c r="BA20">
        <f>LOG(Table1_1__2[[#This Row],[PFUnA]])</f>
        <v>-1.3053948010664314</v>
      </c>
      <c r="BB20">
        <f>LOG(Table1_1__2[[#This Row],[PFDoA]])</f>
        <v>-1.3053948010664314</v>
      </c>
      <c r="BC20">
        <f>LOG(Table1_1__2[[#This Row],[PFTrDA]])</f>
        <v>-1.3053948010664314</v>
      </c>
      <c r="BD20">
        <f>LOG(Table1_1__2[[#This Row],[PFTeDA]])</f>
        <v>-1.3053948010664314</v>
      </c>
      <c r="BE20">
        <f>LOG(Table1_1__2[[#This Row],[PFBS]])</f>
        <v>-1.3053948010664314</v>
      </c>
      <c r="BF20">
        <f>LOG(Table1_1__2[[#This Row],[PFPeS]])</f>
        <v>-1.3053948010664314</v>
      </c>
      <c r="BG20">
        <f>LOG(Table1_1__2[[#This Row],[PFHxS]])</f>
        <v>-0.65757731917779372</v>
      </c>
      <c r="BH20">
        <f>LOG(Table1_1__2[[#This Row],[PFHpS]])</f>
        <v>-1.3053948010664314</v>
      </c>
      <c r="BI20">
        <f>LOG(Table1_1__2[[#This Row],[PFOS]])</f>
        <v>7.9181246047624818E-2</v>
      </c>
      <c r="BJ20">
        <f>LOG(Table1_1__2[[#This Row],[PFNS]])</f>
        <v>-1.3053948010664314</v>
      </c>
      <c r="BK20">
        <f>LOG(Table1_1__2[[#This Row],[PFDS]])</f>
        <v>-1.3053948010664314</v>
      </c>
      <c r="BL20">
        <f>LOG(Table1_1__2[[#This Row],[PFDoS]])</f>
        <v>-1.3053948010664314</v>
      </c>
      <c r="BM20">
        <f>LOG(Table1_1__2[[#This Row],[4:2 FTS]])</f>
        <v>-0.69897000433601875</v>
      </c>
      <c r="BN20">
        <f>LOG(Table1_1__2[[#This Row],[6:2 FTS]])</f>
        <v>-0.40340290437353976</v>
      </c>
      <c r="BO20">
        <f>LOG(Table1_1__2[[#This Row],[8:2 FTS]])</f>
        <v>-0.40340290437353976</v>
      </c>
      <c r="BP20">
        <f>LOG(Table1_1__2[[#This Row],[FOSA]])</f>
        <v>-1.0457574905606752</v>
      </c>
      <c r="BQ20">
        <f>LOG(Table1_1__2[[#This Row],[N-MeFOSA]])</f>
        <v>-1.3053948010664314</v>
      </c>
      <c r="BR20">
        <f>LOG(Table1_1__2[[#This Row],[N-MeFOSAA]])</f>
        <v>-1.3053948010664314</v>
      </c>
      <c r="BS20">
        <f>LOG(Table1_1__2[[#This Row],[N-EtFOSAA]])</f>
        <v>-1.3053948010664314</v>
      </c>
      <c r="BT20">
        <f>LOG(Table1_1__2[[#This Row],[ADONA]])</f>
        <v>-0.69897000433601875</v>
      </c>
      <c r="BU20">
        <f>LOG(Table1_1__2[[#This Row],[3:3 FTCA]])</f>
        <v>-0.6020599913279624</v>
      </c>
      <c r="BV20">
        <f>LOG(Table1_1__2[[#This Row],[5:3 FTCA]])</f>
        <v>9.691001300805642E-2</v>
      </c>
      <c r="BW20">
        <f>LOG(Table1_1__2[[#This Row],[7:3 FTCA]])</f>
        <v>9.691001300805642E-2</v>
      </c>
      <c r="BX20">
        <f>LOG(Table1_1__2[[#This Row],[N-EtFOSA]])</f>
        <v>-1.3053948010664314</v>
      </c>
      <c r="BY20">
        <f>LOG(Table1_1__2[[#This Row],[N-MeFOSE]])</f>
        <v>-0.3053948010664313</v>
      </c>
      <c r="BZ20">
        <f>LOG(Table1_1__2[[#This Row],[N-EtFOSE]])</f>
        <v>-0.3053948010664313</v>
      </c>
      <c r="CA20">
        <f>LOG(Table1_1__2[[#This Row],[HFPO-DA]])</f>
        <v>-0.52287874528033762</v>
      </c>
      <c r="CB20">
        <f>LOG(Table1_1__2[[#This Row],[PFMBA]])</f>
        <v>-1</v>
      </c>
      <c r="CC20">
        <f>LOG(Table1_1__2[[#This Row],[NFDHA]])</f>
        <v>-1</v>
      </c>
      <c r="CD20">
        <f>LOG(Table1_1__2[[#This Row],[9Cl-PF3ONS]])</f>
        <v>-0.69897000433601875</v>
      </c>
      <c r="CE20">
        <f>LOG(Table1_1__2[[#This Row],[11Cl-PF3OUdS]])</f>
        <v>-0.69897000433601875</v>
      </c>
      <c r="CF20">
        <f>LOG(Table1_1__2[[#This Row],[PFEESA]])</f>
        <v>-1</v>
      </c>
      <c r="CG20">
        <f>LOG(Table1_1__2[[#This Row],[PFMPA]])</f>
        <v>-1</v>
      </c>
    </row>
    <row r="21" spans="1:85" x14ac:dyDescent="0.3">
      <c r="A21" s="2" t="s">
        <v>76</v>
      </c>
      <c r="B21" s="3">
        <v>44301.5</v>
      </c>
      <c r="C21" s="2" t="s">
        <v>29</v>
      </c>
      <c r="D21" s="2" t="s">
        <v>27</v>
      </c>
      <c r="E21">
        <v>0.2</v>
      </c>
      <c r="F21">
        <v>0.1</v>
      </c>
      <c r="G21">
        <v>0.09</v>
      </c>
      <c r="H21">
        <v>0.09</v>
      </c>
      <c r="I21">
        <v>0.12</v>
      </c>
      <c r="J21">
        <v>0.05</v>
      </c>
      <c r="K21">
        <v>0.05</v>
      </c>
      <c r="L21">
        <v>0.05</v>
      </c>
      <c r="M21">
        <v>0.05</v>
      </c>
      <c r="N21">
        <v>0.05</v>
      </c>
      <c r="O21">
        <v>0.05</v>
      </c>
      <c r="P21">
        <v>0.05</v>
      </c>
      <c r="Q21">
        <v>0.05</v>
      </c>
      <c r="R21">
        <v>0.28000000000000003</v>
      </c>
      <c r="S21">
        <v>0.05</v>
      </c>
      <c r="T21">
        <v>0.96</v>
      </c>
      <c r="U21">
        <v>0.05</v>
      </c>
      <c r="V21">
        <v>0.05</v>
      </c>
      <c r="W21">
        <v>0.05</v>
      </c>
      <c r="X21">
        <v>0.2</v>
      </c>
      <c r="Y21">
        <v>0.4</v>
      </c>
      <c r="Z21">
        <v>0.4</v>
      </c>
      <c r="AA21">
        <v>0.09</v>
      </c>
      <c r="AB21">
        <v>0.05</v>
      </c>
      <c r="AC21">
        <v>0.05</v>
      </c>
      <c r="AD21">
        <v>0.05</v>
      </c>
      <c r="AE21">
        <v>0.2</v>
      </c>
      <c r="AF21">
        <v>0.25</v>
      </c>
      <c r="AG21">
        <v>1.25</v>
      </c>
      <c r="AH21">
        <v>1.25</v>
      </c>
      <c r="AI21">
        <v>0.05</v>
      </c>
      <c r="AJ21">
        <v>0.5</v>
      </c>
      <c r="AK21">
        <v>0.5</v>
      </c>
      <c r="AL21">
        <v>0.3</v>
      </c>
      <c r="AM21">
        <v>0.1</v>
      </c>
      <c r="AN21">
        <v>0.1</v>
      </c>
      <c r="AO21">
        <v>0.2</v>
      </c>
      <c r="AP21">
        <v>0.2</v>
      </c>
      <c r="AQ21">
        <v>0.1</v>
      </c>
      <c r="AR21">
        <v>0.1</v>
      </c>
      <c r="AS21">
        <f>SUM(Table1_1__2[[#This Row],[PFBA]:[PFMPA]])</f>
        <v>8.7799999999999958</v>
      </c>
      <c r="AT21">
        <f>LOG(Table1_1__2[[#This Row],[PFBA]])</f>
        <v>-0.69897000433601875</v>
      </c>
      <c r="AU21">
        <f>LOG(Table1_1__2[[#This Row],[PFPeA]])</f>
        <v>-1</v>
      </c>
      <c r="AV21">
        <f>LOG(Table1_1__2[[#This Row],[PFHxA]])</f>
        <v>-1.0457574905606752</v>
      </c>
      <c r="AW21">
        <f>LOG(Table1_1__2[[#This Row],[PFHpA]])</f>
        <v>-1.0457574905606752</v>
      </c>
      <c r="AX21">
        <f>LOG(Table1_1__2[[#This Row],[PFOA]])</f>
        <v>-0.92081875395237522</v>
      </c>
      <c r="AY21">
        <f>LOG(Table1_1__2[[#This Row],[PFNA]])</f>
        <v>-1.3010299956639813</v>
      </c>
      <c r="AZ21">
        <f>LOG(Table1_1__2[[#This Row],[PFDA]])</f>
        <v>-1.3010299956639813</v>
      </c>
      <c r="BA21">
        <f>LOG(Table1_1__2[[#This Row],[PFUnA]])</f>
        <v>-1.3010299956639813</v>
      </c>
      <c r="BB21">
        <f>LOG(Table1_1__2[[#This Row],[PFDoA]])</f>
        <v>-1.3010299956639813</v>
      </c>
      <c r="BC21">
        <f>LOG(Table1_1__2[[#This Row],[PFTrDA]])</f>
        <v>-1.3010299956639813</v>
      </c>
      <c r="BD21">
        <f>LOG(Table1_1__2[[#This Row],[PFTeDA]])</f>
        <v>-1.3010299956639813</v>
      </c>
      <c r="BE21">
        <f>LOG(Table1_1__2[[#This Row],[PFBS]])</f>
        <v>-1.3010299956639813</v>
      </c>
      <c r="BF21">
        <f>LOG(Table1_1__2[[#This Row],[PFPeS]])</f>
        <v>-1.3010299956639813</v>
      </c>
      <c r="BG21">
        <f>LOG(Table1_1__2[[#This Row],[PFHxS]])</f>
        <v>-0.55284196865778079</v>
      </c>
      <c r="BH21">
        <f>LOG(Table1_1__2[[#This Row],[PFHpS]])</f>
        <v>-1.3010299956639813</v>
      </c>
      <c r="BI21">
        <f>LOG(Table1_1__2[[#This Row],[PFOS]])</f>
        <v>-1.7728766960431602E-2</v>
      </c>
      <c r="BJ21">
        <f>LOG(Table1_1__2[[#This Row],[PFNS]])</f>
        <v>-1.3010299956639813</v>
      </c>
      <c r="BK21">
        <f>LOG(Table1_1__2[[#This Row],[PFDS]])</f>
        <v>-1.3010299956639813</v>
      </c>
      <c r="BL21">
        <f>LOG(Table1_1__2[[#This Row],[PFDoS]])</f>
        <v>-1.3010299956639813</v>
      </c>
      <c r="BM21">
        <f>LOG(Table1_1__2[[#This Row],[4:2 FTS]])</f>
        <v>-0.69897000433601875</v>
      </c>
      <c r="BN21">
        <f>LOG(Table1_1__2[[#This Row],[6:2 FTS]])</f>
        <v>-0.3979400086720376</v>
      </c>
      <c r="BO21">
        <f>LOG(Table1_1__2[[#This Row],[8:2 FTS]])</f>
        <v>-0.3979400086720376</v>
      </c>
      <c r="BP21">
        <f>LOG(Table1_1__2[[#This Row],[FOSA]])</f>
        <v>-1.0457574905606752</v>
      </c>
      <c r="BQ21">
        <f>LOG(Table1_1__2[[#This Row],[N-MeFOSA]])</f>
        <v>-1.3010299956639813</v>
      </c>
      <c r="BR21">
        <f>LOG(Table1_1__2[[#This Row],[N-MeFOSAA]])</f>
        <v>-1.3010299956639813</v>
      </c>
      <c r="BS21">
        <f>LOG(Table1_1__2[[#This Row],[N-EtFOSAA]])</f>
        <v>-1.3010299956639813</v>
      </c>
      <c r="BT21">
        <f>LOG(Table1_1__2[[#This Row],[ADONA]])</f>
        <v>-0.69897000433601875</v>
      </c>
      <c r="BU21">
        <f>LOG(Table1_1__2[[#This Row],[3:3 FTCA]])</f>
        <v>-0.6020599913279624</v>
      </c>
      <c r="BV21">
        <f>LOG(Table1_1__2[[#This Row],[5:3 FTCA]])</f>
        <v>9.691001300805642E-2</v>
      </c>
      <c r="BW21">
        <f>LOG(Table1_1__2[[#This Row],[7:3 FTCA]])</f>
        <v>9.691001300805642E-2</v>
      </c>
      <c r="BX21">
        <f>LOG(Table1_1__2[[#This Row],[N-EtFOSA]])</f>
        <v>-1.3010299956639813</v>
      </c>
      <c r="BY21">
        <f>LOG(Table1_1__2[[#This Row],[N-MeFOSE]])</f>
        <v>-0.3010299956639812</v>
      </c>
      <c r="BZ21">
        <f>LOG(Table1_1__2[[#This Row],[N-EtFOSE]])</f>
        <v>-0.3010299956639812</v>
      </c>
      <c r="CA21">
        <f>LOG(Table1_1__2[[#This Row],[HFPO-DA]])</f>
        <v>-0.52287874528033762</v>
      </c>
      <c r="CB21">
        <f>LOG(Table1_1__2[[#This Row],[PFMBA]])</f>
        <v>-1</v>
      </c>
      <c r="CC21">
        <f>LOG(Table1_1__2[[#This Row],[NFDHA]])</f>
        <v>-1</v>
      </c>
      <c r="CD21">
        <f>LOG(Table1_1__2[[#This Row],[9Cl-PF3ONS]])</f>
        <v>-0.69897000433601875</v>
      </c>
      <c r="CE21">
        <f>LOG(Table1_1__2[[#This Row],[11Cl-PF3OUdS]])</f>
        <v>-0.69897000433601875</v>
      </c>
      <c r="CF21">
        <f>LOG(Table1_1__2[[#This Row],[PFEESA]])</f>
        <v>-1</v>
      </c>
      <c r="CG21">
        <f>LOG(Table1_1__2[[#This Row],[PFMPA]])</f>
        <v>-1</v>
      </c>
    </row>
    <row r="22" spans="1:85" x14ac:dyDescent="0.3">
      <c r="A22" s="2" t="s">
        <v>77</v>
      </c>
      <c r="B22" s="3">
        <v>44308.5</v>
      </c>
      <c r="C22" s="2" t="s">
        <v>26</v>
      </c>
      <c r="D22" s="2" t="s">
        <v>27</v>
      </c>
      <c r="E22">
        <v>0.19500000000000001</v>
      </c>
      <c r="F22">
        <v>0.1</v>
      </c>
      <c r="G22">
        <v>0.13</v>
      </c>
      <c r="H22">
        <v>0.09</v>
      </c>
      <c r="I22">
        <v>0.33</v>
      </c>
      <c r="J22">
        <v>4.9500000000000002E-2</v>
      </c>
      <c r="K22">
        <v>4.9500000000000002E-2</v>
      </c>
      <c r="L22">
        <v>4.9500000000000002E-2</v>
      </c>
      <c r="M22">
        <v>4.9500000000000002E-2</v>
      </c>
      <c r="N22">
        <v>4.9500000000000002E-2</v>
      </c>
      <c r="O22">
        <v>4.9500000000000002E-2</v>
      </c>
      <c r="P22">
        <v>4.9500000000000002E-2</v>
      </c>
      <c r="Q22">
        <v>4.9500000000000002E-2</v>
      </c>
      <c r="R22">
        <v>0.37</v>
      </c>
      <c r="S22">
        <v>4.9500000000000002E-2</v>
      </c>
      <c r="T22">
        <v>1.2</v>
      </c>
      <c r="U22">
        <v>4.9500000000000002E-2</v>
      </c>
      <c r="V22">
        <v>4.9500000000000002E-2</v>
      </c>
      <c r="W22">
        <v>4.9500000000000002E-2</v>
      </c>
      <c r="X22">
        <v>0.19500000000000001</v>
      </c>
      <c r="Y22">
        <v>0.39500000000000002</v>
      </c>
      <c r="Z22">
        <v>0.39500000000000002</v>
      </c>
      <c r="AA22">
        <v>0.09</v>
      </c>
      <c r="AB22">
        <v>4.9500000000000002E-2</v>
      </c>
      <c r="AC22">
        <v>4.9500000000000002E-2</v>
      </c>
      <c r="AD22">
        <v>4.9500000000000002E-2</v>
      </c>
      <c r="AE22">
        <v>0.19500000000000001</v>
      </c>
      <c r="AF22">
        <v>0.245</v>
      </c>
      <c r="AG22">
        <v>1.25</v>
      </c>
      <c r="AH22">
        <v>1.25</v>
      </c>
      <c r="AI22">
        <v>4.9500000000000002E-2</v>
      </c>
      <c r="AJ22">
        <v>0.495</v>
      </c>
      <c r="AK22">
        <v>0.495</v>
      </c>
      <c r="AL22">
        <v>0.29499999999999998</v>
      </c>
      <c r="AM22">
        <v>0.1</v>
      </c>
      <c r="AN22">
        <v>0.1</v>
      </c>
      <c r="AO22">
        <v>0.19500000000000001</v>
      </c>
      <c r="AP22">
        <v>0.19500000000000001</v>
      </c>
      <c r="AQ22">
        <v>0.1</v>
      </c>
      <c r="AR22">
        <v>0.1</v>
      </c>
      <c r="AS22">
        <f>SUM(Table1_1__2[[#This Row],[PFBA]:[PFMPA]])</f>
        <v>9.2970000000000006</v>
      </c>
      <c r="AT22">
        <f>LOG(Table1_1__2[[#This Row],[PFBA]])</f>
        <v>-0.70996538863748193</v>
      </c>
      <c r="AU22">
        <f>LOG(Table1_1__2[[#This Row],[PFPeA]])</f>
        <v>-1</v>
      </c>
      <c r="AV22">
        <f>LOG(Table1_1__2[[#This Row],[PFHxA]])</f>
        <v>-0.88605664769316317</v>
      </c>
      <c r="AW22">
        <f>LOG(Table1_1__2[[#This Row],[PFHpA]])</f>
        <v>-1.0457574905606752</v>
      </c>
      <c r="AX22">
        <f>LOG(Table1_1__2[[#This Row],[PFOA]])</f>
        <v>-0.48148606012211248</v>
      </c>
      <c r="AY22">
        <f>LOG(Table1_1__2[[#This Row],[PFNA]])</f>
        <v>-1.3053948010664314</v>
      </c>
      <c r="AZ22">
        <f>LOG(Table1_1__2[[#This Row],[PFDA]])</f>
        <v>-1.3053948010664314</v>
      </c>
      <c r="BA22">
        <f>LOG(Table1_1__2[[#This Row],[PFUnA]])</f>
        <v>-1.3053948010664314</v>
      </c>
      <c r="BB22">
        <f>LOG(Table1_1__2[[#This Row],[PFDoA]])</f>
        <v>-1.3053948010664314</v>
      </c>
      <c r="BC22">
        <f>LOG(Table1_1__2[[#This Row],[PFTrDA]])</f>
        <v>-1.3053948010664314</v>
      </c>
      <c r="BD22">
        <f>LOG(Table1_1__2[[#This Row],[PFTeDA]])</f>
        <v>-1.3053948010664314</v>
      </c>
      <c r="BE22">
        <f>LOG(Table1_1__2[[#This Row],[PFBS]])</f>
        <v>-1.3053948010664314</v>
      </c>
      <c r="BF22">
        <f>LOG(Table1_1__2[[#This Row],[PFPeS]])</f>
        <v>-1.3053948010664314</v>
      </c>
      <c r="BG22">
        <f>LOG(Table1_1__2[[#This Row],[PFHxS]])</f>
        <v>-0.43179827593300502</v>
      </c>
      <c r="BH22">
        <f>LOG(Table1_1__2[[#This Row],[PFHpS]])</f>
        <v>-1.3053948010664314</v>
      </c>
      <c r="BI22">
        <f>LOG(Table1_1__2[[#This Row],[PFOS]])</f>
        <v>7.9181246047624818E-2</v>
      </c>
      <c r="BJ22">
        <f>LOG(Table1_1__2[[#This Row],[PFNS]])</f>
        <v>-1.3053948010664314</v>
      </c>
      <c r="BK22">
        <f>LOG(Table1_1__2[[#This Row],[PFDS]])</f>
        <v>-1.3053948010664314</v>
      </c>
      <c r="BL22">
        <f>LOG(Table1_1__2[[#This Row],[PFDoS]])</f>
        <v>-1.3053948010664314</v>
      </c>
      <c r="BM22">
        <f>LOG(Table1_1__2[[#This Row],[4:2 FTS]])</f>
        <v>-0.70996538863748193</v>
      </c>
      <c r="BN22">
        <f>LOG(Table1_1__2[[#This Row],[6:2 FTS]])</f>
        <v>-0.40340290437353976</v>
      </c>
      <c r="BO22">
        <f>LOG(Table1_1__2[[#This Row],[8:2 FTS]])</f>
        <v>-0.40340290437353976</v>
      </c>
      <c r="BP22">
        <f>LOG(Table1_1__2[[#This Row],[FOSA]])</f>
        <v>-1.0457574905606752</v>
      </c>
      <c r="BQ22">
        <f>LOG(Table1_1__2[[#This Row],[N-MeFOSA]])</f>
        <v>-1.3053948010664314</v>
      </c>
      <c r="BR22">
        <f>LOG(Table1_1__2[[#This Row],[N-MeFOSAA]])</f>
        <v>-1.3053948010664314</v>
      </c>
      <c r="BS22">
        <f>LOG(Table1_1__2[[#This Row],[N-EtFOSAA]])</f>
        <v>-1.3053948010664314</v>
      </c>
      <c r="BT22">
        <f>LOG(Table1_1__2[[#This Row],[ADONA]])</f>
        <v>-0.70996538863748193</v>
      </c>
      <c r="BU22">
        <f>LOG(Table1_1__2[[#This Row],[3:3 FTCA]])</f>
        <v>-0.61083391563546752</v>
      </c>
      <c r="BV22">
        <f>LOG(Table1_1__2[[#This Row],[5:3 FTCA]])</f>
        <v>9.691001300805642E-2</v>
      </c>
      <c r="BW22">
        <f>LOG(Table1_1__2[[#This Row],[7:3 FTCA]])</f>
        <v>9.691001300805642E-2</v>
      </c>
      <c r="BX22">
        <f>LOG(Table1_1__2[[#This Row],[N-EtFOSA]])</f>
        <v>-1.3053948010664314</v>
      </c>
      <c r="BY22">
        <f>LOG(Table1_1__2[[#This Row],[N-MeFOSE]])</f>
        <v>-0.3053948010664313</v>
      </c>
      <c r="BZ22">
        <f>LOG(Table1_1__2[[#This Row],[N-EtFOSE]])</f>
        <v>-0.3053948010664313</v>
      </c>
      <c r="CA22">
        <f>LOG(Table1_1__2[[#This Row],[HFPO-DA]])</f>
        <v>-0.53017798402183702</v>
      </c>
      <c r="CB22">
        <f>LOG(Table1_1__2[[#This Row],[PFMBA]])</f>
        <v>-1</v>
      </c>
      <c r="CC22">
        <f>LOG(Table1_1__2[[#This Row],[NFDHA]])</f>
        <v>-1</v>
      </c>
      <c r="CD22">
        <f>LOG(Table1_1__2[[#This Row],[9Cl-PF3ONS]])</f>
        <v>-0.70996538863748193</v>
      </c>
      <c r="CE22">
        <f>LOG(Table1_1__2[[#This Row],[11Cl-PF3OUdS]])</f>
        <v>-0.70996538863748193</v>
      </c>
      <c r="CF22">
        <f>LOG(Table1_1__2[[#This Row],[PFEESA]])</f>
        <v>-1</v>
      </c>
      <c r="CG22">
        <f>LOG(Table1_1__2[[#This Row],[PFMPA]])</f>
        <v>-1</v>
      </c>
    </row>
    <row r="23" spans="1:85" x14ac:dyDescent="0.3">
      <c r="A23" s="2" t="s">
        <v>78</v>
      </c>
      <c r="B23" s="3">
        <v>44308.5</v>
      </c>
      <c r="C23" s="2" t="s">
        <v>31</v>
      </c>
      <c r="D23" s="2" t="s">
        <v>27</v>
      </c>
      <c r="E23">
        <v>0.19500000000000001</v>
      </c>
      <c r="F23">
        <v>0.1</v>
      </c>
      <c r="G23">
        <v>0.09</v>
      </c>
      <c r="H23">
        <v>0.09</v>
      </c>
      <c r="I23">
        <v>0.11</v>
      </c>
      <c r="J23">
        <v>4.9000000000000002E-2</v>
      </c>
      <c r="K23">
        <v>4.9000000000000002E-2</v>
      </c>
      <c r="L23">
        <v>4.9000000000000002E-2</v>
      </c>
      <c r="M23">
        <v>4.9000000000000002E-2</v>
      </c>
      <c r="N23">
        <v>4.9000000000000002E-2</v>
      </c>
      <c r="O23">
        <v>4.9000000000000002E-2</v>
      </c>
      <c r="P23">
        <v>4.9000000000000002E-2</v>
      </c>
      <c r="Q23">
        <v>4.9000000000000002E-2</v>
      </c>
      <c r="R23">
        <v>0.51</v>
      </c>
      <c r="S23">
        <v>4.9000000000000002E-2</v>
      </c>
      <c r="T23">
        <v>3.4</v>
      </c>
      <c r="U23">
        <v>4.9000000000000002E-2</v>
      </c>
      <c r="V23">
        <v>4.9000000000000002E-2</v>
      </c>
      <c r="W23">
        <v>4.9000000000000002E-2</v>
      </c>
      <c r="X23">
        <v>0.19500000000000001</v>
      </c>
      <c r="Y23">
        <v>0.39500000000000002</v>
      </c>
      <c r="Z23">
        <v>0.39500000000000002</v>
      </c>
      <c r="AA23">
        <v>9.2999999999999999E-2</v>
      </c>
      <c r="AB23">
        <v>4.9000000000000002E-2</v>
      </c>
      <c r="AC23">
        <v>4.9000000000000002E-2</v>
      </c>
      <c r="AD23">
        <v>4.9000000000000002E-2</v>
      </c>
      <c r="AE23">
        <v>0.19500000000000001</v>
      </c>
      <c r="AF23">
        <v>0.245</v>
      </c>
      <c r="AG23">
        <v>1.25</v>
      </c>
      <c r="AH23">
        <v>1.25</v>
      </c>
      <c r="AI23">
        <v>4.9000000000000002E-2</v>
      </c>
      <c r="AJ23">
        <v>0.49</v>
      </c>
      <c r="AK23">
        <v>0.49</v>
      </c>
      <c r="AL23">
        <v>0.29499999999999998</v>
      </c>
      <c r="AM23">
        <v>0.1</v>
      </c>
      <c r="AN23">
        <v>0.1</v>
      </c>
      <c r="AO23">
        <v>0.19500000000000001</v>
      </c>
      <c r="AP23">
        <v>0.19500000000000001</v>
      </c>
      <c r="AQ23">
        <v>0.1</v>
      </c>
      <c r="AR23">
        <v>0.1</v>
      </c>
      <c r="AS23">
        <f>SUM(Table1_1__2[[#This Row],[PFBA]:[PFMPA]])</f>
        <v>11.362000000000002</v>
      </c>
      <c r="AT23">
        <f>LOG(Table1_1__2[[#This Row],[PFBA]])</f>
        <v>-0.70996538863748193</v>
      </c>
      <c r="AU23">
        <f>LOG(Table1_1__2[[#This Row],[PFPeA]])</f>
        <v>-1</v>
      </c>
      <c r="AV23">
        <f>LOG(Table1_1__2[[#This Row],[PFHxA]])</f>
        <v>-1.0457574905606752</v>
      </c>
      <c r="AW23">
        <f>LOG(Table1_1__2[[#This Row],[PFHpA]])</f>
        <v>-1.0457574905606752</v>
      </c>
      <c r="AX23">
        <f>LOG(Table1_1__2[[#This Row],[PFOA]])</f>
        <v>-0.95860731484177497</v>
      </c>
      <c r="AY23">
        <f>LOG(Table1_1__2[[#This Row],[PFNA]])</f>
        <v>-1.3098039199714864</v>
      </c>
      <c r="AZ23">
        <f>LOG(Table1_1__2[[#This Row],[PFDA]])</f>
        <v>-1.3098039199714864</v>
      </c>
      <c r="BA23">
        <f>LOG(Table1_1__2[[#This Row],[PFUnA]])</f>
        <v>-1.3098039199714864</v>
      </c>
      <c r="BB23">
        <f>LOG(Table1_1__2[[#This Row],[PFDoA]])</f>
        <v>-1.3098039199714864</v>
      </c>
      <c r="BC23">
        <f>LOG(Table1_1__2[[#This Row],[PFTrDA]])</f>
        <v>-1.3098039199714864</v>
      </c>
      <c r="BD23">
        <f>LOG(Table1_1__2[[#This Row],[PFTeDA]])</f>
        <v>-1.3098039199714864</v>
      </c>
      <c r="BE23">
        <f>LOG(Table1_1__2[[#This Row],[PFBS]])</f>
        <v>-1.3098039199714864</v>
      </c>
      <c r="BF23">
        <f>LOG(Table1_1__2[[#This Row],[PFPeS]])</f>
        <v>-1.3098039199714864</v>
      </c>
      <c r="BG23">
        <f>LOG(Table1_1__2[[#This Row],[PFHxS]])</f>
        <v>-0.29242982390206362</v>
      </c>
      <c r="BH23">
        <f>LOG(Table1_1__2[[#This Row],[PFHpS]])</f>
        <v>-1.3098039199714864</v>
      </c>
      <c r="BI23">
        <f>LOG(Table1_1__2[[#This Row],[PFOS]])</f>
        <v>0.53147891704225514</v>
      </c>
      <c r="BJ23">
        <f>LOG(Table1_1__2[[#This Row],[PFNS]])</f>
        <v>-1.3098039199714864</v>
      </c>
      <c r="BK23">
        <f>LOG(Table1_1__2[[#This Row],[PFDS]])</f>
        <v>-1.3098039199714864</v>
      </c>
      <c r="BL23">
        <f>LOG(Table1_1__2[[#This Row],[PFDoS]])</f>
        <v>-1.3098039199714864</v>
      </c>
      <c r="BM23">
        <f>LOG(Table1_1__2[[#This Row],[4:2 FTS]])</f>
        <v>-0.70996538863748193</v>
      </c>
      <c r="BN23">
        <f>LOG(Table1_1__2[[#This Row],[6:2 FTS]])</f>
        <v>-0.40340290437353976</v>
      </c>
      <c r="BO23">
        <f>LOG(Table1_1__2[[#This Row],[8:2 FTS]])</f>
        <v>-0.40340290437353976</v>
      </c>
      <c r="BP23">
        <f>LOG(Table1_1__2[[#This Row],[FOSA]])</f>
        <v>-1.031517051446065</v>
      </c>
      <c r="BQ23">
        <f>LOG(Table1_1__2[[#This Row],[N-MeFOSA]])</f>
        <v>-1.3098039199714864</v>
      </c>
      <c r="BR23">
        <f>LOG(Table1_1__2[[#This Row],[N-MeFOSAA]])</f>
        <v>-1.3098039199714864</v>
      </c>
      <c r="BS23">
        <f>LOG(Table1_1__2[[#This Row],[N-EtFOSAA]])</f>
        <v>-1.3098039199714864</v>
      </c>
      <c r="BT23">
        <f>LOG(Table1_1__2[[#This Row],[ADONA]])</f>
        <v>-0.70996538863748193</v>
      </c>
      <c r="BU23">
        <f>LOG(Table1_1__2[[#This Row],[3:3 FTCA]])</f>
        <v>-0.61083391563546752</v>
      </c>
      <c r="BV23">
        <f>LOG(Table1_1__2[[#This Row],[5:3 FTCA]])</f>
        <v>9.691001300805642E-2</v>
      </c>
      <c r="BW23">
        <f>LOG(Table1_1__2[[#This Row],[7:3 FTCA]])</f>
        <v>9.691001300805642E-2</v>
      </c>
      <c r="BX23">
        <f>LOG(Table1_1__2[[#This Row],[N-EtFOSA]])</f>
        <v>-1.3098039199714864</v>
      </c>
      <c r="BY23">
        <f>LOG(Table1_1__2[[#This Row],[N-MeFOSE]])</f>
        <v>-0.30980391997148632</v>
      </c>
      <c r="BZ23">
        <f>LOG(Table1_1__2[[#This Row],[N-EtFOSE]])</f>
        <v>-0.30980391997148632</v>
      </c>
      <c r="CA23">
        <f>LOG(Table1_1__2[[#This Row],[HFPO-DA]])</f>
        <v>-0.53017798402183702</v>
      </c>
      <c r="CB23">
        <f>LOG(Table1_1__2[[#This Row],[PFMBA]])</f>
        <v>-1</v>
      </c>
      <c r="CC23">
        <f>LOG(Table1_1__2[[#This Row],[NFDHA]])</f>
        <v>-1</v>
      </c>
      <c r="CD23">
        <f>LOG(Table1_1__2[[#This Row],[9Cl-PF3ONS]])</f>
        <v>-0.70996538863748193</v>
      </c>
      <c r="CE23">
        <f>LOG(Table1_1__2[[#This Row],[11Cl-PF3OUdS]])</f>
        <v>-0.70996538863748193</v>
      </c>
      <c r="CF23">
        <f>LOG(Table1_1__2[[#This Row],[PFEESA]])</f>
        <v>-1</v>
      </c>
      <c r="CG23">
        <f>LOG(Table1_1__2[[#This Row],[PFMPA]])</f>
        <v>-1</v>
      </c>
    </row>
    <row r="24" spans="1:85" x14ac:dyDescent="0.3">
      <c r="A24" s="2" t="s">
        <v>79</v>
      </c>
      <c r="B24" s="3">
        <v>44308.5</v>
      </c>
      <c r="C24" s="2" t="s">
        <v>33</v>
      </c>
      <c r="D24" s="2" t="s">
        <v>27</v>
      </c>
      <c r="E24">
        <v>0.2</v>
      </c>
      <c r="F24">
        <v>0.1</v>
      </c>
      <c r="G24">
        <v>0.09</v>
      </c>
      <c r="H24">
        <v>0.09</v>
      </c>
      <c r="I24">
        <v>0.16</v>
      </c>
      <c r="J24">
        <v>0.05</v>
      </c>
      <c r="K24">
        <v>0.05</v>
      </c>
      <c r="L24">
        <v>0.05</v>
      </c>
      <c r="M24">
        <v>0.05</v>
      </c>
      <c r="N24">
        <v>0.05</v>
      </c>
      <c r="O24">
        <v>0.05</v>
      </c>
      <c r="P24">
        <v>0.05</v>
      </c>
      <c r="Q24">
        <v>0.05</v>
      </c>
      <c r="R24">
        <v>0.33</v>
      </c>
      <c r="S24">
        <v>0.05</v>
      </c>
      <c r="T24">
        <v>1.4</v>
      </c>
      <c r="U24">
        <v>0.05</v>
      </c>
      <c r="V24">
        <v>0.05</v>
      </c>
      <c r="W24">
        <v>0.05</v>
      </c>
      <c r="X24">
        <v>0.2</v>
      </c>
      <c r="Y24">
        <v>0.4</v>
      </c>
      <c r="Z24">
        <v>0.4</v>
      </c>
      <c r="AA24">
        <v>9.8000000000000004E-2</v>
      </c>
      <c r="AB24">
        <v>0.05</v>
      </c>
      <c r="AC24">
        <v>0.05</v>
      </c>
      <c r="AD24">
        <v>0.05</v>
      </c>
      <c r="AE24">
        <v>0.2</v>
      </c>
      <c r="AF24">
        <v>0.25</v>
      </c>
      <c r="AG24">
        <v>1.25</v>
      </c>
      <c r="AH24">
        <v>1.25</v>
      </c>
      <c r="AI24">
        <v>0.05</v>
      </c>
      <c r="AJ24">
        <v>0.5</v>
      </c>
      <c r="AK24">
        <v>0.5</v>
      </c>
      <c r="AL24">
        <v>0.3</v>
      </c>
      <c r="AM24">
        <v>0.1</v>
      </c>
      <c r="AN24">
        <v>0.1</v>
      </c>
      <c r="AO24">
        <v>0.2</v>
      </c>
      <c r="AP24">
        <v>0.2</v>
      </c>
      <c r="AQ24">
        <v>0.1</v>
      </c>
      <c r="AR24">
        <v>0.1</v>
      </c>
      <c r="AS24">
        <f>SUM(Table1_1__2[[#This Row],[PFBA]:[PFMPA]])</f>
        <v>9.3179999999999978</v>
      </c>
      <c r="AT24">
        <f>LOG(Table1_1__2[[#This Row],[PFBA]])</f>
        <v>-0.69897000433601875</v>
      </c>
      <c r="AU24">
        <f>LOG(Table1_1__2[[#This Row],[PFPeA]])</f>
        <v>-1</v>
      </c>
      <c r="AV24">
        <f>LOG(Table1_1__2[[#This Row],[PFHxA]])</f>
        <v>-1.0457574905606752</v>
      </c>
      <c r="AW24">
        <f>LOG(Table1_1__2[[#This Row],[PFHpA]])</f>
        <v>-1.0457574905606752</v>
      </c>
      <c r="AX24">
        <f>LOG(Table1_1__2[[#This Row],[PFOA]])</f>
        <v>-0.79588001734407521</v>
      </c>
      <c r="AY24">
        <f>LOG(Table1_1__2[[#This Row],[PFNA]])</f>
        <v>-1.3010299956639813</v>
      </c>
      <c r="AZ24">
        <f>LOG(Table1_1__2[[#This Row],[PFDA]])</f>
        <v>-1.3010299956639813</v>
      </c>
      <c r="BA24">
        <f>LOG(Table1_1__2[[#This Row],[PFUnA]])</f>
        <v>-1.3010299956639813</v>
      </c>
      <c r="BB24">
        <f>LOG(Table1_1__2[[#This Row],[PFDoA]])</f>
        <v>-1.3010299956639813</v>
      </c>
      <c r="BC24">
        <f>LOG(Table1_1__2[[#This Row],[PFTrDA]])</f>
        <v>-1.3010299956639813</v>
      </c>
      <c r="BD24">
        <f>LOG(Table1_1__2[[#This Row],[PFTeDA]])</f>
        <v>-1.3010299956639813</v>
      </c>
      <c r="BE24">
        <f>LOG(Table1_1__2[[#This Row],[PFBS]])</f>
        <v>-1.3010299956639813</v>
      </c>
      <c r="BF24">
        <f>LOG(Table1_1__2[[#This Row],[PFPeS]])</f>
        <v>-1.3010299956639813</v>
      </c>
      <c r="BG24">
        <f>LOG(Table1_1__2[[#This Row],[PFHxS]])</f>
        <v>-0.48148606012211248</v>
      </c>
      <c r="BH24">
        <f>LOG(Table1_1__2[[#This Row],[PFHpS]])</f>
        <v>-1.3010299956639813</v>
      </c>
      <c r="BI24">
        <f>LOG(Table1_1__2[[#This Row],[PFOS]])</f>
        <v>0.14612803567823801</v>
      </c>
      <c r="BJ24">
        <f>LOG(Table1_1__2[[#This Row],[PFNS]])</f>
        <v>-1.3010299956639813</v>
      </c>
      <c r="BK24">
        <f>LOG(Table1_1__2[[#This Row],[PFDS]])</f>
        <v>-1.3010299956639813</v>
      </c>
      <c r="BL24">
        <f>LOG(Table1_1__2[[#This Row],[PFDoS]])</f>
        <v>-1.3010299956639813</v>
      </c>
      <c r="BM24">
        <f>LOG(Table1_1__2[[#This Row],[4:2 FTS]])</f>
        <v>-0.69897000433601875</v>
      </c>
      <c r="BN24">
        <f>LOG(Table1_1__2[[#This Row],[6:2 FTS]])</f>
        <v>-0.3979400086720376</v>
      </c>
      <c r="BO24">
        <f>LOG(Table1_1__2[[#This Row],[8:2 FTS]])</f>
        <v>-0.3979400086720376</v>
      </c>
      <c r="BP24">
        <f>LOG(Table1_1__2[[#This Row],[FOSA]])</f>
        <v>-1.0087739243075051</v>
      </c>
      <c r="BQ24">
        <f>LOG(Table1_1__2[[#This Row],[N-MeFOSA]])</f>
        <v>-1.3010299956639813</v>
      </c>
      <c r="BR24">
        <f>LOG(Table1_1__2[[#This Row],[N-MeFOSAA]])</f>
        <v>-1.3010299956639813</v>
      </c>
      <c r="BS24">
        <f>LOG(Table1_1__2[[#This Row],[N-EtFOSAA]])</f>
        <v>-1.3010299956639813</v>
      </c>
      <c r="BT24">
        <f>LOG(Table1_1__2[[#This Row],[ADONA]])</f>
        <v>-0.69897000433601875</v>
      </c>
      <c r="BU24">
        <f>LOG(Table1_1__2[[#This Row],[3:3 FTCA]])</f>
        <v>-0.6020599913279624</v>
      </c>
      <c r="BV24">
        <f>LOG(Table1_1__2[[#This Row],[5:3 FTCA]])</f>
        <v>9.691001300805642E-2</v>
      </c>
      <c r="BW24">
        <f>LOG(Table1_1__2[[#This Row],[7:3 FTCA]])</f>
        <v>9.691001300805642E-2</v>
      </c>
      <c r="BX24">
        <f>LOG(Table1_1__2[[#This Row],[N-EtFOSA]])</f>
        <v>-1.3010299956639813</v>
      </c>
      <c r="BY24">
        <f>LOG(Table1_1__2[[#This Row],[N-MeFOSE]])</f>
        <v>-0.3010299956639812</v>
      </c>
      <c r="BZ24">
        <f>LOG(Table1_1__2[[#This Row],[N-EtFOSE]])</f>
        <v>-0.3010299956639812</v>
      </c>
      <c r="CA24">
        <f>LOG(Table1_1__2[[#This Row],[HFPO-DA]])</f>
        <v>-0.52287874528033762</v>
      </c>
      <c r="CB24">
        <f>LOG(Table1_1__2[[#This Row],[PFMBA]])</f>
        <v>-1</v>
      </c>
      <c r="CC24">
        <f>LOG(Table1_1__2[[#This Row],[NFDHA]])</f>
        <v>-1</v>
      </c>
      <c r="CD24">
        <f>LOG(Table1_1__2[[#This Row],[9Cl-PF3ONS]])</f>
        <v>-0.69897000433601875</v>
      </c>
      <c r="CE24">
        <f>LOG(Table1_1__2[[#This Row],[11Cl-PF3OUdS]])</f>
        <v>-0.69897000433601875</v>
      </c>
      <c r="CF24">
        <f>LOG(Table1_1__2[[#This Row],[PFEESA]])</f>
        <v>-1</v>
      </c>
      <c r="CG24">
        <f>LOG(Table1_1__2[[#This Row],[PFMPA]])</f>
        <v>-1</v>
      </c>
    </row>
    <row r="25" spans="1:85" x14ac:dyDescent="0.3">
      <c r="A25" s="2" t="s">
        <v>80</v>
      </c>
      <c r="B25" s="3">
        <v>44308.5</v>
      </c>
      <c r="C25" s="2" t="s">
        <v>29</v>
      </c>
      <c r="D25" s="2" t="s">
        <v>27</v>
      </c>
      <c r="E25">
        <v>0.2</v>
      </c>
      <c r="F25">
        <v>0.1</v>
      </c>
      <c r="G25">
        <v>0.09</v>
      </c>
      <c r="H25">
        <v>0.09</v>
      </c>
      <c r="I25">
        <v>0.15</v>
      </c>
      <c r="J25">
        <v>0.05</v>
      </c>
      <c r="K25">
        <v>0.05</v>
      </c>
      <c r="L25">
        <v>0.05</v>
      </c>
      <c r="M25">
        <v>0.05</v>
      </c>
      <c r="N25">
        <v>0.05</v>
      </c>
      <c r="O25">
        <v>0.05</v>
      </c>
      <c r="P25">
        <v>0.05</v>
      </c>
      <c r="Q25">
        <v>0.05</v>
      </c>
      <c r="R25">
        <v>0.3</v>
      </c>
      <c r="S25">
        <v>0.05</v>
      </c>
      <c r="T25">
        <v>1</v>
      </c>
      <c r="U25">
        <v>0.05</v>
      </c>
      <c r="V25">
        <v>0.05</v>
      </c>
      <c r="W25">
        <v>0.05</v>
      </c>
      <c r="X25">
        <v>0.2</v>
      </c>
      <c r="Y25">
        <v>0.4</v>
      </c>
      <c r="Z25">
        <v>0.4</v>
      </c>
      <c r="AA25">
        <v>0.09</v>
      </c>
      <c r="AB25">
        <v>0.05</v>
      </c>
      <c r="AC25">
        <v>0.05</v>
      </c>
      <c r="AD25">
        <v>0.05</v>
      </c>
      <c r="AE25">
        <v>0.2</v>
      </c>
      <c r="AF25">
        <v>0.25</v>
      </c>
      <c r="AG25">
        <v>1.25</v>
      </c>
      <c r="AH25">
        <v>1.25</v>
      </c>
      <c r="AI25">
        <v>0.05</v>
      </c>
      <c r="AJ25">
        <v>0.5</v>
      </c>
      <c r="AK25">
        <v>0.5</v>
      </c>
      <c r="AL25">
        <v>0.3</v>
      </c>
      <c r="AM25">
        <v>0.1</v>
      </c>
      <c r="AN25">
        <v>0.1</v>
      </c>
      <c r="AO25">
        <v>0.2</v>
      </c>
      <c r="AP25">
        <v>0.2</v>
      </c>
      <c r="AQ25">
        <v>0.1</v>
      </c>
      <c r="AR25">
        <v>0.1</v>
      </c>
      <c r="AS25">
        <f>SUM(Table1_1__2[[#This Row],[PFBA]:[PFMPA]])</f>
        <v>8.8699999999999957</v>
      </c>
      <c r="AT25">
        <f>LOG(Table1_1__2[[#This Row],[PFBA]])</f>
        <v>-0.69897000433601875</v>
      </c>
      <c r="AU25">
        <f>LOG(Table1_1__2[[#This Row],[PFPeA]])</f>
        <v>-1</v>
      </c>
      <c r="AV25">
        <f>LOG(Table1_1__2[[#This Row],[PFHxA]])</f>
        <v>-1.0457574905606752</v>
      </c>
      <c r="AW25">
        <f>LOG(Table1_1__2[[#This Row],[PFHpA]])</f>
        <v>-1.0457574905606752</v>
      </c>
      <c r="AX25">
        <f>LOG(Table1_1__2[[#This Row],[PFOA]])</f>
        <v>-0.82390874094431876</v>
      </c>
      <c r="AY25">
        <f>LOG(Table1_1__2[[#This Row],[PFNA]])</f>
        <v>-1.3010299956639813</v>
      </c>
      <c r="AZ25">
        <f>LOG(Table1_1__2[[#This Row],[PFDA]])</f>
        <v>-1.3010299956639813</v>
      </c>
      <c r="BA25">
        <f>LOG(Table1_1__2[[#This Row],[PFUnA]])</f>
        <v>-1.3010299956639813</v>
      </c>
      <c r="BB25">
        <f>LOG(Table1_1__2[[#This Row],[PFDoA]])</f>
        <v>-1.3010299956639813</v>
      </c>
      <c r="BC25">
        <f>LOG(Table1_1__2[[#This Row],[PFTrDA]])</f>
        <v>-1.3010299956639813</v>
      </c>
      <c r="BD25">
        <f>LOG(Table1_1__2[[#This Row],[PFTeDA]])</f>
        <v>-1.3010299956639813</v>
      </c>
      <c r="BE25">
        <f>LOG(Table1_1__2[[#This Row],[PFBS]])</f>
        <v>-1.3010299956639813</v>
      </c>
      <c r="BF25">
        <f>LOG(Table1_1__2[[#This Row],[PFPeS]])</f>
        <v>-1.3010299956639813</v>
      </c>
      <c r="BG25">
        <f>LOG(Table1_1__2[[#This Row],[PFHxS]])</f>
        <v>-0.52287874528033762</v>
      </c>
      <c r="BH25">
        <f>LOG(Table1_1__2[[#This Row],[PFHpS]])</f>
        <v>-1.3010299956639813</v>
      </c>
      <c r="BI25">
        <f>LOG(Table1_1__2[[#This Row],[PFOS]])</f>
        <v>0</v>
      </c>
      <c r="BJ25">
        <f>LOG(Table1_1__2[[#This Row],[PFNS]])</f>
        <v>-1.3010299956639813</v>
      </c>
      <c r="BK25">
        <f>LOG(Table1_1__2[[#This Row],[PFDS]])</f>
        <v>-1.3010299956639813</v>
      </c>
      <c r="BL25">
        <f>LOG(Table1_1__2[[#This Row],[PFDoS]])</f>
        <v>-1.3010299956639813</v>
      </c>
      <c r="BM25">
        <f>LOG(Table1_1__2[[#This Row],[4:2 FTS]])</f>
        <v>-0.69897000433601875</v>
      </c>
      <c r="BN25">
        <f>LOG(Table1_1__2[[#This Row],[6:2 FTS]])</f>
        <v>-0.3979400086720376</v>
      </c>
      <c r="BO25">
        <f>LOG(Table1_1__2[[#This Row],[8:2 FTS]])</f>
        <v>-0.3979400086720376</v>
      </c>
      <c r="BP25">
        <f>LOG(Table1_1__2[[#This Row],[FOSA]])</f>
        <v>-1.0457574905606752</v>
      </c>
      <c r="BQ25">
        <f>LOG(Table1_1__2[[#This Row],[N-MeFOSA]])</f>
        <v>-1.3010299956639813</v>
      </c>
      <c r="BR25">
        <f>LOG(Table1_1__2[[#This Row],[N-MeFOSAA]])</f>
        <v>-1.3010299956639813</v>
      </c>
      <c r="BS25">
        <f>LOG(Table1_1__2[[#This Row],[N-EtFOSAA]])</f>
        <v>-1.3010299956639813</v>
      </c>
      <c r="BT25">
        <f>LOG(Table1_1__2[[#This Row],[ADONA]])</f>
        <v>-0.69897000433601875</v>
      </c>
      <c r="BU25">
        <f>LOG(Table1_1__2[[#This Row],[3:3 FTCA]])</f>
        <v>-0.6020599913279624</v>
      </c>
      <c r="BV25">
        <f>LOG(Table1_1__2[[#This Row],[5:3 FTCA]])</f>
        <v>9.691001300805642E-2</v>
      </c>
      <c r="BW25">
        <f>LOG(Table1_1__2[[#This Row],[7:3 FTCA]])</f>
        <v>9.691001300805642E-2</v>
      </c>
      <c r="BX25">
        <f>LOG(Table1_1__2[[#This Row],[N-EtFOSA]])</f>
        <v>-1.3010299956639813</v>
      </c>
      <c r="BY25">
        <f>LOG(Table1_1__2[[#This Row],[N-MeFOSE]])</f>
        <v>-0.3010299956639812</v>
      </c>
      <c r="BZ25">
        <f>LOG(Table1_1__2[[#This Row],[N-EtFOSE]])</f>
        <v>-0.3010299956639812</v>
      </c>
      <c r="CA25">
        <f>LOG(Table1_1__2[[#This Row],[HFPO-DA]])</f>
        <v>-0.52287874528033762</v>
      </c>
      <c r="CB25">
        <f>LOG(Table1_1__2[[#This Row],[PFMBA]])</f>
        <v>-1</v>
      </c>
      <c r="CC25">
        <f>LOG(Table1_1__2[[#This Row],[NFDHA]])</f>
        <v>-1</v>
      </c>
      <c r="CD25">
        <f>LOG(Table1_1__2[[#This Row],[9Cl-PF3ONS]])</f>
        <v>-0.69897000433601875</v>
      </c>
      <c r="CE25">
        <f>LOG(Table1_1__2[[#This Row],[11Cl-PF3OUdS]])</f>
        <v>-0.69897000433601875</v>
      </c>
      <c r="CF25">
        <f>LOG(Table1_1__2[[#This Row],[PFEESA]])</f>
        <v>-1</v>
      </c>
      <c r="CG25">
        <f>LOG(Table1_1__2[[#This Row],[PFMPA]])</f>
        <v>-1</v>
      </c>
    </row>
    <row r="26" spans="1:85" x14ac:dyDescent="0.3">
      <c r="A26" s="2" t="s">
        <v>81</v>
      </c>
      <c r="B26" s="3">
        <v>44312.5</v>
      </c>
      <c r="C26" s="2" t="s">
        <v>26</v>
      </c>
      <c r="D26" s="2" t="s">
        <v>27</v>
      </c>
      <c r="E26">
        <v>0.2</v>
      </c>
      <c r="F26">
        <v>0.1</v>
      </c>
      <c r="G26">
        <v>9.1999999999999998E-2</v>
      </c>
      <c r="H26">
        <v>0.09</v>
      </c>
      <c r="I26">
        <v>0.45</v>
      </c>
      <c r="J26">
        <v>0.05</v>
      </c>
      <c r="K26">
        <v>0.05</v>
      </c>
      <c r="L26">
        <v>0.05</v>
      </c>
      <c r="M26">
        <v>0.05</v>
      </c>
      <c r="N26">
        <v>0.05</v>
      </c>
      <c r="O26">
        <v>0.05</v>
      </c>
      <c r="P26">
        <v>0.05</v>
      </c>
      <c r="Q26">
        <v>0.05</v>
      </c>
      <c r="R26">
        <v>0.25</v>
      </c>
      <c r="S26">
        <v>0.05</v>
      </c>
      <c r="T26">
        <v>0.88</v>
      </c>
      <c r="U26">
        <v>0.05</v>
      </c>
      <c r="V26">
        <v>0.05</v>
      </c>
      <c r="W26">
        <v>0.05</v>
      </c>
      <c r="X26">
        <v>0.2</v>
      </c>
      <c r="Y26">
        <v>0.4</v>
      </c>
      <c r="Z26">
        <v>0.4</v>
      </c>
      <c r="AA26">
        <v>0.09</v>
      </c>
      <c r="AB26">
        <v>0.05</v>
      </c>
      <c r="AC26">
        <v>0.05</v>
      </c>
      <c r="AD26">
        <v>0.05</v>
      </c>
      <c r="AE26">
        <v>0.2</v>
      </c>
      <c r="AF26">
        <v>0.25</v>
      </c>
      <c r="AG26">
        <v>1.25</v>
      </c>
      <c r="AH26">
        <v>1.25</v>
      </c>
      <c r="AI26">
        <v>0.05</v>
      </c>
      <c r="AJ26">
        <v>0.5</v>
      </c>
      <c r="AK26">
        <v>0.5</v>
      </c>
      <c r="AL26">
        <v>0.3</v>
      </c>
      <c r="AM26">
        <v>0.1</v>
      </c>
      <c r="AN26">
        <v>0.1</v>
      </c>
      <c r="AO26">
        <v>0.2</v>
      </c>
      <c r="AP26">
        <v>0.2</v>
      </c>
      <c r="AQ26">
        <v>0.1</v>
      </c>
      <c r="AR26">
        <v>0.1</v>
      </c>
      <c r="AS26">
        <f>SUM(Table1_1__2[[#This Row],[PFBA]:[PFMPA]])</f>
        <v>9.0019999999999971</v>
      </c>
      <c r="AT26">
        <f>LOG(Table1_1__2[[#This Row],[PFBA]])</f>
        <v>-0.69897000433601875</v>
      </c>
      <c r="AU26">
        <f>LOG(Table1_1__2[[#This Row],[PFPeA]])</f>
        <v>-1</v>
      </c>
      <c r="AV26">
        <f>LOG(Table1_1__2[[#This Row],[PFHxA]])</f>
        <v>-1.0362121726544447</v>
      </c>
      <c r="AW26">
        <f>LOG(Table1_1__2[[#This Row],[PFHpA]])</f>
        <v>-1.0457574905606752</v>
      </c>
      <c r="AX26">
        <f>LOG(Table1_1__2[[#This Row],[PFOA]])</f>
        <v>-0.34678748622465633</v>
      </c>
      <c r="AY26">
        <f>LOG(Table1_1__2[[#This Row],[PFNA]])</f>
        <v>-1.3010299956639813</v>
      </c>
      <c r="AZ26">
        <f>LOG(Table1_1__2[[#This Row],[PFDA]])</f>
        <v>-1.3010299956639813</v>
      </c>
      <c r="BA26">
        <f>LOG(Table1_1__2[[#This Row],[PFUnA]])</f>
        <v>-1.3010299956639813</v>
      </c>
      <c r="BB26">
        <f>LOG(Table1_1__2[[#This Row],[PFDoA]])</f>
        <v>-1.3010299956639813</v>
      </c>
      <c r="BC26">
        <f>LOG(Table1_1__2[[#This Row],[PFTrDA]])</f>
        <v>-1.3010299956639813</v>
      </c>
      <c r="BD26">
        <f>LOG(Table1_1__2[[#This Row],[PFTeDA]])</f>
        <v>-1.3010299956639813</v>
      </c>
      <c r="BE26">
        <f>LOG(Table1_1__2[[#This Row],[PFBS]])</f>
        <v>-1.3010299956639813</v>
      </c>
      <c r="BF26">
        <f>LOG(Table1_1__2[[#This Row],[PFPeS]])</f>
        <v>-1.3010299956639813</v>
      </c>
      <c r="BG26">
        <f>LOG(Table1_1__2[[#This Row],[PFHxS]])</f>
        <v>-0.6020599913279624</v>
      </c>
      <c r="BH26">
        <f>LOG(Table1_1__2[[#This Row],[PFHpS]])</f>
        <v>-1.3010299956639813</v>
      </c>
      <c r="BI26">
        <f>LOG(Table1_1__2[[#This Row],[PFOS]])</f>
        <v>-5.551732784983137E-2</v>
      </c>
      <c r="BJ26">
        <f>LOG(Table1_1__2[[#This Row],[PFNS]])</f>
        <v>-1.3010299956639813</v>
      </c>
      <c r="BK26">
        <f>LOG(Table1_1__2[[#This Row],[PFDS]])</f>
        <v>-1.3010299956639813</v>
      </c>
      <c r="BL26">
        <f>LOG(Table1_1__2[[#This Row],[PFDoS]])</f>
        <v>-1.3010299956639813</v>
      </c>
      <c r="BM26">
        <f>LOG(Table1_1__2[[#This Row],[4:2 FTS]])</f>
        <v>-0.69897000433601875</v>
      </c>
      <c r="BN26">
        <f>LOG(Table1_1__2[[#This Row],[6:2 FTS]])</f>
        <v>-0.3979400086720376</v>
      </c>
      <c r="BO26">
        <f>LOG(Table1_1__2[[#This Row],[8:2 FTS]])</f>
        <v>-0.3979400086720376</v>
      </c>
      <c r="BP26">
        <f>LOG(Table1_1__2[[#This Row],[FOSA]])</f>
        <v>-1.0457574905606752</v>
      </c>
      <c r="BQ26">
        <f>LOG(Table1_1__2[[#This Row],[N-MeFOSA]])</f>
        <v>-1.3010299956639813</v>
      </c>
      <c r="BR26">
        <f>LOG(Table1_1__2[[#This Row],[N-MeFOSAA]])</f>
        <v>-1.3010299956639813</v>
      </c>
      <c r="BS26">
        <f>LOG(Table1_1__2[[#This Row],[N-EtFOSAA]])</f>
        <v>-1.3010299956639813</v>
      </c>
      <c r="BT26">
        <f>LOG(Table1_1__2[[#This Row],[ADONA]])</f>
        <v>-0.69897000433601875</v>
      </c>
      <c r="BU26">
        <f>LOG(Table1_1__2[[#This Row],[3:3 FTCA]])</f>
        <v>-0.6020599913279624</v>
      </c>
      <c r="BV26">
        <f>LOG(Table1_1__2[[#This Row],[5:3 FTCA]])</f>
        <v>9.691001300805642E-2</v>
      </c>
      <c r="BW26">
        <f>LOG(Table1_1__2[[#This Row],[7:3 FTCA]])</f>
        <v>9.691001300805642E-2</v>
      </c>
      <c r="BX26">
        <f>LOG(Table1_1__2[[#This Row],[N-EtFOSA]])</f>
        <v>-1.3010299956639813</v>
      </c>
      <c r="BY26">
        <f>LOG(Table1_1__2[[#This Row],[N-MeFOSE]])</f>
        <v>-0.3010299956639812</v>
      </c>
      <c r="BZ26">
        <f>LOG(Table1_1__2[[#This Row],[N-EtFOSE]])</f>
        <v>-0.3010299956639812</v>
      </c>
      <c r="CA26">
        <f>LOG(Table1_1__2[[#This Row],[HFPO-DA]])</f>
        <v>-0.52287874528033762</v>
      </c>
      <c r="CB26">
        <f>LOG(Table1_1__2[[#This Row],[PFMBA]])</f>
        <v>-1</v>
      </c>
      <c r="CC26">
        <f>LOG(Table1_1__2[[#This Row],[NFDHA]])</f>
        <v>-1</v>
      </c>
      <c r="CD26">
        <f>LOG(Table1_1__2[[#This Row],[9Cl-PF3ONS]])</f>
        <v>-0.69897000433601875</v>
      </c>
      <c r="CE26">
        <f>LOG(Table1_1__2[[#This Row],[11Cl-PF3OUdS]])</f>
        <v>-0.69897000433601875</v>
      </c>
      <c r="CF26">
        <f>LOG(Table1_1__2[[#This Row],[PFEESA]])</f>
        <v>-1</v>
      </c>
      <c r="CG26">
        <f>LOG(Table1_1__2[[#This Row],[PFMPA]])</f>
        <v>-1</v>
      </c>
    </row>
    <row r="27" spans="1:85" x14ac:dyDescent="0.3">
      <c r="A27" s="2" t="s">
        <v>82</v>
      </c>
      <c r="B27" s="3">
        <v>44312.5</v>
      </c>
      <c r="C27" s="2" t="s">
        <v>31</v>
      </c>
      <c r="D27" s="2" t="s">
        <v>27</v>
      </c>
      <c r="E27">
        <v>0.2</v>
      </c>
      <c r="F27">
        <v>0.1</v>
      </c>
      <c r="G27">
        <v>0.09</v>
      </c>
      <c r="H27">
        <v>0.09</v>
      </c>
      <c r="I27">
        <v>0.12</v>
      </c>
      <c r="J27">
        <v>0.05</v>
      </c>
      <c r="K27">
        <v>0.05</v>
      </c>
      <c r="L27">
        <v>0.05</v>
      </c>
      <c r="M27">
        <v>5.3999999999999999E-2</v>
      </c>
      <c r="N27">
        <v>0.05</v>
      </c>
      <c r="O27">
        <v>0.05</v>
      </c>
      <c r="P27">
        <v>0.05</v>
      </c>
      <c r="Q27">
        <v>0.05</v>
      </c>
      <c r="R27">
        <v>0.28999999999999998</v>
      </c>
      <c r="S27">
        <v>0.05</v>
      </c>
      <c r="T27">
        <v>1.9</v>
      </c>
      <c r="U27">
        <v>0.05</v>
      </c>
      <c r="V27">
        <v>0.05</v>
      </c>
      <c r="W27">
        <v>0.05</v>
      </c>
      <c r="X27">
        <v>0.2</v>
      </c>
      <c r="Y27">
        <v>0.4</v>
      </c>
      <c r="Z27">
        <v>0.4</v>
      </c>
      <c r="AA27">
        <v>0.13</v>
      </c>
      <c r="AB27">
        <v>0.05</v>
      </c>
      <c r="AC27">
        <v>0.05</v>
      </c>
      <c r="AD27">
        <v>0.05</v>
      </c>
      <c r="AE27">
        <v>0.2</v>
      </c>
      <c r="AF27">
        <v>0.25</v>
      </c>
      <c r="AG27">
        <v>1.25</v>
      </c>
      <c r="AH27">
        <v>1.25</v>
      </c>
      <c r="AI27">
        <v>0.05</v>
      </c>
      <c r="AJ27">
        <v>0.5</v>
      </c>
      <c r="AK27">
        <v>0.5</v>
      </c>
      <c r="AL27">
        <v>0.3</v>
      </c>
      <c r="AM27">
        <v>0.1</v>
      </c>
      <c r="AN27">
        <v>0.1</v>
      </c>
      <c r="AO27">
        <v>0.2</v>
      </c>
      <c r="AP27">
        <v>0.2</v>
      </c>
      <c r="AQ27">
        <v>0.1</v>
      </c>
      <c r="AR27">
        <v>0.1</v>
      </c>
      <c r="AS27">
        <f>SUM(Table1_1__2[[#This Row],[PFBA]:[PFMPA]])</f>
        <v>9.7739999999999974</v>
      </c>
      <c r="AT27">
        <f>LOG(Table1_1__2[[#This Row],[PFBA]])</f>
        <v>-0.69897000433601875</v>
      </c>
      <c r="AU27">
        <f>LOG(Table1_1__2[[#This Row],[PFPeA]])</f>
        <v>-1</v>
      </c>
      <c r="AV27">
        <f>LOG(Table1_1__2[[#This Row],[PFHxA]])</f>
        <v>-1.0457574905606752</v>
      </c>
      <c r="AW27">
        <f>LOG(Table1_1__2[[#This Row],[PFHpA]])</f>
        <v>-1.0457574905606752</v>
      </c>
      <c r="AX27">
        <f>LOG(Table1_1__2[[#This Row],[PFOA]])</f>
        <v>-0.92081875395237522</v>
      </c>
      <c r="AY27">
        <f>LOG(Table1_1__2[[#This Row],[PFNA]])</f>
        <v>-1.3010299956639813</v>
      </c>
      <c r="AZ27">
        <f>LOG(Table1_1__2[[#This Row],[PFDA]])</f>
        <v>-1.3010299956639813</v>
      </c>
      <c r="BA27">
        <f>LOG(Table1_1__2[[#This Row],[PFUnA]])</f>
        <v>-1.3010299956639813</v>
      </c>
      <c r="BB27">
        <f>LOG(Table1_1__2[[#This Row],[PFDoA]])</f>
        <v>-1.2676062401770316</v>
      </c>
      <c r="BC27">
        <f>LOG(Table1_1__2[[#This Row],[PFTrDA]])</f>
        <v>-1.3010299956639813</v>
      </c>
      <c r="BD27">
        <f>LOG(Table1_1__2[[#This Row],[PFTeDA]])</f>
        <v>-1.3010299956639813</v>
      </c>
      <c r="BE27">
        <f>LOG(Table1_1__2[[#This Row],[PFBS]])</f>
        <v>-1.3010299956639813</v>
      </c>
      <c r="BF27">
        <f>LOG(Table1_1__2[[#This Row],[PFPeS]])</f>
        <v>-1.3010299956639813</v>
      </c>
      <c r="BG27">
        <f>LOG(Table1_1__2[[#This Row],[PFHxS]])</f>
        <v>-0.53760200210104392</v>
      </c>
      <c r="BH27">
        <f>LOG(Table1_1__2[[#This Row],[PFHpS]])</f>
        <v>-1.3010299956639813</v>
      </c>
      <c r="BI27">
        <f>LOG(Table1_1__2[[#This Row],[PFOS]])</f>
        <v>0.27875360095282892</v>
      </c>
      <c r="BJ27">
        <f>LOG(Table1_1__2[[#This Row],[PFNS]])</f>
        <v>-1.3010299956639813</v>
      </c>
      <c r="BK27">
        <f>LOG(Table1_1__2[[#This Row],[PFDS]])</f>
        <v>-1.3010299956639813</v>
      </c>
      <c r="BL27">
        <f>LOG(Table1_1__2[[#This Row],[PFDoS]])</f>
        <v>-1.3010299956639813</v>
      </c>
      <c r="BM27">
        <f>LOG(Table1_1__2[[#This Row],[4:2 FTS]])</f>
        <v>-0.69897000433601875</v>
      </c>
      <c r="BN27">
        <f>LOG(Table1_1__2[[#This Row],[6:2 FTS]])</f>
        <v>-0.3979400086720376</v>
      </c>
      <c r="BO27">
        <f>LOG(Table1_1__2[[#This Row],[8:2 FTS]])</f>
        <v>-0.3979400086720376</v>
      </c>
      <c r="BP27">
        <f>LOG(Table1_1__2[[#This Row],[FOSA]])</f>
        <v>-0.88605664769316317</v>
      </c>
      <c r="BQ27">
        <f>LOG(Table1_1__2[[#This Row],[N-MeFOSA]])</f>
        <v>-1.3010299956639813</v>
      </c>
      <c r="BR27">
        <f>LOG(Table1_1__2[[#This Row],[N-MeFOSAA]])</f>
        <v>-1.3010299956639813</v>
      </c>
      <c r="BS27">
        <f>LOG(Table1_1__2[[#This Row],[N-EtFOSAA]])</f>
        <v>-1.3010299956639813</v>
      </c>
      <c r="BT27">
        <f>LOG(Table1_1__2[[#This Row],[ADONA]])</f>
        <v>-0.69897000433601875</v>
      </c>
      <c r="BU27">
        <f>LOG(Table1_1__2[[#This Row],[3:3 FTCA]])</f>
        <v>-0.6020599913279624</v>
      </c>
      <c r="BV27">
        <f>LOG(Table1_1__2[[#This Row],[5:3 FTCA]])</f>
        <v>9.691001300805642E-2</v>
      </c>
      <c r="BW27">
        <f>LOG(Table1_1__2[[#This Row],[7:3 FTCA]])</f>
        <v>9.691001300805642E-2</v>
      </c>
      <c r="BX27">
        <f>LOG(Table1_1__2[[#This Row],[N-EtFOSA]])</f>
        <v>-1.3010299956639813</v>
      </c>
      <c r="BY27">
        <f>LOG(Table1_1__2[[#This Row],[N-MeFOSE]])</f>
        <v>-0.3010299956639812</v>
      </c>
      <c r="BZ27">
        <f>LOG(Table1_1__2[[#This Row],[N-EtFOSE]])</f>
        <v>-0.3010299956639812</v>
      </c>
      <c r="CA27">
        <f>LOG(Table1_1__2[[#This Row],[HFPO-DA]])</f>
        <v>-0.52287874528033762</v>
      </c>
      <c r="CB27">
        <f>LOG(Table1_1__2[[#This Row],[PFMBA]])</f>
        <v>-1</v>
      </c>
      <c r="CC27">
        <f>LOG(Table1_1__2[[#This Row],[NFDHA]])</f>
        <v>-1</v>
      </c>
      <c r="CD27">
        <f>LOG(Table1_1__2[[#This Row],[9Cl-PF3ONS]])</f>
        <v>-0.69897000433601875</v>
      </c>
      <c r="CE27">
        <f>LOG(Table1_1__2[[#This Row],[11Cl-PF3OUdS]])</f>
        <v>-0.69897000433601875</v>
      </c>
      <c r="CF27">
        <f>LOG(Table1_1__2[[#This Row],[PFEESA]])</f>
        <v>-1</v>
      </c>
      <c r="CG27">
        <f>LOG(Table1_1__2[[#This Row],[PFMPA]])</f>
        <v>-1</v>
      </c>
    </row>
    <row r="28" spans="1:85" x14ac:dyDescent="0.3">
      <c r="A28" s="2" t="s">
        <v>83</v>
      </c>
      <c r="B28" s="3">
        <v>44312.5</v>
      </c>
      <c r="C28" s="2" t="s">
        <v>33</v>
      </c>
      <c r="D28" s="2" t="s">
        <v>27</v>
      </c>
      <c r="E28">
        <v>0.2</v>
      </c>
      <c r="F28">
        <v>0.1</v>
      </c>
      <c r="G28">
        <v>0.09</v>
      </c>
      <c r="H28">
        <v>0.09</v>
      </c>
      <c r="I28">
        <v>0.15</v>
      </c>
      <c r="J28">
        <v>0.05</v>
      </c>
      <c r="K28">
        <v>0.05</v>
      </c>
      <c r="L28">
        <v>0.05</v>
      </c>
      <c r="M28">
        <v>0.05</v>
      </c>
      <c r="N28">
        <v>0.05</v>
      </c>
      <c r="O28">
        <v>0.05</v>
      </c>
      <c r="P28">
        <v>0.05</v>
      </c>
      <c r="Q28">
        <v>0.05</v>
      </c>
      <c r="R28">
        <v>0.27</v>
      </c>
      <c r="S28">
        <v>0.05</v>
      </c>
      <c r="T28">
        <v>1.4</v>
      </c>
      <c r="U28">
        <v>0.05</v>
      </c>
      <c r="V28">
        <v>0.05</v>
      </c>
      <c r="W28">
        <v>0.05</v>
      </c>
      <c r="X28">
        <v>0.2</v>
      </c>
      <c r="Y28">
        <v>0.4</v>
      </c>
      <c r="Z28">
        <v>0.4</v>
      </c>
      <c r="AA28">
        <v>9.2999999999999999E-2</v>
      </c>
      <c r="AB28">
        <v>0.05</v>
      </c>
      <c r="AC28">
        <v>0.05</v>
      </c>
      <c r="AD28">
        <v>0.05</v>
      </c>
      <c r="AE28">
        <v>0.2</v>
      </c>
      <c r="AF28">
        <v>0.25</v>
      </c>
      <c r="AG28">
        <v>1.25</v>
      </c>
      <c r="AH28">
        <v>1.25</v>
      </c>
      <c r="AI28">
        <v>0.05</v>
      </c>
      <c r="AJ28">
        <v>0.5</v>
      </c>
      <c r="AK28">
        <v>0.5</v>
      </c>
      <c r="AL28">
        <v>0.3</v>
      </c>
      <c r="AM28">
        <v>0.1</v>
      </c>
      <c r="AN28">
        <v>0.1</v>
      </c>
      <c r="AO28">
        <v>0.2</v>
      </c>
      <c r="AP28">
        <v>0.2</v>
      </c>
      <c r="AQ28">
        <v>0.1</v>
      </c>
      <c r="AR28">
        <v>0.1</v>
      </c>
      <c r="AS28">
        <f>SUM(Table1_1__2[[#This Row],[PFBA]:[PFMPA]])</f>
        <v>9.2429999999999968</v>
      </c>
      <c r="AT28">
        <f>LOG(Table1_1__2[[#This Row],[PFBA]])</f>
        <v>-0.69897000433601875</v>
      </c>
      <c r="AU28">
        <f>LOG(Table1_1__2[[#This Row],[PFPeA]])</f>
        <v>-1</v>
      </c>
      <c r="AV28">
        <f>LOG(Table1_1__2[[#This Row],[PFHxA]])</f>
        <v>-1.0457574905606752</v>
      </c>
      <c r="AW28">
        <f>LOG(Table1_1__2[[#This Row],[PFHpA]])</f>
        <v>-1.0457574905606752</v>
      </c>
      <c r="AX28">
        <f>LOG(Table1_1__2[[#This Row],[PFOA]])</f>
        <v>-0.82390874094431876</v>
      </c>
      <c r="AY28">
        <f>LOG(Table1_1__2[[#This Row],[PFNA]])</f>
        <v>-1.3010299956639813</v>
      </c>
      <c r="AZ28">
        <f>LOG(Table1_1__2[[#This Row],[PFDA]])</f>
        <v>-1.3010299956639813</v>
      </c>
      <c r="BA28">
        <f>LOG(Table1_1__2[[#This Row],[PFUnA]])</f>
        <v>-1.3010299956639813</v>
      </c>
      <c r="BB28">
        <f>LOG(Table1_1__2[[#This Row],[PFDoA]])</f>
        <v>-1.3010299956639813</v>
      </c>
      <c r="BC28">
        <f>LOG(Table1_1__2[[#This Row],[PFTrDA]])</f>
        <v>-1.3010299956639813</v>
      </c>
      <c r="BD28">
        <f>LOG(Table1_1__2[[#This Row],[PFTeDA]])</f>
        <v>-1.3010299956639813</v>
      </c>
      <c r="BE28">
        <f>LOG(Table1_1__2[[#This Row],[PFBS]])</f>
        <v>-1.3010299956639813</v>
      </c>
      <c r="BF28">
        <f>LOG(Table1_1__2[[#This Row],[PFPeS]])</f>
        <v>-1.3010299956639813</v>
      </c>
      <c r="BG28">
        <f>LOG(Table1_1__2[[#This Row],[PFHxS]])</f>
        <v>-0.56863623584101264</v>
      </c>
      <c r="BH28">
        <f>LOG(Table1_1__2[[#This Row],[PFHpS]])</f>
        <v>-1.3010299956639813</v>
      </c>
      <c r="BI28">
        <f>LOG(Table1_1__2[[#This Row],[PFOS]])</f>
        <v>0.14612803567823801</v>
      </c>
      <c r="BJ28">
        <f>LOG(Table1_1__2[[#This Row],[PFNS]])</f>
        <v>-1.3010299956639813</v>
      </c>
      <c r="BK28">
        <f>LOG(Table1_1__2[[#This Row],[PFDS]])</f>
        <v>-1.3010299956639813</v>
      </c>
      <c r="BL28">
        <f>LOG(Table1_1__2[[#This Row],[PFDoS]])</f>
        <v>-1.3010299956639813</v>
      </c>
      <c r="BM28">
        <f>LOG(Table1_1__2[[#This Row],[4:2 FTS]])</f>
        <v>-0.69897000433601875</v>
      </c>
      <c r="BN28">
        <f>LOG(Table1_1__2[[#This Row],[6:2 FTS]])</f>
        <v>-0.3979400086720376</v>
      </c>
      <c r="BO28">
        <f>LOG(Table1_1__2[[#This Row],[8:2 FTS]])</f>
        <v>-0.3979400086720376</v>
      </c>
      <c r="BP28">
        <f>LOG(Table1_1__2[[#This Row],[FOSA]])</f>
        <v>-1.031517051446065</v>
      </c>
      <c r="BQ28">
        <f>LOG(Table1_1__2[[#This Row],[N-MeFOSA]])</f>
        <v>-1.3010299956639813</v>
      </c>
      <c r="BR28">
        <f>LOG(Table1_1__2[[#This Row],[N-MeFOSAA]])</f>
        <v>-1.3010299956639813</v>
      </c>
      <c r="BS28">
        <f>LOG(Table1_1__2[[#This Row],[N-EtFOSAA]])</f>
        <v>-1.3010299956639813</v>
      </c>
      <c r="BT28">
        <f>LOG(Table1_1__2[[#This Row],[ADONA]])</f>
        <v>-0.69897000433601875</v>
      </c>
      <c r="BU28">
        <f>LOG(Table1_1__2[[#This Row],[3:3 FTCA]])</f>
        <v>-0.6020599913279624</v>
      </c>
      <c r="BV28">
        <f>LOG(Table1_1__2[[#This Row],[5:3 FTCA]])</f>
        <v>9.691001300805642E-2</v>
      </c>
      <c r="BW28">
        <f>LOG(Table1_1__2[[#This Row],[7:3 FTCA]])</f>
        <v>9.691001300805642E-2</v>
      </c>
      <c r="BX28">
        <f>LOG(Table1_1__2[[#This Row],[N-EtFOSA]])</f>
        <v>-1.3010299956639813</v>
      </c>
      <c r="BY28">
        <f>LOG(Table1_1__2[[#This Row],[N-MeFOSE]])</f>
        <v>-0.3010299956639812</v>
      </c>
      <c r="BZ28">
        <f>LOG(Table1_1__2[[#This Row],[N-EtFOSE]])</f>
        <v>-0.3010299956639812</v>
      </c>
      <c r="CA28">
        <f>LOG(Table1_1__2[[#This Row],[HFPO-DA]])</f>
        <v>-0.52287874528033762</v>
      </c>
      <c r="CB28">
        <f>LOG(Table1_1__2[[#This Row],[PFMBA]])</f>
        <v>-1</v>
      </c>
      <c r="CC28">
        <f>LOG(Table1_1__2[[#This Row],[NFDHA]])</f>
        <v>-1</v>
      </c>
      <c r="CD28">
        <f>LOG(Table1_1__2[[#This Row],[9Cl-PF3ONS]])</f>
        <v>-0.69897000433601875</v>
      </c>
      <c r="CE28">
        <f>LOG(Table1_1__2[[#This Row],[11Cl-PF3OUdS]])</f>
        <v>-0.69897000433601875</v>
      </c>
      <c r="CF28">
        <f>LOG(Table1_1__2[[#This Row],[PFEESA]])</f>
        <v>-1</v>
      </c>
      <c r="CG28">
        <f>LOG(Table1_1__2[[#This Row],[PFMPA]])</f>
        <v>-1</v>
      </c>
    </row>
    <row r="29" spans="1:85" x14ac:dyDescent="0.3">
      <c r="A29" s="2" t="s">
        <v>84</v>
      </c>
      <c r="B29" s="3">
        <v>44312.5</v>
      </c>
      <c r="C29" s="2" t="s">
        <v>29</v>
      </c>
      <c r="D29" s="2" t="s">
        <v>27</v>
      </c>
      <c r="E29">
        <v>0.2</v>
      </c>
      <c r="F29">
        <v>0.1</v>
      </c>
      <c r="G29">
        <v>0.09</v>
      </c>
      <c r="H29">
        <v>0.09</v>
      </c>
      <c r="I29">
        <v>0.14000000000000001</v>
      </c>
      <c r="J29">
        <v>0.05</v>
      </c>
      <c r="K29">
        <v>0.05</v>
      </c>
      <c r="L29">
        <v>0.05</v>
      </c>
      <c r="M29">
        <v>0.23499999999999999</v>
      </c>
      <c r="N29">
        <v>0.23499999999999999</v>
      </c>
      <c r="O29">
        <v>0.23499999999999999</v>
      </c>
      <c r="P29">
        <v>0.05</v>
      </c>
      <c r="Q29">
        <v>0.05</v>
      </c>
      <c r="R29">
        <v>0.22</v>
      </c>
      <c r="S29">
        <v>0.05</v>
      </c>
      <c r="T29">
        <v>0.87</v>
      </c>
      <c r="U29">
        <v>0.05</v>
      </c>
      <c r="V29">
        <v>0.05</v>
      </c>
      <c r="W29">
        <v>0.05</v>
      </c>
      <c r="X29">
        <v>0.2</v>
      </c>
      <c r="Y29">
        <v>0.4</v>
      </c>
      <c r="Z29">
        <v>0.4</v>
      </c>
      <c r="AA29">
        <v>0.09</v>
      </c>
      <c r="AB29">
        <v>0.05</v>
      </c>
      <c r="AC29">
        <v>0.05</v>
      </c>
      <c r="AD29">
        <v>0.05</v>
      </c>
      <c r="AE29">
        <v>0.2</v>
      </c>
      <c r="AF29">
        <v>0.25</v>
      </c>
      <c r="AG29">
        <v>1.25</v>
      </c>
      <c r="AH29">
        <v>1.25</v>
      </c>
      <c r="AI29">
        <v>0.05</v>
      </c>
      <c r="AJ29">
        <v>0.5</v>
      </c>
      <c r="AK29">
        <v>0.5</v>
      </c>
      <c r="AL29">
        <v>0.3</v>
      </c>
      <c r="AM29">
        <v>0.1</v>
      </c>
      <c r="AN29">
        <v>0.1</v>
      </c>
      <c r="AO29">
        <v>0.2</v>
      </c>
      <c r="AP29">
        <v>0.2</v>
      </c>
      <c r="AQ29">
        <v>0.1</v>
      </c>
      <c r="AR29">
        <v>0.1</v>
      </c>
      <c r="AS29">
        <f>SUM(Table1_1__2[[#This Row],[PFBA]:[PFMPA]])</f>
        <v>9.2049999999999983</v>
      </c>
      <c r="AT29">
        <f>LOG(Table1_1__2[[#This Row],[PFBA]])</f>
        <v>-0.69897000433601875</v>
      </c>
      <c r="AU29">
        <f>LOG(Table1_1__2[[#This Row],[PFPeA]])</f>
        <v>-1</v>
      </c>
      <c r="AV29">
        <f>LOG(Table1_1__2[[#This Row],[PFHxA]])</f>
        <v>-1.0457574905606752</v>
      </c>
      <c r="AW29">
        <f>LOG(Table1_1__2[[#This Row],[PFHpA]])</f>
        <v>-1.0457574905606752</v>
      </c>
      <c r="AX29">
        <f>LOG(Table1_1__2[[#This Row],[PFOA]])</f>
        <v>-0.85387196432176193</v>
      </c>
      <c r="AY29">
        <f>LOG(Table1_1__2[[#This Row],[PFNA]])</f>
        <v>-1.3010299956639813</v>
      </c>
      <c r="AZ29">
        <f>LOG(Table1_1__2[[#This Row],[PFDA]])</f>
        <v>-1.3010299956639813</v>
      </c>
      <c r="BA29">
        <f>LOG(Table1_1__2[[#This Row],[PFUnA]])</f>
        <v>-1.3010299956639813</v>
      </c>
      <c r="BB29">
        <f>LOG(Table1_1__2[[#This Row],[PFDoA]])</f>
        <v>-0.62893213772826373</v>
      </c>
      <c r="BC29">
        <f>LOG(Table1_1__2[[#This Row],[PFTrDA]])</f>
        <v>-0.62893213772826373</v>
      </c>
      <c r="BD29">
        <f>LOG(Table1_1__2[[#This Row],[PFTeDA]])</f>
        <v>-0.62893213772826373</v>
      </c>
      <c r="BE29">
        <f>LOG(Table1_1__2[[#This Row],[PFBS]])</f>
        <v>-1.3010299956639813</v>
      </c>
      <c r="BF29">
        <f>LOG(Table1_1__2[[#This Row],[PFPeS]])</f>
        <v>-1.3010299956639813</v>
      </c>
      <c r="BG29">
        <f>LOG(Table1_1__2[[#This Row],[PFHxS]])</f>
        <v>-0.65757731917779372</v>
      </c>
      <c r="BH29">
        <f>LOG(Table1_1__2[[#This Row],[PFHpS]])</f>
        <v>-1.3010299956639813</v>
      </c>
      <c r="BI29">
        <f>LOG(Table1_1__2[[#This Row],[PFOS]])</f>
        <v>-6.0480747381381476E-2</v>
      </c>
      <c r="BJ29">
        <f>LOG(Table1_1__2[[#This Row],[PFNS]])</f>
        <v>-1.3010299956639813</v>
      </c>
      <c r="BK29">
        <f>LOG(Table1_1__2[[#This Row],[PFDS]])</f>
        <v>-1.3010299956639813</v>
      </c>
      <c r="BL29">
        <f>LOG(Table1_1__2[[#This Row],[PFDoS]])</f>
        <v>-1.3010299956639813</v>
      </c>
      <c r="BM29">
        <f>LOG(Table1_1__2[[#This Row],[4:2 FTS]])</f>
        <v>-0.69897000433601875</v>
      </c>
      <c r="BN29">
        <f>LOG(Table1_1__2[[#This Row],[6:2 FTS]])</f>
        <v>-0.3979400086720376</v>
      </c>
      <c r="BO29">
        <f>LOG(Table1_1__2[[#This Row],[8:2 FTS]])</f>
        <v>-0.3979400086720376</v>
      </c>
      <c r="BP29">
        <f>LOG(Table1_1__2[[#This Row],[FOSA]])</f>
        <v>-1.0457574905606752</v>
      </c>
      <c r="BQ29">
        <f>LOG(Table1_1__2[[#This Row],[N-MeFOSA]])</f>
        <v>-1.3010299956639813</v>
      </c>
      <c r="BR29">
        <f>LOG(Table1_1__2[[#This Row],[N-MeFOSAA]])</f>
        <v>-1.3010299956639813</v>
      </c>
      <c r="BS29">
        <f>LOG(Table1_1__2[[#This Row],[N-EtFOSAA]])</f>
        <v>-1.3010299956639813</v>
      </c>
      <c r="BT29">
        <f>LOG(Table1_1__2[[#This Row],[ADONA]])</f>
        <v>-0.69897000433601875</v>
      </c>
      <c r="BU29">
        <f>LOG(Table1_1__2[[#This Row],[3:3 FTCA]])</f>
        <v>-0.6020599913279624</v>
      </c>
      <c r="BV29">
        <f>LOG(Table1_1__2[[#This Row],[5:3 FTCA]])</f>
        <v>9.691001300805642E-2</v>
      </c>
      <c r="BW29">
        <f>LOG(Table1_1__2[[#This Row],[7:3 FTCA]])</f>
        <v>9.691001300805642E-2</v>
      </c>
      <c r="BX29">
        <f>LOG(Table1_1__2[[#This Row],[N-EtFOSA]])</f>
        <v>-1.3010299956639813</v>
      </c>
      <c r="BY29">
        <f>LOG(Table1_1__2[[#This Row],[N-MeFOSE]])</f>
        <v>-0.3010299956639812</v>
      </c>
      <c r="BZ29">
        <f>LOG(Table1_1__2[[#This Row],[N-EtFOSE]])</f>
        <v>-0.3010299956639812</v>
      </c>
      <c r="CA29">
        <f>LOG(Table1_1__2[[#This Row],[HFPO-DA]])</f>
        <v>-0.52287874528033762</v>
      </c>
      <c r="CB29">
        <f>LOG(Table1_1__2[[#This Row],[PFMBA]])</f>
        <v>-1</v>
      </c>
      <c r="CC29">
        <f>LOG(Table1_1__2[[#This Row],[NFDHA]])</f>
        <v>-1</v>
      </c>
      <c r="CD29">
        <f>LOG(Table1_1__2[[#This Row],[9Cl-PF3ONS]])</f>
        <v>-0.69897000433601875</v>
      </c>
      <c r="CE29">
        <f>LOG(Table1_1__2[[#This Row],[11Cl-PF3OUdS]])</f>
        <v>-0.69897000433601875</v>
      </c>
      <c r="CF29">
        <f>LOG(Table1_1__2[[#This Row],[PFEESA]])</f>
        <v>-1</v>
      </c>
      <c r="CG29">
        <f>LOG(Table1_1__2[[#This Row],[PFMPA]])</f>
        <v>-1</v>
      </c>
    </row>
    <row r="30" spans="1:85" x14ac:dyDescent="0.3">
      <c r="A30" s="2" t="s">
        <v>34</v>
      </c>
      <c r="B30" s="3">
        <v>44314</v>
      </c>
      <c r="C30" s="2" t="s">
        <v>26</v>
      </c>
      <c r="D30" s="2" t="s">
        <v>27</v>
      </c>
      <c r="E30">
        <v>0.08</v>
      </c>
      <c r="F30">
        <v>9.0999999999999998E-2</v>
      </c>
      <c r="G30">
        <v>0.17599999999999999</v>
      </c>
      <c r="H30">
        <v>0.04</v>
      </c>
      <c r="I30">
        <v>0.308</v>
      </c>
      <c r="J30">
        <v>5.5E-2</v>
      </c>
      <c r="K30">
        <v>0.02</v>
      </c>
      <c r="L30">
        <v>0.02</v>
      </c>
      <c r="M30">
        <v>0.02</v>
      </c>
      <c r="N30">
        <v>0.02</v>
      </c>
      <c r="O30">
        <v>0.02</v>
      </c>
      <c r="P30">
        <v>0.02</v>
      </c>
      <c r="Q30">
        <v>0.02</v>
      </c>
      <c r="R30">
        <v>0.23499999999999999</v>
      </c>
      <c r="S30">
        <v>0.02</v>
      </c>
      <c r="T30">
        <v>1</v>
      </c>
      <c r="U30">
        <v>0.02</v>
      </c>
      <c r="V30">
        <v>0.02</v>
      </c>
      <c r="W30">
        <v>0.02</v>
      </c>
      <c r="X30">
        <v>0.08</v>
      </c>
      <c r="Y30">
        <v>0.08</v>
      </c>
      <c r="Z30">
        <v>0.08</v>
      </c>
      <c r="AA30">
        <v>0.02</v>
      </c>
      <c r="AB30">
        <v>0.02</v>
      </c>
      <c r="AC30">
        <v>0.02</v>
      </c>
      <c r="AD30">
        <v>0.02</v>
      </c>
      <c r="AE30">
        <v>0.08</v>
      </c>
      <c r="AF30">
        <v>0.08</v>
      </c>
      <c r="AG30">
        <v>0.5</v>
      </c>
      <c r="AH30">
        <v>0.5</v>
      </c>
      <c r="AS30">
        <f>SUM(Table1_1__2[[#This Row],[PFBA]:[PFMPA]])</f>
        <v>3.6850000000000005</v>
      </c>
      <c r="AT30">
        <f>LOG(Table1_1__2[[#This Row],[PFBA]])</f>
        <v>-1.0969100130080565</v>
      </c>
      <c r="AU30">
        <f>LOG(Table1_1__2[[#This Row],[PFPeA]])</f>
        <v>-1.0409586076789064</v>
      </c>
      <c r="AV30">
        <f>LOG(Table1_1__2[[#This Row],[PFHxA]])</f>
        <v>-0.75448733218585018</v>
      </c>
      <c r="AW30">
        <f>LOG(Table1_1__2[[#This Row],[PFHpA]])</f>
        <v>-1.3979400086720375</v>
      </c>
      <c r="AX30">
        <f>LOG(Table1_1__2[[#This Row],[PFOA]])</f>
        <v>-0.51144928349955576</v>
      </c>
      <c r="AY30">
        <f>LOG(Table1_1__2[[#This Row],[PFNA]])</f>
        <v>-1.2596373105057561</v>
      </c>
      <c r="AZ30">
        <f>LOG(Table1_1__2[[#This Row],[PFDA]])</f>
        <v>-1.6989700043360187</v>
      </c>
      <c r="BA30">
        <f>LOG(Table1_1__2[[#This Row],[PFUnA]])</f>
        <v>-1.6989700043360187</v>
      </c>
      <c r="BB30">
        <f>LOG(Table1_1__2[[#This Row],[PFDoA]])</f>
        <v>-1.6989700043360187</v>
      </c>
      <c r="BC30">
        <f>LOG(Table1_1__2[[#This Row],[PFTrDA]])</f>
        <v>-1.6989700043360187</v>
      </c>
      <c r="BD30">
        <f>LOG(Table1_1__2[[#This Row],[PFTeDA]])</f>
        <v>-1.6989700043360187</v>
      </c>
      <c r="BE30">
        <f>LOG(Table1_1__2[[#This Row],[PFBS]])</f>
        <v>-1.6989700043360187</v>
      </c>
      <c r="BF30">
        <f>LOG(Table1_1__2[[#This Row],[PFPeS]])</f>
        <v>-1.6989700043360187</v>
      </c>
      <c r="BG30">
        <f>LOG(Table1_1__2[[#This Row],[PFHxS]])</f>
        <v>-0.62893213772826373</v>
      </c>
      <c r="BH30">
        <f>LOG(Table1_1__2[[#This Row],[PFHpS]])</f>
        <v>-1.6989700043360187</v>
      </c>
      <c r="BI30">
        <f>LOG(Table1_1__2[[#This Row],[PFOS]])</f>
        <v>0</v>
      </c>
      <c r="BJ30">
        <f>LOG(Table1_1__2[[#This Row],[PFNS]])</f>
        <v>-1.6989700043360187</v>
      </c>
      <c r="BK30">
        <f>LOG(Table1_1__2[[#This Row],[PFDS]])</f>
        <v>-1.6989700043360187</v>
      </c>
      <c r="BL30">
        <f>LOG(Table1_1__2[[#This Row],[PFDoS]])</f>
        <v>-1.6989700043360187</v>
      </c>
      <c r="BM30">
        <f>LOG(Table1_1__2[[#This Row],[4:2 FTS]])</f>
        <v>-1.0969100130080565</v>
      </c>
      <c r="BN30">
        <f>LOG(Table1_1__2[[#This Row],[6:2 FTS]])</f>
        <v>-1.0969100130080565</v>
      </c>
      <c r="BO30">
        <f>LOG(Table1_1__2[[#This Row],[8:2 FTS]])</f>
        <v>-1.0969100130080565</v>
      </c>
      <c r="BP30">
        <f>LOG(Table1_1__2[[#This Row],[FOSA]])</f>
        <v>-1.6989700043360187</v>
      </c>
      <c r="BQ30">
        <f>LOG(Table1_1__2[[#This Row],[N-MeFOSA]])</f>
        <v>-1.6989700043360187</v>
      </c>
      <c r="BR30">
        <f>LOG(Table1_1__2[[#This Row],[N-MeFOSAA]])</f>
        <v>-1.6989700043360187</v>
      </c>
      <c r="BS30">
        <f>LOG(Table1_1__2[[#This Row],[N-EtFOSAA]])</f>
        <v>-1.6989700043360187</v>
      </c>
      <c r="BT30">
        <f>LOG(Table1_1__2[[#This Row],[ADONA]])</f>
        <v>-1.0969100130080565</v>
      </c>
      <c r="BU30">
        <f>LOG(Table1_1__2[[#This Row],[3:3 FTCA]])</f>
        <v>-1.0969100130080565</v>
      </c>
      <c r="BV30">
        <f>LOG(Table1_1__2[[#This Row],[5:3 FTCA]])</f>
        <v>-0.3010299956639812</v>
      </c>
      <c r="BW30">
        <f>LOG(Table1_1__2[[#This Row],[7:3 FTCA]])</f>
        <v>-0.3010299956639812</v>
      </c>
      <c r="BX30" t="e">
        <f>LOG(Table1_1__2[[#This Row],[N-EtFOSA]])</f>
        <v>#NUM!</v>
      </c>
      <c r="BY30" t="e">
        <f>LOG(Table1_1__2[[#This Row],[N-MeFOSE]])</f>
        <v>#NUM!</v>
      </c>
      <c r="BZ30" t="e">
        <f>LOG(Table1_1__2[[#This Row],[N-EtFOSE]])</f>
        <v>#NUM!</v>
      </c>
      <c r="CA30" t="e">
        <f>LOG(Table1_1__2[[#This Row],[HFPO-DA]])</f>
        <v>#NUM!</v>
      </c>
      <c r="CB30" t="e">
        <f>LOG(Table1_1__2[[#This Row],[PFMBA]])</f>
        <v>#NUM!</v>
      </c>
      <c r="CC30" t="e">
        <f>LOG(Table1_1__2[[#This Row],[NFDHA]])</f>
        <v>#NUM!</v>
      </c>
      <c r="CD30" t="e">
        <f>LOG(Table1_1__2[[#This Row],[9Cl-PF3ONS]])</f>
        <v>#NUM!</v>
      </c>
      <c r="CE30" t="e">
        <f>LOG(Table1_1__2[[#This Row],[11Cl-PF3OUdS]])</f>
        <v>#NUM!</v>
      </c>
      <c r="CF30" t="e">
        <f>LOG(Table1_1__2[[#This Row],[PFEESA]])</f>
        <v>#NUM!</v>
      </c>
      <c r="CG30" t="e">
        <f>LOG(Table1_1__2[[#This Row],[PFMPA]])</f>
        <v>#NUM!</v>
      </c>
    </row>
    <row r="31" spans="1:85" x14ac:dyDescent="0.3">
      <c r="A31" s="2" t="s">
        <v>36</v>
      </c>
      <c r="B31" s="3">
        <v>44314</v>
      </c>
      <c r="C31" s="2" t="s">
        <v>31</v>
      </c>
      <c r="D31" s="2" t="s">
        <v>27</v>
      </c>
      <c r="E31">
        <v>0.08</v>
      </c>
      <c r="F31">
        <v>0.17299999999999999</v>
      </c>
      <c r="G31">
        <v>0.71699999999999997</v>
      </c>
      <c r="H31">
        <v>4.4999999999999998E-2</v>
      </c>
      <c r="I31">
        <v>0.2</v>
      </c>
      <c r="J31">
        <v>3.9E-2</v>
      </c>
      <c r="K31">
        <v>0.02</v>
      </c>
      <c r="L31">
        <v>4.2999999999999997E-2</v>
      </c>
      <c r="M31">
        <v>0.08</v>
      </c>
      <c r="N31">
        <v>0.05</v>
      </c>
      <c r="O31">
        <v>0.02</v>
      </c>
      <c r="P31">
        <v>0.02</v>
      </c>
      <c r="Q31">
        <v>0.02</v>
      </c>
      <c r="R31">
        <v>0.66</v>
      </c>
      <c r="S31">
        <v>0.02</v>
      </c>
      <c r="T31">
        <v>3.22</v>
      </c>
      <c r="U31">
        <v>0.02</v>
      </c>
      <c r="V31">
        <v>4.7E-2</v>
      </c>
      <c r="W31">
        <v>0.02</v>
      </c>
      <c r="X31">
        <v>0.08</v>
      </c>
      <c r="Y31">
        <v>0.316</v>
      </c>
      <c r="Z31">
        <v>0.08</v>
      </c>
      <c r="AA31">
        <v>0.42</v>
      </c>
      <c r="AB31">
        <v>0.02</v>
      </c>
      <c r="AC31">
        <v>0.02</v>
      </c>
      <c r="AD31">
        <v>0.02</v>
      </c>
      <c r="AE31">
        <v>0.08</v>
      </c>
      <c r="AF31">
        <v>0.08</v>
      </c>
      <c r="AG31">
        <v>0.5</v>
      </c>
      <c r="AH31">
        <v>0.5</v>
      </c>
      <c r="AS31">
        <f>SUM(Table1_1__2[[#This Row],[PFBA]:[PFMPA]])</f>
        <v>7.6099999999999977</v>
      </c>
      <c r="AT31">
        <f>LOG(Table1_1__2[[#This Row],[PFBA]])</f>
        <v>-1.0969100130080565</v>
      </c>
      <c r="AU31">
        <f>LOG(Table1_1__2[[#This Row],[PFPeA]])</f>
        <v>-0.76195389687120463</v>
      </c>
      <c r="AV31">
        <f>LOG(Table1_1__2[[#This Row],[PFHxA]])</f>
        <v>-0.1444808443321999</v>
      </c>
      <c r="AW31">
        <f>LOG(Table1_1__2[[#This Row],[PFHpA]])</f>
        <v>-1.3467874862246563</v>
      </c>
      <c r="AX31">
        <f>LOG(Table1_1__2[[#This Row],[PFOA]])</f>
        <v>-0.69897000433601875</v>
      </c>
      <c r="AY31">
        <f>LOG(Table1_1__2[[#This Row],[PFNA]])</f>
        <v>-1.4089353929735009</v>
      </c>
      <c r="AZ31">
        <f>LOG(Table1_1__2[[#This Row],[PFDA]])</f>
        <v>-1.6989700043360187</v>
      </c>
      <c r="BA31">
        <f>LOG(Table1_1__2[[#This Row],[PFUnA]])</f>
        <v>-1.3665315444204136</v>
      </c>
      <c r="BB31">
        <f>LOG(Table1_1__2[[#This Row],[PFDoA]])</f>
        <v>-1.0969100130080565</v>
      </c>
      <c r="BC31">
        <f>LOG(Table1_1__2[[#This Row],[PFTrDA]])</f>
        <v>-1.3010299956639813</v>
      </c>
      <c r="BD31">
        <f>LOG(Table1_1__2[[#This Row],[PFTeDA]])</f>
        <v>-1.6989700043360187</v>
      </c>
      <c r="BE31">
        <f>LOG(Table1_1__2[[#This Row],[PFBS]])</f>
        <v>-1.6989700043360187</v>
      </c>
      <c r="BF31">
        <f>LOG(Table1_1__2[[#This Row],[PFPeS]])</f>
        <v>-1.6989700043360187</v>
      </c>
      <c r="BG31">
        <f>LOG(Table1_1__2[[#This Row],[PFHxS]])</f>
        <v>-0.18045606445813131</v>
      </c>
      <c r="BH31">
        <f>LOG(Table1_1__2[[#This Row],[PFHpS]])</f>
        <v>-1.6989700043360187</v>
      </c>
      <c r="BI31">
        <f>LOG(Table1_1__2[[#This Row],[PFOS]])</f>
        <v>0.50785587169583091</v>
      </c>
      <c r="BJ31">
        <f>LOG(Table1_1__2[[#This Row],[PFNS]])</f>
        <v>-1.6989700043360187</v>
      </c>
      <c r="BK31">
        <f>LOG(Table1_1__2[[#This Row],[PFDS]])</f>
        <v>-1.3279021420642825</v>
      </c>
      <c r="BL31">
        <f>LOG(Table1_1__2[[#This Row],[PFDoS]])</f>
        <v>-1.6989700043360187</v>
      </c>
      <c r="BM31">
        <f>LOG(Table1_1__2[[#This Row],[4:2 FTS]])</f>
        <v>-1.0969100130080565</v>
      </c>
      <c r="BN31">
        <f>LOG(Table1_1__2[[#This Row],[6:2 FTS]])</f>
        <v>-0.50031291738159622</v>
      </c>
      <c r="BO31">
        <f>LOG(Table1_1__2[[#This Row],[8:2 FTS]])</f>
        <v>-1.0969100130080565</v>
      </c>
      <c r="BP31">
        <f>LOG(Table1_1__2[[#This Row],[FOSA]])</f>
        <v>-0.37675070960209955</v>
      </c>
      <c r="BQ31">
        <f>LOG(Table1_1__2[[#This Row],[N-MeFOSA]])</f>
        <v>-1.6989700043360187</v>
      </c>
      <c r="BR31">
        <f>LOG(Table1_1__2[[#This Row],[N-MeFOSAA]])</f>
        <v>-1.6989700043360187</v>
      </c>
      <c r="BS31">
        <f>LOG(Table1_1__2[[#This Row],[N-EtFOSAA]])</f>
        <v>-1.6989700043360187</v>
      </c>
      <c r="BT31">
        <f>LOG(Table1_1__2[[#This Row],[ADONA]])</f>
        <v>-1.0969100130080565</v>
      </c>
      <c r="BU31">
        <f>LOG(Table1_1__2[[#This Row],[3:3 FTCA]])</f>
        <v>-1.0969100130080565</v>
      </c>
      <c r="BV31">
        <f>LOG(Table1_1__2[[#This Row],[5:3 FTCA]])</f>
        <v>-0.3010299956639812</v>
      </c>
      <c r="BW31">
        <f>LOG(Table1_1__2[[#This Row],[7:3 FTCA]])</f>
        <v>-0.3010299956639812</v>
      </c>
      <c r="BX31" t="e">
        <f>LOG(Table1_1__2[[#This Row],[N-EtFOSA]])</f>
        <v>#NUM!</v>
      </c>
      <c r="BY31" t="e">
        <f>LOG(Table1_1__2[[#This Row],[N-MeFOSE]])</f>
        <v>#NUM!</v>
      </c>
      <c r="BZ31" t="e">
        <f>LOG(Table1_1__2[[#This Row],[N-EtFOSE]])</f>
        <v>#NUM!</v>
      </c>
      <c r="CA31" t="e">
        <f>LOG(Table1_1__2[[#This Row],[HFPO-DA]])</f>
        <v>#NUM!</v>
      </c>
      <c r="CB31" t="e">
        <f>LOG(Table1_1__2[[#This Row],[PFMBA]])</f>
        <v>#NUM!</v>
      </c>
      <c r="CC31" t="e">
        <f>LOG(Table1_1__2[[#This Row],[NFDHA]])</f>
        <v>#NUM!</v>
      </c>
      <c r="CD31" t="e">
        <f>LOG(Table1_1__2[[#This Row],[9Cl-PF3ONS]])</f>
        <v>#NUM!</v>
      </c>
      <c r="CE31" t="e">
        <f>LOG(Table1_1__2[[#This Row],[11Cl-PF3OUdS]])</f>
        <v>#NUM!</v>
      </c>
      <c r="CF31" t="e">
        <f>LOG(Table1_1__2[[#This Row],[PFEESA]])</f>
        <v>#NUM!</v>
      </c>
      <c r="CG31" t="e">
        <f>LOG(Table1_1__2[[#This Row],[PFMPA]])</f>
        <v>#NUM!</v>
      </c>
    </row>
    <row r="32" spans="1:85" x14ac:dyDescent="0.3">
      <c r="A32" s="2" t="s">
        <v>37</v>
      </c>
      <c r="B32" s="3">
        <v>44314</v>
      </c>
      <c r="C32" s="2" t="s">
        <v>33</v>
      </c>
      <c r="D32" s="2" t="s">
        <v>27</v>
      </c>
      <c r="E32">
        <v>0.08</v>
      </c>
      <c r="F32">
        <v>8.5999999999999993E-2</v>
      </c>
      <c r="G32">
        <v>0.23300000000000001</v>
      </c>
      <c r="H32">
        <v>0.02</v>
      </c>
      <c r="I32">
        <v>0.114</v>
      </c>
      <c r="J32">
        <v>0.02</v>
      </c>
      <c r="K32">
        <v>0.02</v>
      </c>
      <c r="L32">
        <v>0.02</v>
      </c>
      <c r="M32">
        <v>3.9E-2</v>
      </c>
      <c r="N32">
        <v>0.02</v>
      </c>
      <c r="O32">
        <v>0.02</v>
      </c>
      <c r="P32">
        <v>0.02</v>
      </c>
      <c r="Q32">
        <v>0.02</v>
      </c>
      <c r="R32">
        <v>0.42899999999999999</v>
      </c>
      <c r="S32">
        <v>0.02</v>
      </c>
      <c r="T32">
        <v>2.1</v>
      </c>
      <c r="U32">
        <v>0.02</v>
      </c>
      <c r="V32">
        <v>0.02</v>
      </c>
      <c r="W32">
        <v>0.02</v>
      </c>
      <c r="X32">
        <v>0.08</v>
      </c>
      <c r="Y32">
        <v>0.39</v>
      </c>
      <c r="Z32">
        <v>0.152</v>
      </c>
      <c r="AA32">
        <v>0.19400000000000001</v>
      </c>
      <c r="AB32">
        <v>0.02</v>
      </c>
      <c r="AC32">
        <v>0.02</v>
      </c>
      <c r="AD32">
        <v>0.02</v>
      </c>
      <c r="AE32">
        <v>0.08</v>
      </c>
      <c r="AF32">
        <v>0.08</v>
      </c>
      <c r="AG32">
        <v>0.5</v>
      </c>
      <c r="AH32">
        <v>0.5</v>
      </c>
      <c r="AS32">
        <f>SUM(Table1_1__2[[#This Row],[PFBA]:[PFMPA]])</f>
        <v>5.3569999999999993</v>
      </c>
      <c r="AT32">
        <f>LOG(Table1_1__2[[#This Row],[PFBA]])</f>
        <v>-1.0969100130080565</v>
      </c>
      <c r="AU32">
        <f>LOG(Table1_1__2[[#This Row],[PFPeA]])</f>
        <v>-1.0655015487564323</v>
      </c>
      <c r="AV32">
        <f>LOG(Table1_1__2[[#This Row],[PFHxA]])</f>
        <v>-0.63264407897398101</v>
      </c>
      <c r="AW32">
        <f>LOG(Table1_1__2[[#This Row],[PFHpA]])</f>
        <v>-1.6989700043360187</v>
      </c>
      <c r="AX32">
        <f>LOG(Table1_1__2[[#This Row],[PFOA]])</f>
        <v>-0.94309514866352739</v>
      </c>
      <c r="AY32">
        <f>LOG(Table1_1__2[[#This Row],[PFNA]])</f>
        <v>-1.6989700043360187</v>
      </c>
      <c r="AZ32">
        <f>LOG(Table1_1__2[[#This Row],[PFDA]])</f>
        <v>-1.6989700043360187</v>
      </c>
      <c r="BA32">
        <f>LOG(Table1_1__2[[#This Row],[PFUnA]])</f>
        <v>-1.6989700043360187</v>
      </c>
      <c r="BB32">
        <f>LOG(Table1_1__2[[#This Row],[PFDoA]])</f>
        <v>-1.4089353929735009</v>
      </c>
      <c r="BC32">
        <f>LOG(Table1_1__2[[#This Row],[PFTrDA]])</f>
        <v>-1.6989700043360187</v>
      </c>
      <c r="BD32">
        <f>LOG(Table1_1__2[[#This Row],[PFTeDA]])</f>
        <v>-1.6989700043360187</v>
      </c>
      <c r="BE32">
        <f>LOG(Table1_1__2[[#This Row],[PFBS]])</f>
        <v>-1.6989700043360187</v>
      </c>
      <c r="BF32">
        <f>LOG(Table1_1__2[[#This Row],[PFPeS]])</f>
        <v>-1.6989700043360187</v>
      </c>
      <c r="BG32">
        <f>LOG(Table1_1__2[[#This Row],[PFHxS]])</f>
        <v>-0.36754270781527576</v>
      </c>
      <c r="BH32">
        <f>LOG(Table1_1__2[[#This Row],[PFHpS]])</f>
        <v>-1.6989700043360187</v>
      </c>
      <c r="BI32">
        <f>LOG(Table1_1__2[[#This Row],[PFOS]])</f>
        <v>0.3222192947339193</v>
      </c>
      <c r="BJ32">
        <f>LOG(Table1_1__2[[#This Row],[PFNS]])</f>
        <v>-1.6989700043360187</v>
      </c>
      <c r="BK32">
        <f>LOG(Table1_1__2[[#This Row],[PFDS]])</f>
        <v>-1.6989700043360187</v>
      </c>
      <c r="BL32">
        <f>LOG(Table1_1__2[[#This Row],[PFDoS]])</f>
        <v>-1.6989700043360187</v>
      </c>
      <c r="BM32">
        <f>LOG(Table1_1__2[[#This Row],[4:2 FTS]])</f>
        <v>-1.0969100130080565</v>
      </c>
      <c r="BN32">
        <f>LOG(Table1_1__2[[#This Row],[6:2 FTS]])</f>
        <v>-0.40893539297350079</v>
      </c>
      <c r="BO32">
        <f>LOG(Table1_1__2[[#This Row],[8:2 FTS]])</f>
        <v>-0.81815641205522749</v>
      </c>
      <c r="BP32">
        <f>LOG(Table1_1__2[[#This Row],[FOSA]])</f>
        <v>-0.71219827006977399</v>
      </c>
      <c r="BQ32">
        <f>LOG(Table1_1__2[[#This Row],[N-MeFOSA]])</f>
        <v>-1.6989700043360187</v>
      </c>
      <c r="BR32">
        <f>LOG(Table1_1__2[[#This Row],[N-MeFOSAA]])</f>
        <v>-1.6989700043360187</v>
      </c>
      <c r="BS32">
        <f>LOG(Table1_1__2[[#This Row],[N-EtFOSAA]])</f>
        <v>-1.6989700043360187</v>
      </c>
      <c r="BT32">
        <f>LOG(Table1_1__2[[#This Row],[ADONA]])</f>
        <v>-1.0969100130080565</v>
      </c>
      <c r="BU32">
        <f>LOG(Table1_1__2[[#This Row],[3:3 FTCA]])</f>
        <v>-1.0969100130080565</v>
      </c>
      <c r="BV32">
        <f>LOG(Table1_1__2[[#This Row],[5:3 FTCA]])</f>
        <v>-0.3010299956639812</v>
      </c>
      <c r="BW32">
        <f>LOG(Table1_1__2[[#This Row],[7:3 FTCA]])</f>
        <v>-0.3010299956639812</v>
      </c>
      <c r="BX32" t="e">
        <f>LOG(Table1_1__2[[#This Row],[N-EtFOSA]])</f>
        <v>#NUM!</v>
      </c>
      <c r="BY32" t="e">
        <f>LOG(Table1_1__2[[#This Row],[N-MeFOSE]])</f>
        <v>#NUM!</v>
      </c>
      <c r="BZ32" t="e">
        <f>LOG(Table1_1__2[[#This Row],[N-EtFOSE]])</f>
        <v>#NUM!</v>
      </c>
      <c r="CA32" t="e">
        <f>LOG(Table1_1__2[[#This Row],[HFPO-DA]])</f>
        <v>#NUM!</v>
      </c>
      <c r="CB32" t="e">
        <f>LOG(Table1_1__2[[#This Row],[PFMBA]])</f>
        <v>#NUM!</v>
      </c>
      <c r="CC32" t="e">
        <f>LOG(Table1_1__2[[#This Row],[NFDHA]])</f>
        <v>#NUM!</v>
      </c>
      <c r="CD32" t="e">
        <f>LOG(Table1_1__2[[#This Row],[9Cl-PF3ONS]])</f>
        <v>#NUM!</v>
      </c>
      <c r="CE32" t="e">
        <f>LOG(Table1_1__2[[#This Row],[11Cl-PF3OUdS]])</f>
        <v>#NUM!</v>
      </c>
      <c r="CF32" t="e">
        <f>LOG(Table1_1__2[[#This Row],[PFEESA]])</f>
        <v>#NUM!</v>
      </c>
      <c r="CG32" t="e">
        <f>LOG(Table1_1__2[[#This Row],[PFMPA]])</f>
        <v>#NUM!</v>
      </c>
    </row>
    <row r="33" spans="1:85" x14ac:dyDescent="0.3">
      <c r="A33" s="2" t="s">
        <v>35</v>
      </c>
      <c r="B33" s="3">
        <v>44314</v>
      </c>
      <c r="C33" s="2" t="s">
        <v>29</v>
      </c>
      <c r="D33" s="2" t="s">
        <v>27</v>
      </c>
      <c r="E33">
        <v>0.08</v>
      </c>
      <c r="F33">
        <v>0.04</v>
      </c>
      <c r="G33">
        <v>7.4999999999999997E-2</v>
      </c>
      <c r="H33">
        <v>0.02</v>
      </c>
      <c r="I33">
        <v>7.9000000000000001E-2</v>
      </c>
      <c r="J33">
        <v>0.02</v>
      </c>
      <c r="K33">
        <v>0.02</v>
      </c>
      <c r="L33">
        <v>0.02</v>
      </c>
      <c r="M33">
        <v>0.02</v>
      </c>
      <c r="N33">
        <v>0.02</v>
      </c>
      <c r="O33">
        <v>0.02</v>
      </c>
      <c r="P33">
        <v>0.02</v>
      </c>
      <c r="Q33">
        <v>0.02</v>
      </c>
      <c r="R33">
        <v>0.21099999999999999</v>
      </c>
      <c r="S33">
        <v>0.02</v>
      </c>
      <c r="T33">
        <v>0.69299999999999995</v>
      </c>
      <c r="U33">
        <v>0.02</v>
      </c>
      <c r="V33">
        <v>0.02</v>
      </c>
      <c r="W33">
        <v>0.02</v>
      </c>
      <c r="X33">
        <v>0.08</v>
      </c>
      <c r="Y33">
        <v>0.08</v>
      </c>
      <c r="Z33">
        <v>0.08</v>
      </c>
      <c r="AA33">
        <v>4.1000000000000002E-2</v>
      </c>
      <c r="AB33">
        <v>0.02</v>
      </c>
      <c r="AC33">
        <v>0.02</v>
      </c>
      <c r="AD33">
        <v>0.02</v>
      </c>
      <c r="AE33">
        <v>0.08</v>
      </c>
      <c r="AF33">
        <v>0.08</v>
      </c>
      <c r="AG33">
        <v>0.5</v>
      </c>
      <c r="AH33">
        <v>0.5</v>
      </c>
      <c r="AS33">
        <f>SUM(Table1_1__2[[#This Row],[PFBA]:[PFMPA]])</f>
        <v>2.9390000000000005</v>
      </c>
      <c r="AT33">
        <f>LOG(Table1_1__2[[#This Row],[PFBA]])</f>
        <v>-1.0969100130080565</v>
      </c>
      <c r="AU33">
        <f>LOG(Table1_1__2[[#This Row],[PFPeA]])</f>
        <v>-1.3979400086720375</v>
      </c>
      <c r="AV33">
        <f>LOG(Table1_1__2[[#This Row],[PFHxA]])</f>
        <v>-1.1249387366082999</v>
      </c>
      <c r="AW33">
        <f>LOG(Table1_1__2[[#This Row],[PFHpA]])</f>
        <v>-1.6989700043360187</v>
      </c>
      <c r="AX33">
        <f>LOG(Table1_1__2[[#This Row],[PFOA]])</f>
        <v>-1.1023729087095586</v>
      </c>
      <c r="AY33">
        <f>LOG(Table1_1__2[[#This Row],[PFNA]])</f>
        <v>-1.6989700043360187</v>
      </c>
      <c r="AZ33">
        <f>LOG(Table1_1__2[[#This Row],[PFDA]])</f>
        <v>-1.6989700043360187</v>
      </c>
      <c r="BA33">
        <f>LOG(Table1_1__2[[#This Row],[PFUnA]])</f>
        <v>-1.6989700043360187</v>
      </c>
      <c r="BB33">
        <f>LOG(Table1_1__2[[#This Row],[PFDoA]])</f>
        <v>-1.6989700043360187</v>
      </c>
      <c r="BC33">
        <f>LOG(Table1_1__2[[#This Row],[PFTrDA]])</f>
        <v>-1.6989700043360187</v>
      </c>
      <c r="BD33">
        <f>LOG(Table1_1__2[[#This Row],[PFTeDA]])</f>
        <v>-1.6989700043360187</v>
      </c>
      <c r="BE33">
        <f>LOG(Table1_1__2[[#This Row],[PFBS]])</f>
        <v>-1.6989700043360187</v>
      </c>
      <c r="BF33">
        <f>LOG(Table1_1__2[[#This Row],[PFPeS]])</f>
        <v>-1.6989700043360187</v>
      </c>
      <c r="BG33">
        <f>LOG(Table1_1__2[[#This Row],[PFHxS]])</f>
        <v>-0.67571754470230738</v>
      </c>
      <c r="BH33">
        <f>LOG(Table1_1__2[[#This Row],[PFHpS]])</f>
        <v>-1.6989700043360187</v>
      </c>
      <c r="BI33">
        <f>LOG(Table1_1__2[[#This Row],[PFOS]])</f>
        <v>-0.15926676538819329</v>
      </c>
      <c r="BJ33">
        <f>LOG(Table1_1__2[[#This Row],[PFNS]])</f>
        <v>-1.6989700043360187</v>
      </c>
      <c r="BK33">
        <f>LOG(Table1_1__2[[#This Row],[PFDS]])</f>
        <v>-1.6989700043360187</v>
      </c>
      <c r="BL33">
        <f>LOG(Table1_1__2[[#This Row],[PFDoS]])</f>
        <v>-1.6989700043360187</v>
      </c>
      <c r="BM33">
        <f>LOG(Table1_1__2[[#This Row],[4:2 FTS]])</f>
        <v>-1.0969100130080565</v>
      </c>
      <c r="BN33">
        <f>LOG(Table1_1__2[[#This Row],[6:2 FTS]])</f>
        <v>-1.0969100130080565</v>
      </c>
      <c r="BO33">
        <f>LOG(Table1_1__2[[#This Row],[8:2 FTS]])</f>
        <v>-1.0969100130080565</v>
      </c>
      <c r="BP33">
        <f>LOG(Table1_1__2[[#This Row],[FOSA]])</f>
        <v>-1.3872161432802645</v>
      </c>
      <c r="BQ33">
        <f>LOG(Table1_1__2[[#This Row],[N-MeFOSA]])</f>
        <v>-1.6989700043360187</v>
      </c>
      <c r="BR33">
        <f>LOG(Table1_1__2[[#This Row],[N-MeFOSAA]])</f>
        <v>-1.6989700043360187</v>
      </c>
      <c r="BS33">
        <f>LOG(Table1_1__2[[#This Row],[N-EtFOSAA]])</f>
        <v>-1.6989700043360187</v>
      </c>
      <c r="BT33">
        <f>LOG(Table1_1__2[[#This Row],[ADONA]])</f>
        <v>-1.0969100130080565</v>
      </c>
      <c r="BU33">
        <f>LOG(Table1_1__2[[#This Row],[3:3 FTCA]])</f>
        <v>-1.0969100130080565</v>
      </c>
      <c r="BV33">
        <f>LOG(Table1_1__2[[#This Row],[5:3 FTCA]])</f>
        <v>-0.3010299956639812</v>
      </c>
      <c r="BW33">
        <f>LOG(Table1_1__2[[#This Row],[7:3 FTCA]])</f>
        <v>-0.3010299956639812</v>
      </c>
      <c r="BX33" t="e">
        <f>LOG(Table1_1__2[[#This Row],[N-EtFOSA]])</f>
        <v>#NUM!</v>
      </c>
      <c r="BY33" t="e">
        <f>LOG(Table1_1__2[[#This Row],[N-MeFOSE]])</f>
        <v>#NUM!</v>
      </c>
      <c r="BZ33" t="e">
        <f>LOG(Table1_1__2[[#This Row],[N-EtFOSE]])</f>
        <v>#NUM!</v>
      </c>
      <c r="CA33" t="e">
        <f>LOG(Table1_1__2[[#This Row],[HFPO-DA]])</f>
        <v>#NUM!</v>
      </c>
      <c r="CB33" t="e">
        <f>LOG(Table1_1__2[[#This Row],[PFMBA]])</f>
        <v>#NUM!</v>
      </c>
      <c r="CC33" t="e">
        <f>LOG(Table1_1__2[[#This Row],[NFDHA]])</f>
        <v>#NUM!</v>
      </c>
      <c r="CD33" t="e">
        <f>LOG(Table1_1__2[[#This Row],[9Cl-PF3ONS]])</f>
        <v>#NUM!</v>
      </c>
      <c r="CE33" t="e">
        <f>LOG(Table1_1__2[[#This Row],[11Cl-PF3OUdS]])</f>
        <v>#NUM!</v>
      </c>
      <c r="CF33" t="e">
        <f>LOG(Table1_1__2[[#This Row],[PFEESA]])</f>
        <v>#NUM!</v>
      </c>
      <c r="CG33" t="e">
        <f>LOG(Table1_1__2[[#This Row],[PFMPA]])</f>
        <v>#NUM!</v>
      </c>
    </row>
    <row r="34" spans="1:85" x14ac:dyDescent="0.3">
      <c r="A34" s="2" t="s">
        <v>38</v>
      </c>
      <c r="B34" s="3">
        <v>44361</v>
      </c>
      <c r="C34" s="2" t="s">
        <v>26</v>
      </c>
      <c r="D34" s="2" t="s">
        <v>39</v>
      </c>
      <c r="E34">
        <v>0.08</v>
      </c>
      <c r="F34">
        <v>8.1000000000000003E-2</v>
      </c>
      <c r="G34">
        <v>0.161</v>
      </c>
      <c r="H34">
        <v>0.02</v>
      </c>
      <c r="I34">
        <v>0.29199999999999998</v>
      </c>
      <c r="J34">
        <v>0.04</v>
      </c>
      <c r="K34">
        <v>0.02</v>
      </c>
      <c r="L34">
        <v>0.02</v>
      </c>
      <c r="M34">
        <v>0.02</v>
      </c>
      <c r="N34">
        <v>0.02</v>
      </c>
      <c r="O34">
        <v>0.02</v>
      </c>
      <c r="P34">
        <v>0.02</v>
      </c>
      <c r="Q34">
        <v>0.02</v>
      </c>
      <c r="R34">
        <v>0.24399999999999999</v>
      </c>
      <c r="S34">
        <v>0.02</v>
      </c>
      <c r="T34">
        <v>0.81200000000000006</v>
      </c>
      <c r="U34">
        <v>0.02</v>
      </c>
      <c r="V34">
        <v>0.02</v>
      </c>
      <c r="W34">
        <v>0.02</v>
      </c>
      <c r="X34">
        <v>0.08</v>
      </c>
      <c r="Y34">
        <v>0.08</v>
      </c>
      <c r="Z34">
        <v>0.08</v>
      </c>
      <c r="AA34">
        <v>0.02</v>
      </c>
      <c r="AB34">
        <v>0.02</v>
      </c>
      <c r="AC34">
        <v>0.02</v>
      </c>
      <c r="AD34">
        <v>0.02</v>
      </c>
      <c r="AE34">
        <v>0.08</v>
      </c>
      <c r="AF34">
        <v>0.08</v>
      </c>
      <c r="AG34">
        <v>0.5</v>
      </c>
      <c r="AH34">
        <v>0.5</v>
      </c>
      <c r="AS34">
        <f>SUM(Table1_1__2[[#This Row],[PFBA]:[PFMPA]])</f>
        <v>3.4300000000000006</v>
      </c>
      <c r="AT34">
        <f>LOG(Table1_1__2[[#This Row],[PFBA]])</f>
        <v>-1.0969100130080565</v>
      </c>
      <c r="AU34">
        <f>LOG(Table1_1__2[[#This Row],[PFPeA]])</f>
        <v>-1.0915149811213503</v>
      </c>
      <c r="AV34">
        <f>LOG(Table1_1__2[[#This Row],[PFHxA]])</f>
        <v>-0.79317412396815024</v>
      </c>
      <c r="AW34">
        <f>LOG(Table1_1__2[[#This Row],[PFHpA]])</f>
        <v>-1.6989700043360187</v>
      </c>
      <c r="AX34">
        <f>LOG(Table1_1__2[[#This Row],[PFOA]])</f>
        <v>-0.53461714855158171</v>
      </c>
      <c r="AY34">
        <f>LOG(Table1_1__2[[#This Row],[PFNA]])</f>
        <v>-1.3979400086720375</v>
      </c>
      <c r="AZ34">
        <f>LOG(Table1_1__2[[#This Row],[PFDA]])</f>
        <v>-1.6989700043360187</v>
      </c>
      <c r="BA34">
        <f>LOG(Table1_1__2[[#This Row],[PFUnA]])</f>
        <v>-1.6989700043360187</v>
      </c>
      <c r="BB34">
        <f>LOG(Table1_1__2[[#This Row],[PFDoA]])</f>
        <v>-1.6989700043360187</v>
      </c>
      <c r="BC34">
        <f>LOG(Table1_1__2[[#This Row],[PFTrDA]])</f>
        <v>-1.6989700043360187</v>
      </c>
      <c r="BD34">
        <f>LOG(Table1_1__2[[#This Row],[PFTeDA]])</f>
        <v>-1.6989700043360187</v>
      </c>
      <c r="BE34">
        <f>LOG(Table1_1__2[[#This Row],[PFBS]])</f>
        <v>-1.6989700043360187</v>
      </c>
      <c r="BF34">
        <f>LOG(Table1_1__2[[#This Row],[PFPeS]])</f>
        <v>-1.6989700043360187</v>
      </c>
      <c r="BG34">
        <f>LOG(Table1_1__2[[#This Row],[PFHxS]])</f>
        <v>-0.61261017366127057</v>
      </c>
      <c r="BH34">
        <f>LOG(Table1_1__2[[#This Row],[PFHpS]])</f>
        <v>-1.6989700043360187</v>
      </c>
      <c r="BI34">
        <f>LOG(Table1_1__2[[#This Row],[PFOS]])</f>
        <v>-9.0443970758824668E-2</v>
      </c>
      <c r="BJ34">
        <f>LOG(Table1_1__2[[#This Row],[PFNS]])</f>
        <v>-1.6989700043360187</v>
      </c>
      <c r="BK34">
        <f>LOG(Table1_1__2[[#This Row],[PFDS]])</f>
        <v>-1.6989700043360187</v>
      </c>
      <c r="BL34">
        <f>LOG(Table1_1__2[[#This Row],[PFDoS]])</f>
        <v>-1.6989700043360187</v>
      </c>
      <c r="BM34">
        <f>LOG(Table1_1__2[[#This Row],[4:2 FTS]])</f>
        <v>-1.0969100130080565</v>
      </c>
      <c r="BN34">
        <f>LOG(Table1_1__2[[#This Row],[6:2 FTS]])</f>
        <v>-1.0969100130080565</v>
      </c>
      <c r="BO34">
        <f>LOG(Table1_1__2[[#This Row],[8:2 FTS]])</f>
        <v>-1.0969100130080565</v>
      </c>
      <c r="BP34">
        <f>LOG(Table1_1__2[[#This Row],[FOSA]])</f>
        <v>-1.6989700043360187</v>
      </c>
      <c r="BQ34">
        <f>LOG(Table1_1__2[[#This Row],[N-MeFOSA]])</f>
        <v>-1.6989700043360187</v>
      </c>
      <c r="BR34">
        <f>LOG(Table1_1__2[[#This Row],[N-MeFOSAA]])</f>
        <v>-1.6989700043360187</v>
      </c>
      <c r="BS34">
        <f>LOG(Table1_1__2[[#This Row],[N-EtFOSAA]])</f>
        <v>-1.6989700043360187</v>
      </c>
      <c r="BT34">
        <f>LOG(Table1_1__2[[#This Row],[ADONA]])</f>
        <v>-1.0969100130080565</v>
      </c>
      <c r="BU34">
        <f>LOG(Table1_1__2[[#This Row],[3:3 FTCA]])</f>
        <v>-1.0969100130080565</v>
      </c>
      <c r="BV34">
        <f>LOG(Table1_1__2[[#This Row],[5:3 FTCA]])</f>
        <v>-0.3010299956639812</v>
      </c>
      <c r="BW34">
        <f>LOG(Table1_1__2[[#This Row],[7:3 FTCA]])</f>
        <v>-0.3010299956639812</v>
      </c>
      <c r="BX34" t="e">
        <f>LOG(Table1_1__2[[#This Row],[N-EtFOSA]])</f>
        <v>#NUM!</v>
      </c>
      <c r="BY34" t="e">
        <f>LOG(Table1_1__2[[#This Row],[N-MeFOSE]])</f>
        <v>#NUM!</v>
      </c>
      <c r="BZ34" t="e">
        <f>LOG(Table1_1__2[[#This Row],[N-EtFOSE]])</f>
        <v>#NUM!</v>
      </c>
      <c r="CA34" t="e">
        <f>LOG(Table1_1__2[[#This Row],[HFPO-DA]])</f>
        <v>#NUM!</v>
      </c>
      <c r="CB34" t="e">
        <f>LOG(Table1_1__2[[#This Row],[PFMBA]])</f>
        <v>#NUM!</v>
      </c>
      <c r="CC34" t="e">
        <f>LOG(Table1_1__2[[#This Row],[NFDHA]])</f>
        <v>#NUM!</v>
      </c>
      <c r="CD34" t="e">
        <f>LOG(Table1_1__2[[#This Row],[9Cl-PF3ONS]])</f>
        <v>#NUM!</v>
      </c>
      <c r="CE34" t="e">
        <f>LOG(Table1_1__2[[#This Row],[11Cl-PF3OUdS]])</f>
        <v>#NUM!</v>
      </c>
      <c r="CF34" t="e">
        <f>LOG(Table1_1__2[[#This Row],[PFEESA]])</f>
        <v>#NUM!</v>
      </c>
      <c r="CG34" t="e">
        <f>LOG(Table1_1__2[[#This Row],[PFMPA]])</f>
        <v>#NUM!</v>
      </c>
    </row>
    <row r="35" spans="1:85" x14ac:dyDescent="0.3">
      <c r="A35" s="2" t="s">
        <v>41</v>
      </c>
      <c r="B35" s="3">
        <v>44361</v>
      </c>
      <c r="C35" s="2" t="s">
        <v>31</v>
      </c>
      <c r="D35" s="2" t="s">
        <v>39</v>
      </c>
      <c r="E35">
        <v>0.08</v>
      </c>
      <c r="F35">
        <v>0.10100000000000001</v>
      </c>
      <c r="G35">
        <v>0.25900000000000001</v>
      </c>
      <c r="H35">
        <v>0.02</v>
      </c>
      <c r="I35">
        <v>0.125</v>
      </c>
      <c r="J35">
        <v>4.2999999999999997E-2</v>
      </c>
      <c r="K35">
        <v>0.02</v>
      </c>
      <c r="L35">
        <v>0.02</v>
      </c>
      <c r="M35">
        <v>0.02</v>
      </c>
      <c r="N35">
        <v>0.02</v>
      </c>
      <c r="O35">
        <v>0.02</v>
      </c>
      <c r="P35">
        <v>0.02</v>
      </c>
      <c r="Q35">
        <v>0.02</v>
      </c>
      <c r="R35">
        <v>0.35899999999999999</v>
      </c>
      <c r="S35">
        <v>0.02</v>
      </c>
      <c r="T35">
        <v>1.81</v>
      </c>
      <c r="U35">
        <v>0.02</v>
      </c>
      <c r="V35">
        <v>0.02</v>
      </c>
      <c r="W35">
        <v>0.02</v>
      </c>
      <c r="X35">
        <v>0.08</v>
      </c>
      <c r="Y35">
        <v>0.08</v>
      </c>
      <c r="Z35">
        <v>0.08</v>
      </c>
      <c r="AA35">
        <v>0.113</v>
      </c>
      <c r="AB35">
        <v>0.02</v>
      </c>
      <c r="AC35">
        <v>0.02</v>
      </c>
      <c r="AD35">
        <v>0.02</v>
      </c>
      <c r="AE35">
        <v>0.08</v>
      </c>
      <c r="AF35">
        <v>0.08</v>
      </c>
      <c r="AG35">
        <v>0.5</v>
      </c>
      <c r="AH35">
        <v>0.5</v>
      </c>
      <c r="AS35">
        <f>SUM(Table1_1__2[[#This Row],[PFBA]:[PFMPA]])</f>
        <v>4.5900000000000007</v>
      </c>
      <c r="AT35">
        <f>LOG(Table1_1__2[[#This Row],[PFBA]])</f>
        <v>-1.0969100130080565</v>
      </c>
      <c r="AU35">
        <f>LOG(Table1_1__2[[#This Row],[PFPeA]])</f>
        <v>-0.99567862621735737</v>
      </c>
      <c r="AV35">
        <f>LOG(Table1_1__2[[#This Row],[PFHxA]])</f>
        <v>-0.5867002359187482</v>
      </c>
      <c r="AW35">
        <f>LOG(Table1_1__2[[#This Row],[PFHpA]])</f>
        <v>-1.6989700043360187</v>
      </c>
      <c r="AX35">
        <f>LOG(Table1_1__2[[#This Row],[PFOA]])</f>
        <v>-0.90308998699194354</v>
      </c>
      <c r="AY35">
        <f>LOG(Table1_1__2[[#This Row],[PFNA]])</f>
        <v>-1.3665315444204136</v>
      </c>
      <c r="AZ35">
        <f>LOG(Table1_1__2[[#This Row],[PFDA]])</f>
        <v>-1.6989700043360187</v>
      </c>
      <c r="BA35">
        <f>LOG(Table1_1__2[[#This Row],[PFUnA]])</f>
        <v>-1.6989700043360187</v>
      </c>
      <c r="BB35">
        <f>LOG(Table1_1__2[[#This Row],[PFDoA]])</f>
        <v>-1.6989700043360187</v>
      </c>
      <c r="BC35">
        <f>LOG(Table1_1__2[[#This Row],[PFTrDA]])</f>
        <v>-1.6989700043360187</v>
      </c>
      <c r="BD35">
        <f>LOG(Table1_1__2[[#This Row],[PFTeDA]])</f>
        <v>-1.6989700043360187</v>
      </c>
      <c r="BE35">
        <f>LOG(Table1_1__2[[#This Row],[PFBS]])</f>
        <v>-1.6989700043360187</v>
      </c>
      <c r="BF35">
        <f>LOG(Table1_1__2[[#This Row],[PFPeS]])</f>
        <v>-1.6989700043360187</v>
      </c>
      <c r="BG35">
        <f>LOG(Table1_1__2[[#This Row],[PFHxS]])</f>
        <v>-0.44490555142168087</v>
      </c>
      <c r="BH35">
        <f>LOG(Table1_1__2[[#This Row],[PFHpS]])</f>
        <v>-1.6989700043360187</v>
      </c>
      <c r="BI35">
        <f>LOG(Table1_1__2[[#This Row],[PFOS]])</f>
        <v>0.2576785748691845</v>
      </c>
      <c r="BJ35">
        <f>LOG(Table1_1__2[[#This Row],[PFNS]])</f>
        <v>-1.6989700043360187</v>
      </c>
      <c r="BK35">
        <f>LOG(Table1_1__2[[#This Row],[PFDS]])</f>
        <v>-1.6989700043360187</v>
      </c>
      <c r="BL35">
        <f>LOG(Table1_1__2[[#This Row],[PFDoS]])</f>
        <v>-1.6989700043360187</v>
      </c>
      <c r="BM35">
        <f>LOG(Table1_1__2[[#This Row],[4:2 FTS]])</f>
        <v>-1.0969100130080565</v>
      </c>
      <c r="BN35">
        <f>LOG(Table1_1__2[[#This Row],[6:2 FTS]])</f>
        <v>-1.0969100130080565</v>
      </c>
      <c r="BO35">
        <f>LOG(Table1_1__2[[#This Row],[8:2 FTS]])</f>
        <v>-1.0969100130080565</v>
      </c>
      <c r="BP35">
        <f>LOG(Table1_1__2[[#This Row],[FOSA]])</f>
        <v>-0.94692155651658028</v>
      </c>
      <c r="BQ35">
        <f>LOG(Table1_1__2[[#This Row],[N-MeFOSA]])</f>
        <v>-1.6989700043360187</v>
      </c>
      <c r="BR35">
        <f>LOG(Table1_1__2[[#This Row],[N-MeFOSAA]])</f>
        <v>-1.6989700043360187</v>
      </c>
      <c r="BS35">
        <f>LOG(Table1_1__2[[#This Row],[N-EtFOSAA]])</f>
        <v>-1.6989700043360187</v>
      </c>
      <c r="BT35">
        <f>LOG(Table1_1__2[[#This Row],[ADONA]])</f>
        <v>-1.0969100130080565</v>
      </c>
      <c r="BU35">
        <f>LOG(Table1_1__2[[#This Row],[3:3 FTCA]])</f>
        <v>-1.0969100130080565</v>
      </c>
      <c r="BV35">
        <f>LOG(Table1_1__2[[#This Row],[5:3 FTCA]])</f>
        <v>-0.3010299956639812</v>
      </c>
      <c r="BW35">
        <f>LOG(Table1_1__2[[#This Row],[7:3 FTCA]])</f>
        <v>-0.3010299956639812</v>
      </c>
      <c r="BX35" t="e">
        <f>LOG(Table1_1__2[[#This Row],[N-EtFOSA]])</f>
        <v>#NUM!</v>
      </c>
      <c r="BY35" t="e">
        <f>LOG(Table1_1__2[[#This Row],[N-MeFOSE]])</f>
        <v>#NUM!</v>
      </c>
      <c r="BZ35" t="e">
        <f>LOG(Table1_1__2[[#This Row],[N-EtFOSE]])</f>
        <v>#NUM!</v>
      </c>
      <c r="CA35" t="e">
        <f>LOG(Table1_1__2[[#This Row],[HFPO-DA]])</f>
        <v>#NUM!</v>
      </c>
      <c r="CB35" t="e">
        <f>LOG(Table1_1__2[[#This Row],[PFMBA]])</f>
        <v>#NUM!</v>
      </c>
      <c r="CC35" t="e">
        <f>LOG(Table1_1__2[[#This Row],[NFDHA]])</f>
        <v>#NUM!</v>
      </c>
      <c r="CD35" t="e">
        <f>LOG(Table1_1__2[[#This Row],[9Cl-PF3ONS]])</f>
        <v>#NUM!</v>
      </c>
      <c r="CE35" t="e">
        <f>LOG(Table1_1__2[[#This Row],[11Cl-PF3OUdS]])</f>
        <v>#NUM!</v>
      </c>
      <c r="CF35" t="e">
        <f>LOG(Table1_1__2[[#This Row],[PFEESA]])</f>
        <v>#NUM!</v>
      </c>
      <c r="CG35" t="e">
        <f>LOG(Table1_1__2[[#This Row],[PFMPA]])</f>
        <v>#NUM!</v>
      </c>
    </row>
    <row r="36" spans="1:85" x14ac:dyDescent="0.3">
      <c r="A36" s="2" t="s">
        <v>42</v>
      </c>
      <c r="B36" s="3">
        <v>44361</v>
      </c>
      <c r="C36" s="2" t="s">
        <v>33</v>
      </c>
      <c r="D36" s="2" t="s">
        <v>39</v>
      </c>
      <c r="E36">
        <v>0.08</v>
      </c>
      <c r="F36">
        <v>0.04</v>
      </c>
      <c r="G36">
        <v>9.1999999999999998E-2</v>
      </c>
      <c r="H36">
        <v>0.02</v>
      </c>
      <c r="I36">
        <v>6.6000000000000003E-2</v>
      </c>
      <c r="J36">
        <v>0.02</v>
      </c>
      <c r="K36">
        <v>0.02</v>
      </c>
      <c r="L36">
        <v>0.02</v>
      </c>
      <c r="M36">
        <v>0.02</v>
      </c>
      <c r="N36">
        <v>0.02</v>
      </c>
      <c r="O36">
        <v>0.02</v>
      </c>
      <c r="P36">
        <v>0.02</v>
      </c>
      <c r="Q36">
        <v>0.02</v>
      </c>
      <c r="R36">
        <v>0.16</v>
      </c>
      <c r="S36">
        <v>0.02</v>
      </c>
      <c r="T36">
        <v>0.61599999999999999</v>
      </c>
      <c r="U36">
        <v>0.02</v>
      </c>
      <c r="V36">
        <v>0.02</v>
      </c>
      <c r="W36">
        <v>0.02</v>
      </c>
      <c r="X36">
        <v>0.08</v>
      </c>
      <c r="Y36">
        <v>0.20899999999999999</v>
      </c>
      <c r="Z36">
        <v>0.08</v>
      </c>
      <c r="AA36">
        <v>5.6000000000000001E-2</v>
      </c>
      <c r="AB36">
        <v>0.02</v>
      </c>
      <c r="AC36">
        <v>0.02</v>
      </c>
      <c r="AD36">
        <v>0.02</v>
      </c>
      <c r="AE36">
        <v>0.08</v>
      </c>
      <c r="AF36">
        <v>0.08</v>
      </c>
      <c r="AG36">
        <v>0.5</v>
      </c>
      <c r="AH36">
        <v>0.5</v>
      </c>
      <c r="AS36">
        <f>SUM(Table1_1__2[[#This Row],[PFBA]:[PFMPA]])</f>
        <v>2.9590000000000005</v>
      </c>
      <c r="AT36">
        <f>LOG(Table1_1__2[[#This Row],[PFBA]])</f>
        <v>-1.0969100130080565</v>
      </c>
      <c r="AU36">
        <f>LOG(Table1_1__2[[#This Row],[PFPeA]])</f>
        <v>-1.3979400086720375</v>
      </c>
      <c r="AV36">
        <f>LOG(Table1_1__2[[#This Row],[PFHxA]])</f>
        <v>-1.0362121726544447</v>
      </c>
      <c r="AW36">
        <f>LOG(Table1_1__2[[#This Row],[PFHpA]])</f>
        <v>-1.6989700043360187</v>
      </c>
      <c r="AX36">
        <f>LOG(Table1_1__2[[#This Row],[PFOA]])</f>
        <v>-1.1804560644581312</v>
      </c>
      <c r="AY36">
        <f>LOG(Table1_1__2[[#This Row],[PFNA]])</f>
        <v>-1.6989700043360187</v>
      </c>
      <c r="AZ36">
        <f>LOG(Table1_1__2[[#This Row],[PFDA]])</f>
        <v>-1.6989700043360187</v>
      </c>
      <c r="BA36">
        <f>LOG(Table1_1__2[[#This Row],[PFUnA]])</f>
        <v>-1.6989700043360187</v>
      </c>
      <c r="BB36">
        <f>LOG(Table1_1__2[[#This Row],[PFDoA]])</f>
        <v>-1.6989700043360187</v>
      </c>
      <c r="BC36">
        <f>LOG(Table1_1__2[[#This Row],[PFTrDA]])</f>
        <v>-1.6989700043360187</v>
      </c>
      <c r="BD36">
        <f>LOG(Table1_1__2[[#This Row],[PFTeDA]])</f>
        <v>-1.6989700043360187</v>
      </c>
      <c r="BE36">
        <f>LOG(Table1_1__2[[#This Row],[PFBS]])</f>
        <v>-1.6989700043360187</v>
      </c>
      <c r="BF36">
        <f>LOG(Table1_1__2[[#This Row],[PFPeS]])</f>
        <v>-1.6989700043360187</v>
      </c>
      <c r="BG36">
        <f>LOG(Table1_1__2[[#This Row],[PFHxS]])</f>
        <v>-0.79588001734407521</v>
      </c>
      <c r="BH36">
        <f>LOG(Table1_1__2[[#This Row],[PFHpS]])</f>
        <v>-1.6989700043360187</v>
      </c>
      <c r="BI36">
        <f>LOG(Table1_1__2[[#This Row],[PFOS]])</f>
        <v>-0.21041928783557454</v>
      </c>
      <c r="BJ36">
        <f>LOG(Table1_1__2[[#This Row],[PFNS]])</f>
        <v>-1.6989700043360187</v>
      </c>
      <c r="BK36">
        <f>LOG(Table1_1__2[[#This Row],[PFDS]])</f>
        <v>-1.6989700043360187</v>
      </c>
      <c r="BL36">
        <f>LOG(Table1_1__2[[#This Row],[PFDoS]])</f>
        <v>-1.6989700043360187</v>
      </c>
      <c r="BM36">
        <f>LOG(Table1_1__2[[#This Row],[4:2 FTS]])</f>
        <v>-1.0969100130080565</v>
      </c>
      <c r="BN36">
        <f>LOG(Table1_1__2[[#This Row],[6:2 FTS]])</f>
        <v>-0.679853713888946</v>
      </c>
      <c r="BO36">
        <f>LOG(Table1_1__2[[#This Row],[8:2 FTS]])</f>
        <v>-1.0969100130080565</v>
      </c>
      <c r="BP36">
        <f>LOG(Table1_1__2[[#This Row],[FOSA]])</f>
        <v>-1.2518119729937995</v>
      </c>
      <c r="BQ36">
        <f>LOG(Table1_1__2[[#This Row],[N-MeFOSA]])</f>
        <v>-1.6989700043360187</v>
      </c>
      <c r="BR36">
        <f>LOG(Table1_1__2[[#This Row],[N-MeFOSAA]])</f>
        <v>-1.6989700043360187</v>
      </c>
      <c r="BS36">
        <f>LOG(Table1_1__2[[#This Row],[N-EtFOSAA]])</f>
        <v>-1.6989700043360187</v>
      </c>
      <c r="BT36">
        <f>LOG(Table1_1__2[[#This Row],[ADONA]])</f>
        <v>-1.0969100130080565</v>
      </c>
      <c r="BU36">
        <f>LOG(Table1_1__2[[#This Row],[3:3 FTCA]])</f>
        <v>-1.0969100130080565</v>
      </c>
      <c r="BV36">
        <f>LOG(Table1_1__2[[#This Row],[5:3 FTCA]])</f>
        <v>-0.3010299956639812</v>
      </c>
      <c r="BW36">
        <f>LOG(Table1_1__2[[#This Row],[7:3 FTCA]])</f>
        <v>-0.3010299956639812</v>
      </c>
      <c r="BX36" t="e">
        <f>LOG(Table1_1__2[[#This Row],[N-EtFOSA]])</f>
        <v>#NUM!</v>
      </c>
      <c r="BY36" t="e">
        <f>LOG(Table1_1__2[[#This Row],[N-MeFOSE]])</f>
        <v>#NUM!</v>
      </c>
      <c r="BZ36" t="e">
        <f>LOG(Table1_1__2[[#This Row],[N-EtFOSE]])</f>
        <v>#NUM!</v>
      </c>
      <c r="CA36" t="e">
        <f>LOG(Table1_1__2[[#This Row],[HFPO-DA]])</f>
        <v>#NUM!</v>
      </c>
      <c r="CB36" t="e">
        <f>LOG(Table1_1__2[[#This Row],[PFMBA]])</f>
        <v>#NUM!</v>
      </c>
      <c r="CC36" t="e">
        <f>LOG(Table1_1__2[[#This Row],[NFDHA]])</f>
        <v>#NUM!</v>
      </c>
      <c r="CD36" t="e">
        <f>LOG(Table1_1__2[[#This Row],[9Cl-PF3ONS]])</f>
        <v>#NUM!</v>
      </c>
      <c r="CE36" t="e">
        <f>LOG(Table1_1__2[[#This Row],[11Cl-PF3OUdS]])</f>
        <v>#NUM!</v>
      </c>
      <c r="CF36" t="e">
        <f>LOG(Table1_1__2[[#This Row],[PFEESA]])</f>
        <v>#NUM!</v>
      </c>
      <c r="CG36" t="e">
        <f>LOG(Table1_1__2[[#This Row],[PFMPA]])</f>
        <v>#NUM!</v>
      </c>
    </row>
    <row r="37" spans="1:85" x14ac:dyDescent="0.3">
      <c r="A37" s="2" t="s">
        <v>40</v>
      </c>
      <c r="B37" s="3">
        <v>44361</v>
      </c>
      <c r="C37" s="2" t="s">
        <v>29</v>
      </c>
      <c r="D37" s="2" t="s">
        <v>39</v>
      </c>
      <c r="E37">
        <v>0.08</v>
      </c>
      <c r="F37">
        <v>0.04</v>
      </c>
      <c r="G37">
        <v>6.0999999999999999E-2</v>
      </c>
      <c r="H37">
        <v>0.02</v>
      </c>
      <c r="I37">
        <v>7.1999999999999995E-2</v>
      </c>
      <c r="J37">
        <v>6.0999999999999999E-2</v>
      </c>
      <c r="K37">
        <v>0.02</v>
      </c>
      <c r="L37">
        <v>0.02</v>
      </c>
      <c r="M37">
        <v>0.02</v>
      </c>
      <c r="N37">
        <v>0.02</v>
      </c>
      <c r="O37">
        <v>0.02</v>
      </c>
      <c r="P37">
        <v>0.02</v>
      </c>
      <c r="Q37">
        <v>0.02</v>
      </c>
      <c r="R37">
        <v>0.189</v>
      </c>
      <c r="S37">
        <v>0.02</v>
      </c>
      <c r="T37">
        <v>0.63700000000000001</v>
      </c>
      <c r="U37">
        <v>0.02</v>
      </c>
      <c r="V37">
        <v>0.02</v>
      </c>
      <c r="W37">
        <v>0.02</v>
      </c>
      <c r="X37">
        <v>0.08</v>
      </c>
      <c r="Y37">
        <v>0.08</v>
      </c>
      <c r="Z37">
        <v>0.08</v>
      </c>
      <c r="AA37">
        <v>0.02</v>
      </c>
      <c r="AB37">
        <v>0.02</v>
      </c>
      <c r="AC37">
        <v>0.02</v>
      </c>
      <c r="AD37">
        <v>0.02</v>
      </c>
      <c r="AE37">
        <v>0.08</v>
      </c>
      <c r="AF37">
        <v>0.08</v>
      </c>
      <c r="AG37">
        <v>0.5</v>
      </c>
      <c r="AH37">
        <v>0.5</v>
      </c>
      <c r="AS37">
        <f>SUM(Table1_1__2[[#This Row],[PFBA]:[PFMPA]])</f>
        <v>2.8600000000000003</v>
      </c>
      <c r="AT37">
        <f>LOG(Table1_1__2[[#This Row],[PFBA]])</f>
        <v>-1.0969100130080565</v>
      </c>
      <c r="AU37">
        <f>LOG(Table1_1__2[[#This Row],[PFPeA]])</f>
        <v>-1.3979400086720375</v>
      </c>
      <c r="AV37">
        <f>LOG(Table1_1__2[[#This Row],[PFHxA]])</f>
        <v>-1.2146701649892331</v>
      </c>
      <c r="AW37">
        <f>LOG(Table1_1__2[[#This Row],[PFHpA]])</f>
        <v>-1.6989700043360187</v>
      </c>
      <c r="AX37">
        <f>LOG(Table1_1__2[[#This Row],[PFOA]])</f>
        <v>-1.1426675035687315</v>
      </c>
      <c r="AY37">
        <f>LOG(Table1_1__2[[#This Row],[PFNA]])</f>
        <v>-1.2146701649892331</v>
      </c>
      <c r="AZ37">
        <f>LOG(Table1_1__2[[#This Row],[PFDA]])</f>
        <v>-1.6989700043360187</v>
      </c>
      <c r="BA37">
        <f>LOG(Table1_1__2[[#This Row],[PFUnA]])</f>
        <v>-1.6989700043360187</v>
      </c>
      <c r="BB37">
        <f>LOG(Table1_1__2[[#This Row],[PFDoA]])</f>
        <v>-1.6989700043360187</v>
      </c>
      <c r="BC37">
        <f>LOG(Table1_1__2[[#This Row],[PFTrDA]])</f>
        <v>-1.6989700043360187</v>
      </c>
      <c r="BD37">
        <f>LOG(Table1_1__2[[#This Row],[PFTeDA]])</f>
        <v>-1.6989700043360187</v>
      </c>
      <c r="BE37">
        <f>LOG(Table1_1__2[[#This Row],[PFBS]])</f>
        <v>-1.6989700043360187</v>
      </c>
      <c r="BF37">
        <f>LOG(Table1_1__2[[#This Row],[PFPeS]])</f>
        <v>-1.6989700043360187</v>
      </c>
      <c r="BG37">
        <f>LOG(Table1_1__2[[#This Row],[PFHxS]])</f>
        <v>-0.72353819582675583</v>
      </c>
      <c r="BH37">
        <f>LOG(Table1_1__2[[#This Row],[PFHpS]])</f>
        <v>-1.6989700043360187</v>
      </c>
      <c r="BI37">
        <f>LOG(Table1_1__2[[#This Row],[PFOS]])</f>
        <v>-0.19586056766464957</v>
      </c>
      <c r="BJ37">
        <f>LOG(Table1_1__2[[#This Row],[PFNS]])</f>
        <v>-1.6989700043360187</v>
      </c>
      <c r="BK37">
        <f>LOG(Table1_1__2[[#This Row],[PFDS]])</f>
        <v>-1.6989700043360187</v>
      </c>
      <c r="BL37">
        <f>LOG(Table1_1__2[[#This Row],[PFDoS]])</f>
        <v>-1.6989700043360187</v>
      </c>
      <c r="BM37">
        <f>LOG(Table1_1__2[[#This Row],[4:2 FTS]])</f>
        <v>-1.0969100130080565</v>
      </c>
      <c r="BN37">
        <f>LOG(Table1_1__2[[#This Row],[6:2 FTS]])</f>
        <v>-1.0969100130080565</v>
      </c>
      <c r="BO37">
        <f>LOG(Table1_1__2[[#This Row],[8:2 FTS]])</f>
        <v>-1.0969100130080565</v>
      </c>
      <c r="BP37">
        <f>LOG(Table1_1__2[[#This Row],[FOSA]])</f>
        <v>-1.6989700043360187</v>
      </c>
      <c r="BQ37">
        <f>LOG(Table1_1__2[[#This Row],[N-MeFOSA]])</f>
        <v>-1.6989700043360187</v>
      </c>
      <c r="BR37">
        <f>LOG(Table1_1__2[[#This Row],[N-MeFOSAA]])</f>
        <v>-1.6989700043360187</v>
      </c>
      <c r="BS37">
        <f>LOG(Table1_1__2[[#This Row],[N-EtFOSAA]])</f>
        <v>-1.6989700043360187</v>
      </c>
      <c r="BT37">
        <f>LOG(Table1_1__2[[#This Row],[ADONA]])</f>
        <v>-1.0969100130080565</v>
      </c>
      <c r="BU37">
        <f>LOG(Table1_1__2[[#This Row],[3:3 FTCA]])</f>
        <v>-1.0969100130080565</v>
      </c>
      <c r="BV37">
        <f>LOG(Table1_1__2[[#This Row],[5:3 FTCA]])</f>
        <v>-0.3010299956639812</v>
      </c>
      <c r="BW37">
        <f>LOG(Table1_1__2[[#This Row],[7:3 FTCA]])</f>
        <v>-0.3010299956639812</v>
      </c>
      <c r="BX37" t="e">
        <f>LOG(Table1_1__2[[#This Row],[N-EtFOSA]])</f>
        <v>#NUM!</v>
      </c>
      <c r="BY37" t="e">
        <f>LOG(Table1_1__2[[#This Row],[N-MeFOSE]])</f>
        <v>#NUM!</v>
      </c>
      <c r="BZ37" t="e">
        <f>LOG(Table1_1__2[[#This Row],[N-EtFOSE]])</f>
        <v>#NUM!</v>
      </c>
      <c r="CA37" t="e">
        <f>LOG(Table1_1__2[[#This Row],[HFPO-DA]])</f>
        <v>#NUM!</v>
      </c>
      <c r="CB37" t="e">
        <f>LOG(Table1_1__2[[#This Row],[PFMBA]])</f>
        <v>#NUM!</v>
      </c>
      <c r="CC37" t="e">
        <f>LOG(Table1_1__2[[#This Row],[NFDHA]])</f>
        <v>#NUM!</v>
      </c>
      <c r="CD37" t="e">
        <f>LOG(Table1_1__2[[#This Row],[9Cl-PF3ONS]])</f>
        <v>#NUM!</v>
      </c>
      <c r="CE37" t="e">
        <f>LOG(Table1_1__2[[#This Row],[11Cl-PF3OUdS]])</f>
        <v>#NUM!</v>
      </c>
      <c r="CF37" t="e">
        <f>LOG(Table1_1__2[[#This Row],[PFEESA]])</f>
        <v>#NUM!</v>
      </c>
      <c r="CG37" t="e">
        <f>LOG(Table1_1__2[[#This Row],[PFMPA]])</f>
        <v>#NUM!</v>
      </c>
    </row>
    <row r="38" spans="1:85" x14ac:dyDescent="0.3">
      <c r="A38" s="2" t="s">
        <v>85</v>
      </c>
      <c r="B38" s="3">
        <v>44363.5</v>
      </c>
      <c r="C38" s="2" t="s">
        <v>26</v>
      </c>
      <c r="D38" s="2" t="s">
        <v>39</v>
      </c>
      <c r="E38">
        <v>0.2</v>
      </c>
      <c r="F38">
        <v>0.1</v>
      </c>
      <c r="G38">
        <v>0.16</v>
      </c>
      <c r="H38">
        <v>0.09</v>
      </c>
      <c r="I38">
        <v>0.38</v>
      </c>
      <c r="J38">
        <v>0.05</v>
      </c>
      <c r="K38">
        <v>0.05</v>
      </c>
      <c r="L38">
        <v>0.05</v>
      </c>
      <c r="M38">
        <v>0.05</v>
      </c>
      <c r="N38">
        <v>0.5</v>
      </c>
      <c r="O38">
        <v>0.5</v>
      </c>
      <c r="P38">
        <v>0.05</v>
      </c>
      <c r="Q38">
        <v>0.05</v>
      </c>
      <c r="R38">
        <v>0.35</v>
      </c>
      <c r="S38">
        <v>0.05</v>
      </c>
      <c r="T38">
        <v>1.1000000000000001</v>
      </c>
      <c r="U38">
        <v>0.05</v>
      </c>
      <c r="V38">
        <v>0.05</v>
      </c>
      <c r="W38">
        <v>0.05</v>
      </c>
      <c r="X38">
        <v>0.2</v>
      </c>
      <c r="Y38">
        <v>0.4</v>
      </c>
      <c r="Z38">
        <v>0.4</v>
      </c>
      <c r="AA38">
        <v>0.09</v>
      </c>
      <c r="AB38">
        <v>0.05</v>
      </c>
      <c r="AC38">
        <v>0.05</v>
      </c>
      <c r="AD38">
        <v>0.05</v>
      </c>
      <c r="AE38">
        <v>0.2</v>
      </c>
      <c r="AF38">
        <v>0.25</v>
      </c>
      <c r="AG38">
        <v>1.25</v>
      </c>
      <c r="AH38">
        <v>1.25</v>
      </c>
      <c r="AI38">
        <v>0.05</v>
      </c>
      <c r="AJ38">
        <v>0.5</v>
      </c>
      <c r="AK38">
        <v>0.5</v>
      </c>
      <c r="AL38">
        <v>0.3</v>
      </c>
      <c r="AM38">
        <v>0.1</v>
      </c>
      <c r="AN38">
        <v>0.1</v>
      </c>
      <c r="AO38">
        <v>0.2</v>
      </c>
      <c r="AP38">
        <v>0.2</v>
      </c>
      <c r="AQ38">
        <v>0.1</v>
      </c>
      <c r="AR38">
        <v>0.1</v>
      </c>
      <c r="AS38">
        <f>SUM(Table1_1__2[[#This Row],[PFBA]:[PFMPA]])</f>
        <v>10.219999999999999</v>
      </c>
      <c r="AT38">
        <f>LOG(Table1_1__2[[#This Row],[PFBA]])</f>
        <v>-0.69897000433601875</v>
      </c>
      <c r="AU38">
        <f>LOG(Table1_1__2[[#This Row],[PFPeA]])</f>
        <v>-1</v>
      </c>
      <c r="AV38">
        <f>LOG(Table1_1__2[[#This Row],[PFHxA]])</f>
        <v>-0.79588001734407521</v>
      </c>
      <c r="AW38">
        <f>LOG(Table1_1__2[[#This Row],[PFHpA]])</f>
        <v>-1.0457574905606752</v>
      </c>
      <c r="AX38">
        <f>LOG(Table1_1__2[[#This Row],[PFOA]])</f>
        <v>-0.42021640338318983</v>
      </c>
      <c r="AY38">
        <f>LOG(Table1_1__2[[#This Row],[PFNA]])</f>
        <v>-1.3010299956639813</v>
      </c>
      <c r="AZ38">
        <f>LOG(Table1_1__2[[#This Row],[PFDA]])</f>
        <v>-1.3010299956639813</v>
      </c>
      <c r="BA38">
        <f>LOG(Table1_1__2[[#This Row],[PFUnA]])</f>
        <v>-1.3010299956639813</v>
      </c>
      <c r="BB38">
        <f>LOG(Table1_1__2[[#This Row],[PFDoA]])</f>
        <v>-1.3010299956639813</v>
      </c>
      <c r="BC38">
        <f>LOG(Table1_1__2[[#This Row],[PFTrDA]])</f>
        <v>-0.3010299956639812</v>
      </c>
      <c r="BD38">
        <f>LOG(Table1_1__2[[#This Row],[PFTeDA]])</f>
        <v>-0.3010299956639812</v>
      </c>
      <c r="BE38">
        <f>LOG(Table1_1__2[[#This Row],[PFBS]])</f>
        <v>-1.3010299956639813</v>
      </c>
      <c r="BF38">
        <f>LOG(Table1_1__2[[#This Row],[PFPeS]])</f>
        <v>-1.3010299956639813</v>
      </c>
      <c r="BG38">
        <f>LOG(Table1_1__2[[#This Row],[PFHxS]])</f>
        <v>-0.45593195564972439</v>
      </c>
      <c r="BH38">
        <f>LOG(Table1_1__2[[#This Row],[PFHpS]])</f>
        <v>-1.3010299956639813</v>
      </c>
      <c r="BI38">
        <f>LOG(Table1_1__2[[#This Row],[PFOS]])</f>
        <v>4.1392685158225077E-2</v>
      </c>
      <c r="BJ38">
        <f>LOG(Table1_1__2[[#This Row],[PFNS]])</f>
        <v>-1.3010299956639813</v>
      </c>
      <c r="BK38">
        <f>LOG(Table1_1__2[[#This Row],[PFDS]])</f>
        <v>-1.3010299956639813</v>
      </c>
      <c r="BL38">
        <f>LOG(Table1_1__2[[#This Row],[PFDoS]])</f>
        <v>-1.3010299956639813</v>
      </c>
      <c r="BM38">
        <f>LOG(Table1_1__2[[#This Row],[4:2 FTS]])</f>
        <v>-0.69897000433601875</v>
      </c>
      <c r="BN38">
        <f>LOG(Table1_1__2[[#This Row],[6:2 FTS]])</f>
        <v>-0.3979400086720376</v>
      </c>
      <c r="BO38">
        <f>LOG(Table1_1__2[[#This Row],[8:2 FTS]])</f>
        <v>-0.3979400086720376</v>
      </c>
      <c r="BP38">
        <f>LOG(Table1_1__2[[#This Row],[FOSA]])</f>
        <v>-1.0457574905606752</v>
      </c>
      <c r="BQ38">
        <f>LOG(Table1_1__2[[#This Row],[N-MeFOSA]])</f>
        <v>-1.3010299956639813</v>
      </c>
      <c r="BR38">
        <f>LOG(Table1_1__2[[#This Row],[N-MeFOSAA]])</f>
        <v>-1.3010299956639813</v>
      </c>
      <c r="BS38">
        <f>LOG(Table1_1__2[[#This Row],[N-EtFOSAA]])</f>
        <v>-1.3010299956639813</v>
      </c>
      <c r="BT38">
        <f>LOG(Table1_1__2[[#This Row],[ADONA]])</f>
        <v>-0.69897000433601875</v>
      </c>
      <c r="BU38">
        <f>LOG(Table1_1__2[[#This Row],[3:3 FTCA]])</f>
        <v>-0.6020599913279624</v>
      </c>
      <c r="BV38">
        <f>LOG(Table1_1__2[[#This Row],[5:3 FTCA]])</f>
        <v>9.691001300805642E-2</v>
      </c>
      <c r="BW38">
        <f>LOG(Table1_1__2[[#This Row],[7:3 FTCA]])</f>
        <v>9.691001300805642E-2</v>
      </c>
      <c r="BX38">
        <f>LOG(Table1_1__2[[#This Row],[N-EtFOSA]])</f>
        <v>-1.3010299956639813</v>
      </c>
      <c r="BY38">
        <f>LOG(Table1_1__2[[#This Row],[N-MeFOSE]])</f>
        <v>-0.3010299956639812</v>
      </c>
      <c r="BZ38">
        <f>LOG(Table1_1__2[[#This Row],[N-EtFOSE]])</f>
        <v>-0.3010299956639812</v>
      </c>
      <c r="CA38">
        <f>LOG(Table1_1__2[[#This Row],[HFPO-DA]])</f>
        <v>-0.52287874528033762</v>
      </c>
      <c r="CB38">
        <f>LOG(Table1_1__2[[#This Row],[PFMBA]])</f>
        <v>-1</v>
      </c>
      <c r="CC38">
        <f>LOG(Table1_1__2[[#This Row],[NFDHA]])</f>
        <v>-1</v>
      </c>
      <c r="CD38">
        <f>LOG(Table1_1__2[[#This Row],[9Cl-PF3ONS]])</f>
        <v>-0.69897000433601875</v>
      </c>
      <c r="CE38">
        <f>LOG(Table1_1__2[[#This Row],[11Cl-PF3OUdS]])</f>
        <v>-0.69897000433601875</v>
      </c>
      <c r="CF38">
        <f>LOG(Table1_1__2[[#This Row],[PFEESA]])</f>
        <v>-1</v>
      </c>
      <c r="CG38">
        <f>LOG(Table1_1__2[[#This Row],[PFMPA]])</f>
        <v>-1</v>
      </c>
    </row>
    <row r="39" spans="1:85" x14ac:dyDescent="0.3">
      <c r="A39" s="2" t="s">
        <v>86</v>
      </c>
      <c r="B39" s="3">
        <v>44363.5</v>
      </c>
      <c r="C39" s="2" t="s">
        <v>31</v>
      </c>
      <c r="D39" s="2" t="s">
        <v>39</v>
      </c>
      <c r="E39">
        <v>0.2</v>
      </c>
      <c r="F39">
        <v>0.1</v>
      </c>
      <c r="G39">
        <v>0.14000000000000001</v>
      </c>
      <c r="H39">
        <v>0.09</v>
      </c>
      <c r="I39">
        <v>0.18</v>
      </c>
      <c r="J39">
        <v>0.05</v>
      </c>
      <c r="K39">
        <v>0.05</v>
      </c>
      <c r="L39">
        <v>0.05</v>
      </c>
      <c r="M39">
        <v>6.3E-2</v>
      </c>
      <c r="N39">
        <v>0.05</v>
      </c>
      <c r="O39">
        <v>0.05</v>
      </c>
      <c r="P39">
        <v>0.05</v>
      </c>
      <c r="Q39">
        <v>0.05</v>
      </c>
      <c r="R39">
        <v>0.42</v>
      </c>
      <c r="S39">
        <v>0.05</v>
      </c>
      <c r="T39">
        <v>2.9</v>
      </c>
      <c r="U39">
        <v>0.05</v>
      </c>
      <c r="V39">
        <v>0.05</v>
      </c>
      <c r="W39">
        <v>0.05</v>
      </c>
      <c r="X39">
        <v>0.2</v>
      </c>
      <c r="Y39">
        <v>0.4</v>
      </c>
      <c r="Z39">
        <v>0.4</v>
      </c>
      <c r="AA39">
        <v>0.16</v>
      </c>
      <c r="AB39">
        <v>0.05</v>
      </c>
      <c r="AC39">
        <v>0.05</v>
      </c>
      <c r="AD39">
        <v>0.05</v>
      </c>
      <c r="AE39">
        <v>0.2</v>
      </c>
      <c r="AF39">
        <v>0.25</v>
      </c>
      <c r="AG39">
        <v>1.25</v>
      </c>
      <c r="AH39">
        <v>1.25</v>
      </c>
      <c r="AI39">
        <v>0.05</v>
      </c>
      <c r="AJ39">
        <v>0.5</v>
      </c>
      <c r="AK39">
        <v>0.5</v>
      </c>
      <c r="AL39">
        <v>0.3</v>
      </c>
      <c r="AM39">
        <v>0.1</v>
      </c>
      <c r="AN39">
        <v>0.1</v>
      </c>
      <c r="AO39">
        <v>0.2</v>
      </c>
      <c r="AP39">
        <v>0.2</v>
      </c>
      <c r="AQ39">
        <v>0.1</v>
      </c>
      <c r="AR39">
        <v>0.1</v>
      </c>
      <c r="AS39">
        <f>SUM(Table1_1__2[[#This Row],[PFBA]:[PFMPA]])</f>
        <v>11.052999999999999</v>
      </c>
      <c r="AT39">
        <f>LOG(Table1_1__2[[#This Row],[PFBA]])</f>
        <v>-0.69897000433601875</v>
      </c>
      <c r="AU39">
        <f>LOG(Table1_1__2[[#This Row],[PFPeA]])</f>
        <v>-1</v>
      </c>
      <c r="AV39">
        <f>LOG(Table1_1__2[[#This Row],[PFHxA]])</f>
        <v>-0.85387196432176193</v>
      </c>
      <c r="AW39">
        <f>LOG(Table1_1__2[[#This Row],[PFHpA]])</f>
        <v>-1.0457574905606752</v>
      </c>
      <c r="AX39">
        <f>LOG(Table1_1__2[[#This Row],[PFOA]])</f>
        <v>-0.74472749489669399</v>
      </c>
      <c r="AY39">
        <f>LOG(Table1_1__2[[#This Row],[PFNA]])</f>
        <v>-1.3010299956639813</v>
      </c>
      <c r="AZ39">
        <f>LOG(Table1_1__2[[#This Row],[PFDA]])</f>
        <v>-1.3010299956639813</v>
      </c>
      <c r="BA39">
        <f>LOG(Table1_1__2[[#This Row],[PFUnA]])</f>
        <v>-1.3010299956639813</v>
      </c>
      <c r="BB39">
        <f>LOG(Table1_1__2[[#This Row],[PFDoA]])</f>
        <v>-1.2006594505464183</v>
      </c>
      <c r="BC39">
        <f>LOG(Table1_1__2[[#This Row],[PFTrDA]])</f>
        <v>-1.3010299956639813</v>
      </c>
      <c r="BD39">
        <f>LOG(Table1_1__2[[#This Row],[PFTeDA]])</f>
        <v>-1.3010299956639813</v>
      </c>
      <c r="BE39">
        <f>LOG(Table1_1__2[[#This Row],[PFBS]])</f>
        <v>-1.3010299956639813</v>
      </c>
      <c r="BF39">
        <f>LOG(Table1_1__2[[#This Row],[PFPeS]])</f>
        <v>-1.3010299956639813</v>
      </c>
      <c r="BG39">
        <f>LOG(Table1_1__2[[#This Row],[PFHxS]])</f>
        <v>-0.37675070960209955</v>
      </c>
      <c r="BH39">
        <f>LOG(Table1_1__2[[#This Row],[PFHpS]])</f>
        <v>-1.3010299956639813</v>
      </c>
      <c r="BI39">
        <f>LOG(Table1_1__2[[#This Row],[PFOS]])</f>
        <v>0.46239799789895608</v>
      </c>
      <c r="BJ39">
        <f>LOG(Table1_1__2[[#This Row],[PFNS]])</f>
        <v>-1.3010299956639813</v>
      </c>
      <c r="BK39">
        <f>LOG(Table1_1__2[[#This Row],[PFDS]])</f>
        <v>-1.3010299956639813</v>
      </c>
      <c r="BL39">
        <f>LOG(Table1_1__2[[#This Row],[PFDoS]])</f>
        <v>-1.3010299956639813</v>
      </c>
      <c r="BM39">
        <f>LOG(Table1_1__2[[#This Row],[4:2 FTS]])</f>
        <v>-0.69897000433601875</v>
      </c>
      <c r="BN39">
        <f>LOG(Table1_1__2[[#This Row],[6:2 FTS]])</f>
        <v>-0.3979400086720376</v>
      </c>
      <c r="BO39">
        <f>LOG(Table1_1__2[[#This Row],[8:2 FTS]])</f>
        <v>-0.3979400086720376</v>
      </c>
      <c r="BP39">
        <f>LOG(Table1_1__2[[#This Row],[FOSA]])</f>
        <v>-0.79588001734407521</v>
      </c>
      <c r="BQ39">
        <f>LOG(Table1_1__2[[#This Row],[N-MeFOSA]])</f>
        <v>-1.3010299956639813</v>
      </c>
      <c r="BR39">
        <f>LOG(Table1_1__2[[#This Row],[N-MeFOSAA]])</f>
        <v>-1.3010299956639813</v>
      </c>
      <c r="BS39">
        <f>LOG(Table1_1__2[[#This Row],[N-EtFOSAA]])</f>
        <v>-1.3010299956639813</v>
      </c>
      <c r="BT39">
        <f>LOG(Table1_1__2[[#This Row],[ADONA]])</f>
        <v>-0.69897000433601875</v>
      </c>
      <c r="BU39">
        <f>LOG(Table1_1__2[[#This Row],[3:3 FTCA]])</f>
        <v>-0.6020599913279624</v>
      </c>
      <c r="BV39">
        <f>LOG(Table1_1__2[[#This Row],[5:3 FTCA]])</f>
        <v>9.691001300805642E-2</v>
      </c>
      <c r="BW39">
        <f>LOG(Table1_1__2[[#This Row],[7:3 FTCA]])</f>
        <v>9.691001300805642E-2</v>
      </c>
      <c r="BX39">
        <f>LOG(Table1_1__2[[#This Row],[N-EtFOSA]])</f>
        <v>-1.3010299956639813</v>
      </c>
      <c r="BY39">
        <f>LOG(Table1_1__2[[#This Row],[N-MeFOSE]])</f>
        <v>-0.3010299956639812</v>
      </c>
      <c r="BZ39">
        <f>LOG(Table1_1__2[[#This Row],[N-EtFOSE]])</f>
        <v>-0.3010299956639812</v>
      </c>
      <c r="CA39">
        <f>LOG(Table1_1__2[[#This Row],[HFPO-DA]])</f>
        <v>-0.52287874528033762</v>
      </c>
      <c r="CB39">
        <f>LOG(Table1_1__2[[#This Row],[PFMBA]])</f>
        <v>-1</v>
      </c>
      <c r="CC39">
        <f>LOG(Table1_1__2[[#This Row],[NFDHA]])</f>
        <v>-1</v>
      </c>
      <c r="CD39">
        <f>LOG(Table1_1__2[[#This Row],[9Cl-PF3ONS]])</f>
        <v>-0.69897000433601875</v>
      </c>
      <c r="CE39">
        <f>LOG(Table1_1__2[[#This Row],[11Cl-PF3OUdS]])</f>
        <v>-0.69897000433601875</v>
      </c>
      <c r="CF39">
        <f>LOG(Table1_1__2[[#This Row],[PFEESA]])</f>
        <v>-1</v>
      </c>
      <c r="CG39">
        <f>LOG(Table1_1__2[[#This Row],[PFMPA]])</f>
        <v>-1</v>
      </c>
    </row>
    <row r="40" spans="1:85" x14ac:dyDescent="0.3">
      <c r="A40" s="2" t="s">
        <v>87</v>
      </c>
      <c r="B40" s="3">
        <v>44363.5</v>
      </c>
      <c r="C40" s="2" t="s">
        <v>33</v>
      </c>
      <c r="D40" s="2" t="s">
        <v>39</v>
      </c>
      <c r="E40">
        <v>0.2</v>
      </c>
      <c r="F40">
        <v>0.1</v>
      </c>
      <c r="G40">
        <v>0.09</v>
      </c>
      <c r="H40">
        <v>0.09</v>
      </c>
      <c r="I40">
        <v>8.6999999999999994E-2</v>
      </c>
      <c r="J40">
        <v>0.05</v>
      </c>
      <c r="K40">
        <v>0.05</v>
      </c>
      <c r="L40">
        <v>0.05</v>
      </c>
      <c r="M40">
        <v>0.24</v>
      </c>
      <c r="N40">
        <v>0.24</v>
      </c>
      <c r="O40">
        <v>0.24</v>
      </c>
      <c r="P40">
        <v>0.05</v>
      </c>
      <c r="Q40">
        <v>0.05</v>
      </c>
      <c r="R40">
        <v>0.17</v>
      </c>
      <c r="S40">
        <v>0.05</v>
      </c>
      <c r="T40">
        <v>0.66</v>
      </c>
      <c r="U40">
        <v>0.05</v>
      </c>
      <c r="V40">
        <v>0.05</v>
      </c>
      <c r="W40">
        <v>0.05</v>
      </c>
      <c r="X40">
        <v>0.2</v>
      </c>
      <c r="Y40">
        <v>0.4</v>
      </c>
      <c r="Z40">
        <v>0.4</v>
      </c>
      <c r="AA40">
        <v>0.09</v>
      </c>
      <c r="AB40">
        <v>0.05</v>
      </c>
      <c r="AC40">
        <v>0.05</v>
      </c>
      <c r="AD40">
        <v>0.05</v>
      </c>
      <c r="AE40">
        <v>0.2</v>
      </c>
      <c r="AF40">
        <v>0.25</v>
      </c>
      <c r="AG40">
        <v>1.25</v>
      </c>
      <c r="AH40">
        <v>1.25</v>
      </c>
      <c r="AI40">
        <v>0.05</v>
      </c>
      <c r="AJ40">
        <v>0.5</v>
      </c>
      <c r="AK40">
        <v>0.5</v>
      </c>
      <c r="AL40">
        <v>0.3</v>
      </c>
      <c r="AM40">
        <v>0.1</v>
      </c>
      <c r="AN40">
        <v>0.1</v>
      </c>
      <c r="AO40">
        <v>0.2</v>
      </c>
      <c r="AP40">
        <v>0.2</v>
      </c>
      <c r="AQ40">
        <v>0.1</v>
      </c>
      <c r="AR40">
        <v>0.1</v>
      </c>
      <c r="AS40">
        <f>SUM(Table1_1__2[[#This Row],[PFBA]:[PFMPA]])</f>
        <v>8.9069999999999965</v>
      </c>
      <c r="AT40">
        <f>LOG(Table1_1__2[[#This Row],[PFBA]])</f>
        <v>-0.69897000433601875</v>
      </c>
      <c r="AU40">
        <f>LOG(Table1_1__2[[#This Row],[PFPeA]])</f>
        <v>-1</v>
      </c>
      <c r="AV40">
        <f>LOG(Table1_1__2[[#This Row],[PFHxA]])</f>
        <v>-1.0457574905606752</v>
      </c>
      <c r="AW40">
        <f>LOG(Table1_1__2[[#This Row],[PFHpA]])</f>
        <v>-1.0457574905606752</v>
      </c>
      <c r="AX40">
        <f>LOG(Table1_1__2[[#This Row],[PFOA]])</f>
        <v>-1.0604807473813815</v>
      </c>
      <c r="AY40">
        <f>LOG(Table1_1__2[[#This Row],[PFNA]])</f>
        <v>-1.3010299956639813</v>
      </c>
      <c r="AZ40">
        <f>LOG(Table1_1__2[[#This Row],[PFDA]])</f>
        <v>-1.3010299956639813</v>
      </c>
      <c r="BA40">
        <f>LOG(Table1_1__2[[#This Row],[PFUnA]])</f>
        <v>-1.3010299956639813</v>
      </c>
      <c r="BB40">
        <f>LOG(Table1_1__2[[#This Row],[PFDoA]])</f>
        <v>-0.61978875828839397</v>
      </c>
      <c r="BC40">
        <f>LOG(Table1_1__2[[#This Row],[PFTrDA]])</f>
        <v>-0.61978875828839397</v>
      </c>
      <c r="BD40">
        <f>LOG(Table1_1__2[[#This Row],[PFTeDA]])</f>
        <v>-0.61978875828839397</v>
      </c>
      <c r="BE40">
        <f>LOG(Table1_1__2[[#This Row],[PFBS]])</f>
        <v>-1.3010299956639813</v>
      </c>
      <c r="BF40">
        <f>LOG(Table1_1__2[[#This Row],[PFPeS]])</f>
        <v>-1.3010299956639813</v>
      </c>
      <c r="BG40">
        <f>LOG(Table1_1__2[[#This Row],[PFHxS]])</f>
        <v>-0.769551078621726</v>
      </c>
      <c r="BH40">
        <f>LOG(Table1_1__2[[#This Row],[PFHpS]])</f>
        <v>-1.3010299956639813</v>
      </c>
      <c r="BI40">
        <f>LOG(Table1_1__2[[#This Row],[PFOS]])</f>
        <v>-0.18045606445813131</v>
      </c>
      <c r="BJ40">
        <f>LOG(Table1_1__2[[#This Row],[PFNS]])</f>
        <v>-1.3010299956639813</v>
      </c>
      <c r="BK40">
        <f>LOG(Table1_1__2[[#This Row],[PFDS]])</f>
        <v>-1.3010299956639813</v>
      </c>
      <c r="BL40">
        <f>LOG(Table1_1__2[[#This Row],[PFDoS]])</f>
        <v>-1.3010299956639813</v>
      </c>
      <c r="BM40">
        <f>LOG(Table1_1__2[[#This Row],[4:2 FTS]])</f>
        <v>-0.69897000433601875</v>
      </c>
      <c r="BN40">
        <f>LOG(Table1_1__2[[#This Row],[6:2 FTS]])</f>
        <v>-0.3979400086720376</v>
      </c>
      <c r="BO40">
        <f>LOG(Table1_1__2[[#This Row],[8:2 FTS]])</f>
        <v>-0.3979400086720376</v>
      </c>
      <c r="BP40">
        <f>LOG(Table1_1__2[[#This Row],[FOSA]])</f>
        <v>-1.0457574905606752</v>
      </c>
      <c r="BQ40">
        <f>LOG(Table1_1__2[[#This Row],[N-MeFOSA]])</f>
        <v>-1.3010299956639813</v>
      </c>
      <c r="BR40">
        <f>LOG(Table1_1__2[[#This Row],[N-MeFOSAA]])</f>
        <v>-1.3010299956639813</v>
      </c>
      <c r="BS40">
        <f>LOG(Table1_1__2[[#This Row],[N-EtFOSAA]])</f>
        <v>-1.3010299956639813</v>
      </c>
      <c r="BT40">
        <f>LOG(Table1_1__2[[#This Row],[ADONA]])</f>
        <v>-0.69897000433601875</v>
      </c>
      <c r="BU40">
        <f>LOG(Table1_1__2[[#This Row],[3:3 FTCA]])</f>
        <v>-0.6020599913279624</v>
      </c>
      <c r="BV40">
        <f>LOG(Table1_1__2[[#This Row],[5:3 FTCA]])</f>
        <v>9.691001300805642E-2</v>
      </c>
      <c r="BW40">
        <f>LOG(Table1_1__2[[#This Row],[7:3 FTCA]])</f>
        <v>9.691001300805642E-2</v>
      </c>
      <c r="BX40">
        <f>LOG(Table1_1__2[[#This Row],[N-EtFOSA]])</f>
        <v>-1.3010299956639813</v>
      </c>
      <c r="BY40">
        <f>LOG(Table1_1__2[[#This Row],[N-MeFOSE]])</f>
        <v>-0.3010299956639812</v>
      </c>
      <c r="BZ40">
        <f>LOG(Table1_1__2[[#This Row],[N-EtFOSE]])</f>
        <v>-0.3010299956639812</v>
      </c>
      <c r="CA40">
        <f>LOG(Table1_1__2[[#This Row],[HFPO-DA]])</f>
        <v>-0.52287874528033762</v>
      </c>
      <c r="CB40">
        <f>LOG(Table1_1__2[[#This Row],[PFMBA]])</f>
        <v>-1</v>
      </c>
      <c r="CC40">
        <f>LOG(Table1_1__2[[#This Row],[NFDHA]])</f>
        <v>-1</v>
      </c>
      <c r="CD40">
        <f>LOG(Table1_1__2[[#This Row],[9Cl-PF3ONS]])</f>
        <v>-0.69897000433601875</v>
      </c>
      <c r="CE40">
        <f>LOG(Table1_1__2[[#This Row],[11Cl-PF3OUdS]])</f>
        <v>-0.69897000433601875</v>
      </c>
      <c r="CF40">
        <f>LOG(Table1_1__2[[#This Row],[PFEESA]])</f>
        <v>-1</v>
      </c>
      <c r="CG40">
        <f>LOG(Table1_1__2[[#This Row],[PFMPA]])</f>
        <v>-1</v>
      </c>
    </row>
    <row r="41" spans="1:85" x14ac:dyDescent="0.3">
      <c r="A41" s="2" t="s">
        <v>88</v>
      </c>
      <c r="B41" s="3">
        <v>44363.5</v>
      </c>
      <c r="C41" s="2" t="s">
        <v>29</v>
      </c>
      <c r="D41" s="2" t="s">
        <v>39</v>
      </c>
      <c r="E41">
        <v>0.2</v>
      </c>
      <c r="F41">
        <v>0.1</v>
      </c>
      <c r="G41">
        <v>0.09</v>
      </c>
      <c r="H41">
        <v>0.09</v>
      </c>
      <c r="I41">
        <v>9.1999999999999998E-2</v>
      </c>
      <c r="J41">
        <v>0.05</v>
      </c>
      <c r="K41">
        <v>0.05</v>
      </c>
      <c r="L41">
        <v>0.05</v>
      </c>
      <c r="M41">
        <v>0.05</v>
      </c>
      <c r="N41">
        <v>0.05</v>
      </c>
      <c r="O41">
        <v>0.05</v>
      </c>
      <c r="P41">
        <v>0.05</v>
      </c>
      <c r="Q41">
        <v>0.05</v>
      </c>
      <c r="R41">
        <v>0.2</v>
      </c>
      <c r="S41">
        <v>0.05</v>
      </c>
      <c r="T41">
        <v>0.68</v>
      </c>
      <c r="U41">
        <v>0.05</v>
      </c>
      <c r="V41">
        <v>0.05</v>
      </c>
      <c r="W41">
        <v>0.05</v>
      </c>
      <c r="X41">
        <v>0.2</v>
      </c>
      <c r="Y41">
        <v>0.4</v>
      </c>
      <c r="Z41">
        <v>0.4</v>
      </c>
      <c r="AA41">
        <v>0.09</v>
      </c>
      <c r="AB41">
        <v>0.05</v>
      </c>
      <c r="AC41">
        <v>0.05</v>
      </c>
      <c r="AD41">
        <v>0.05</v>
      </c>
      <c r="AE41">
        <v>0.2</v>
      </c>
      <c r="AF41">
        <v>0.25</v>
      </c>
      <c r="AG41">
        <v>1.25</v>
      </c>
      <c r="AH41">
        <v>1.25</v>
      </c>
      <c r="AI41">
        <v>0.05</v>
      </c>
      <c r="AJ41">
        <v>0.5</v>
      </c>
      <c r="AK41">
        <v>0.5</v>
      </c>
      <c r="AL41">
        <v>0.3</v>
      </c>
      <c r="AM41">
        <v>0.1</v>
      </c>
      <c r="AN41">
        <v>0.1</v>
      </c>
      <c r="AO41">
        <v>0.2</v>
      </c>
      <c r="AP41">
        <v>0.2</v>
      </c>
      <c r="AQ41">
        <v>0.1</v>
      </c>
      <c r="AR41">
        <v>0.1</v>
      </c>
      <c r="AS41">
        <f>SUM(Table1_1__2[[#This Row],[PFBA]:[PFMPA]])</f>
        <v>8.3919999999999977</v>
      </c>
      <c r="AT41">
        <f>LOG(Table1_1__2[[#This Row],[PFBA]])</f>
        <v>-0.69897000433601875</v>
      </c>
      <c r="AU41">
        <f>LOG(Table1_1__2[[#This Row],[PFPeA]])</f>
        <v>-1</v>
      </c>
      <c r="AV41">
        <f>LOG(Table1_1__2[[#This Row],[PFHxA]])</f>
        <v>-1.0457574905606752</v>
      </c>
      <c r="AW41">
        <f>LOG(Table1_1__2[[#This Row],[PFHpA]])</f>
        <v>-1.0457574905606752</v>
      </c>
      <c r="AX41">
        <f>LOG(Table1_1__2[[#This Row],[PFOA]])</f>
        <v>-1.0362121726544447</v>
      </c>
      <c r="AY41">
        <f>LOG(Table1_1__2[[#This Row],[PFNA]])</f>
        <v>-1.3010299956639813</v>
      </c>
      <c r="AZ41">
        <f>LOG(Table1_1__2[[#This Row],[PFDA]])</f>
        <v>-1.3010299956639813</v>
      </c>
      <c r="BA41">
        <f>LOG(Table1_1__2[[#This Row],[PFUnA]])</f>
        <v>-1.3010299956639813</v>
      </c>
      <c r="BB41">
        <f>LOG(Table1_1__2[[#This Row],[PFDoA]])</f>
        <v>-1.3010299956639813</v>
      </c>
      <c r="BC41">
        <f>LOG(Table1_1__2[[#This Row],[PFTrDA]])</f>
        <v>-1.3010299956639813</v>
      </c>
      <c r="BD41">
        <f>LOG(Table1_1__2[[#This Row],[PFTeDA]])</f>
        <v>-1.3010299956639813</v>
      </c>
      <c r="BE41">
        <f>LOG(Table1_1__2[[#This Row],[PFBS]])</f>
        <v>-1.3010299956639813</v>
      </c>
      <c r="BF41">
        <f>LOG(Table1_1__2[[#This Row],[PFPeS]])</f>
        <v>-1.3010299956639813</v>
      </c>
      <c r="BG41">
        <f>LOG(Table1_1__2[[#This Row],[PFHxS]])</f>
        <v>-0.69897000433601875</v>
      </c>
      <c r="BH41">
        <f>LOG(Table1_1__2[[#This Row],[PFHpS]])</f>
        <v>-1.3010299956639813</v>
      </c>
      <c r="BI41">
        <f>LOG(Table1_1__2[[#This Row],[PFOS]])</f>
        <v>-0.16749108729376366</v>
      </c>
      <c r="BJ41">
        <f>LOG(Table1_1__2[[#This Row],[PFNS]])</f>
        <v>-1.3010299956639813</v>
      </c>
      <c r="BK41">
        <f>LOG(Table1_1__2[[#This Row],[PFDS]])</f>
        <v>-1.3010299956639813</v>
      </c>
      <c r="BL41">
        <f>LOG(Table1_1__2[[#This Row],[PFDoS]])</f>
        <v>-1.3010299956639813</v>
      </c>
      <c r="BM41">
        <f>LOG(Table1_1__2[[#This Row],[4:2 FTS]])</f>
        <v>-0.69897000433601875</v>
      </c>
      <c r="BN41">
        <f>LOG(Table1_1__2[[#This Row],[6:2 FTS]])</f>
        <v>-0.3979400086720376</v>
      </c>
      <c r="BO41">
        <f>LOG(Table1_1__2[[#This Row],[8:2 FTS]])</f>
        <v>-0.3979400086720376</v>
      </c>
      <c r="BP41">
        <f>LOG(Table1_1__2[[#This Row],[FOSA]])</f>
        <v>-1.0457574905606752</v>
      </c>
      <c r="BQ41">
        <f>LOG(Table1_1__2[[#This Row],[N-MeFOSA]])</f>
        <v>-1.3010299956639813</v>
      </c>
      <c r="BR41">
        <f>LOG(Table1_1__2[[#This Row],[N-MeFOSAA]])</f>
        <v>-1.3010299956639813</v>
      </c>
      <c r="BS41">
        <f>LOG(Table1_1__2[[#This Row],[N-EtFOSAA]])</f>
        <v>-1.3010299956639813</v>
      </c>
      <c r="BT41">
        <f>LOG(Table1_1__2[[#This Row],[ADONA]])</f>
        <v>-0.69897000433601875</v>
      </c>
      <c r="BU41">
        <f>LOG(Table1_1__2[[#This Row],[3:3 FTCA]])</f>
        <v>-0.6020599913279624</v>
      </c>
      <c r="BV41">
        <f>LOG(Table1_1__2[[#This Row],[5:3 FTCA]])</f>
        <v>9.691001300805642E-2</v>
      </c>
      <c r="BW41">
        <f>LOG(Table1_1__2[[#This Row],[7:3 FTCA]])</f>
        <v>9.691001300805642E-2</v>
      </c>
      <c r="BX41">
        <f>LOG(Table1_1__2[[#This Row],[N-EtFOSA]])</f>
        <v>-1.3010299956639813</v>
      </c>
      <c r="BY41">
        <f>LOG(Table1_1__2[[#This Row],[N-MeFOSE]])</f>
        <v>-0.3010299956639812</v>
      </c>
      <c r="BZ41">
        <f>LOG(Table1_1__2[[#This Row],[N-EtFOSE]])</f>
        <v>-0.3010299956639812</v>
      </c>
      <c r="CA41">
        <f>LOG(Table1_1__2[[#This Row],[HFPO-DA]])</f>
        <v>-0.52287874528033762</v>
      </c>
      <c r="CB41">
        <f>LOG(Table1_1__2[[#This Row],[PFMBA]])</f>
        <v>-1</v>
      </c>
      <c r="CC41">
        <f>LOG(Table1_1__2[[#This Row],[NFDHA]])</f>
        <v>-1</v>
      </c>
      <c r="CD41">
        <f>LOG(Table1_1__2[[#This Row],[9Cl-PF3ONS]])</f>
        <v>-0.69897000433601875</v>
      </c>
      <c r="CE41">
        <f>LOG(Table1_1__2[[#This Row],[11Cl-PF3OUdS]])</f>
        <v>-0.69897000433601875</v>
      </c>
      <c r="CF41">
        <f>LOG(Table1_1__2[[#This Row],[PFEESA]])</f>
        <v>-1</v>
      </c>
      <c r="CG41">
        <f>LOG(Table1_1__2[[#This Row],[PFMPA]])</f>
        <v>-1</v>
      </c>
    </row>
    <row r="42" spans="1:85" x14ac:dyDescent="0.3">
      <c r="A42" s="2" t="s">
        <v>89</v>
      </c>
      <c r="B42" s="3">
        <v>44370.5</v>
      </c>
      <c r="C42" s="2" t="s">
        <v>26</v>
      </c>
      <c r="D42" s="2" t="s">
        <v>39</v>
      </c>
      <c r="E42">
        <v>0.2</v>
      </c>
      <c r="F42">
        <v>0.1</v>
      </c>
      <c r="G42">
        <v>0.15</v>
      </c>
      <c r="H42">
        <v>0.09</v>
      </c>
      <c r="I42">
        <v>0.32</v>
      </c>
      <c r="J42">
        <v>0.05</v>
      </c>
      <c r="K42">
        <v>0.05</v>
      </c>
      <c r="L42">
        <v>0.05</v>
      </c>
      <c r="M42">
        <v>0.05</v>
      </c>
      <c r="N42">
        <v>0.05</v>
      </c>
      <c r="O42">
        <v>0.05</v>
      </c>
      <c r="P42">
        <v>0.05</v>
      </c>
      <c r="Q42">
        <v>0.05</v>
      </c>
      <c r="R42">
        <v>0.28000000000000003</v>
      </c>
      <c r="S42">
        <v>0.05</v>
      </c>
      <c r="T42">
        <v>0.89</v>
      </c>
      <c r="U42">
        <v>0.05</v>
      </c>
      <c r="V42">
        <v>0.05</v>
      </c>
      <c r="W42">
        <v>0.05</v>
      </c>
      <c r="X42">
        <v>0.2</v>
      </c>
      <c r="Y42">
        <v>0.4</v>
      </c>
      <c r="Z42">
        <v>0.4</v>
      </c>
      <c r="AA42">
        <v>0.09</v>
      </c>
      <c r="AB42">
        <v>0.05</v>
      </c>
      <c r="AC42">
        <v>0.05</v>
      </c>
      <c r="AD42">
        <v>0.05</v>
      </c>
      <c r="AE42">
        <v>0.2</v>
      </c>
      <c r="AF42">
        <v>0.25</v>
      </c>
      <c r="AG42">
        <v>1.25</v>
      </c>
      <c r="AH42">
        <v>1.25</v>
      </c>
      <c r="AI42">
        <v>0.05</v>
      </c>
      <c r="AJ42">
        <v>0.5</v>
      </c>
      <c r="AK42">
        <v>0.5</v>
      </c>
      <c r="AL42">
        <v>0.3</v>
      </c>
      <c r="AM42">
        <v>0.1</v>
      </c>
      <c r="AN42">
        <v>0.1</v>
      </c>
      <c r="AO42">
        <v>0.2</v>
      </c>
      <c r="AP42">
        <v>0.2</v>
      </c>
      <c r="AQ42">
        <v>0.1</v>
      </c>
      <c r="AR42">
        <v>0.1</v>
      </c>
      <c r="AS42">
        <f>SUM(Table1_1__2[[#This Row],[PFBA]:[PFMPA]])</f>
        <v>8.9699999999999971</v>
      </c>
      <c r="AT42">
        <f>LOG(Table1_1__2[[#This Row],[PFBA]])</f>
        <v>-0.69897000433601875</v>
      </c>
      <c r="AU42">
        <f>LOG(Table1_1__2[[#This Row],[PFPeA]])</f>
        <v>-1</v>
      </c>
      <c r="AV42">
        <f>LOG(Table1_1__2[[#This Row],[PFHxA]])</f>
        <v>-0.82390874094431876</v>
      </c>
      <c r="AW42">
        <f>LOG(Table1_1__2[[#This Row],[PFHpA]])</f>
        <v>-1.0457574905606752</v>
      </c>
      <c r="AX42">
        <f>LOG(Table1_1__2[[#This Row],[PFOA]])</f>
        <v>-0.49485002168009401</v>
      </c>
      <c r="AY42">
        <f>LOG(Table1_1__2[[#This Row],[PFNA]])</f>
        <v>-1.3010299956639813</v>
      </c>
      <c r="AZ42">
        <f>LOG(Table1_1__2[[#This Row],[PFDA]])</f>
        <v>-1.3010299956639813</v>
      </c>
      <c r="BA42">
        <f>LOG(Table1_1__2[[#This Row],[PFUnA]])</f>
        <v>-1.3010299956639813</v>
      </c>
      <c r="BB42">
        <f>LOG(Table1_1__2[[#This Row],[PFDoA]])</f>
        <v>-1.3010299956639813</v>
      </c>
      <c r="BC42">
        <f>LOG(Table1_1__2[[#This Row],[PFTrDA]])</f>
        <v>-1.3010299956639813</v>
      </c>
      <c r="BD42">
        <f>LOG(Table1_1__2[[#This Row],[PFTeDA]])</f>
        <v>-1.3010299956639813</v>
      </c>
      <c r="BE42">
        <f>LOG(Table1_1__2[[#This Row],[PFBS]])</f>
        <v>-1.3010299956639813</v>
      </c>
      <c r="BF42">
        <f>LOG(Table1_1__2[[#This Row],[PFPeS]])</f>
        <v>-1.3010299956639813</v>
      </c>
      <c r="BG42">
        <f>LOG(Table1_1__2[[#This Row],[PFHxS]])</f>
        <v>-0.55284196865778079</v>
      </c>
      <c r="BH42">
        <f>LOG(Table1_1__2[[#This Row],[PFHpS]])</f>
        <v>-1.3010299956639813</v>
      </c>
      <c r="BI42">
        <f>LOG(Table1_1__2[[#This Row],[PFOS]])</f>
        <v>-5.0609993355087209E-2</v>
      </c>
      <c r="BJ42">
        <f>LOG(Table1_1__2[[#This Row],[PFNS]])</f>
        <v>-1.3010299956639813</v>
      </c>
      <c r="BK42">
        <f>LOG(Table1_1__2[[#This Row],[PFDS]])</f>
        <v>-1.3010299956639813</v>
      </c>
      <c r="BL42">
        <f>LOG(Table1_1__2[[#This Row],[PFDoS]])</f>
        <v>-1.3010299956639813</v>
      </c>
      <c r="BM42">
        <f>LOG(Table1_1__2[[#This Row],[4:2 FTS]])</f>
        <v>-0.69897000433601875</v>
      </c>
      <c r="BN42">
        <f>LOG(Table1_1__2[[#This Row],[6:2 FTS]])</f>
        <v>-0.3979400086720376</v>
      </c>
      <c r="BO42">
        <f>LOG(Table1_1__2[[#This Row],[8:2 FTS]])</f>
        <v>-0.3979400086720376</v>
      </c>
      <c r="BP42">
        <f>LOG(Table1_1__2[[#This Row],[FOSA]])</f>
        <v>-1.0457574905606752</v>
      </c>
      <c r="BQ42">
        <f>LOG(Table1_1__2[[#This Row],[N-MeFOSA]])</f>
        <v>-1.3010299956639813</v>
      </c>
      <c r="BR42">
        <f>LOG(Table1_1__2[[#This Row],[N-MeFOSAA]])</f>
        <v>-1.3010299956639813</v>
      </c>
      <c r="BS42">
        <f>LOG(Table1_1__2[[#This Row],[N-EtFOSAA]])</f>
        <v>-1.3010299956639813</v>
      </c>
      <c r="BT42">
        <f>LOG(Table1_1__2[[#This Row],[ADONA]])</f>
        <v>-0.69897000433601875</v>
      </c>
      <c r="BU42">
        <f>LOG(Table1_1__2[[#This Row],[3:3 FTCA]])</f>
        <v>-0.6020599913279624</v>
      </c>
      <c r="BV42">
        <f>LOG(Table1_1__2[[#This Row],[5:3 FTCA]])</f>
        <v>9.691001300805642E-2</v>
      </c>
      <c r="BW42">
        <f>LOG(Table1_1__2[[#This Row],[7:3 FTCA]])</f>
        <v>9.691001300805642E-2</v>
      </c>
      <c r="BX42">
        <f>LOG(Table1_1__2[[#This Row],[N-EtFOSA]])</f>
        <v>-1.3010299956639813</v>
      </c>
      <c r="BY42">
        <f>LOG(Table1_1__2[[#This Row],[N-MeFOSE]])</f>
        <v>-0.3010299956639812</v>
      </c>
      <c r="BZ42">
        <f>LOG(Table1_1__2[[#This Row],[N-EtFOSE]])</f>
        <v>-0.3010299956639812</v>
      </c>
      <c r="CA42">
        <f>LOG(Table1_1__2[[#This Row],[HFPO-DA]])</f>
        <v>-0.52287874528033762</v>
      </c>
      <c r="CB42">
        <f>LOG(Table1_1__2[[#This Row],[PFMBA]])</f>
        <v>-1</v>
      </c>
      <c r="CC42">
        <f>LOG(Table1_1__2[[#This Row],[NFDHA]])</f>
        <v>-1</v>
      </c>
      <c r="CD42">
        <f>LOG(Table1_1__2[[#This Row],[9Cl-PF3ONS]])</f>
        <v>-0.69897000433601875</v>
      </c>
      <c r="CE42">
        <f>LOG(Table1_1__2[[#This Row],[11Cl-PF3OUdS]])</f>
        <v>-0.69897000433601875</v>
      </c>
      <c r="CF42">
        <f>LOG(Table1_1__2[[#This Row],[PFEESA]])</f>
        <v>-1</v>
      </c>
      <c r="CG42">
        <f>LOG(Table1_1__2[[#This Row],[PFMPA]])</f>
        <v>-1</v>
      </c>
    </row>
    <row r="43" spans="1:85" x14ac:dyDescent="0.3">
      <c r="A43" s="2" t="s">
        <v>90</v>
      </c>
      <c r="B43" s="3">
        <v>44370.5</v>
      </c>
      <c r="C43" s="2" t="s">
        <v>31</v>
      </c>
      <c r="D43" s="2" t="s">
        <v>39</v>
      </c>
      <c r="E43">
        <v>0.2</v>
      </c>
      <c r="F43">
        <v>0.1</v>
      </c>
      <c r="G43">
        <v>0.13</v>
      </c>
      <c r="H43">
        <v>0.09</v>
      </c>
      <c r="I43">
        <v>0.13</v>
      </c>
      <c r="J43">
        <v>0.05</v>
      </c>
      <c r="K43">
        <v>0.05</v>
      </c>
      <c r="L43">
        <v>0.05</v>
      </c>
      <c r="M43">
        <v>0.05</v>
      </c>
      <c r="N43">
        <v>0.05</v>
      </c>
      <c r="O43">
        <v>0.05</v>
      </c>
      <c r="P43">
        <v>0.05</v>
      </c>
      <c r="Q43">
        <v>0.05</v>
      </c>
      <c r="R43">
        <v>0.41</v>
      </c>
      <c r="S43">
        <v>0.05</v>
      </c>
      <c r="T43">
        <v>2.4</v>
      </c>
      <c r="U43">
        <v>0.05</v>
      </c>
      <c r="V43">
        <v>0.05</v>
      </c>
      <c r="W43">
        <v>0.05</v>
      </c>
      <c r="X43">
        <v>0.2</v>
      </c>
      <c r="Y43">
        <v>0.4</v>
      </c>
      <c r="Z43">
        <v>0.4</v>
      </c>
      <c r="AA43">
        <v>0.13</v>
      </c>
      <c r="AB43">
        <v>0.05</v>
      </c>
      <c r="AC43">
        <v>0.05</v>
      </c>
      <c r="AD43">
        <v>0.05</v>
      </c>
      <c r="AE43">
        <v>0.2</v>
      </c>
      <c r="AF43">
        <v>0.25</v>
      </c>
      <c r="AG43">
        <v>1.25</v>
      </c>
      <c r="AH43">
        <v>1.25</v>
      </c>
      <c r="AI43">
        <v>0.05</v>
      </c>
      <c r="AJ43">
        <v>0.5</v>
      </c>
      <c r="AK43">
        <v>0.5</v>
      </c>
      <c r="AL43">
        <v>0.3</v>
      </c>
      <c r="AM43">
        <v>0.1</v>
      </c>
      <c r="AN43">
        <v>0.1</v>
      </c>
      <c r="AO43">
        <v>0.2</v>
      </c>
      <c r="AP43">
        <v>0.2</v>
      </c>
      <c r="AQ43">
        <v>0.1</v>
      </c>
      <c r="AR43">
        <v>0.1</v>
      </c>
      <c r="AS43">
        <f>SUM(Table1_1__2[[#This Row],[PFBA]:[PFMPA]])</f>
        <v>10.439999999999998</v>
      </c>
      <c r="AT43">
        <f>LOG(Table1_1__2[[#This Row],[PFBA]])</f>
        <v>-0.69897000433601875</v>
      </c>
      <c r="AU43">
        <f>LOG(Table1_1__2[[#This Row],[PFPeA]])</f>
        <v>-1</v>
      </c>
      <c r="AV43">
        <f>LOG(Table1_1__2[[#This Row],[PFHxA]])</f>
        <v>-0.88605664769316317</v>
      </c>
      <c r="AW43">
        <f>LOG(Table1_1__2[[#This Row],[PFHpA]])</f>
        <v>-1.0457574905606752</v>
      </c>
      <c r="AX43">
        <f>LOG(Table1_1__2[[#This Row],[PFOA]])</f>
        <v>-0.88605664769316317</v>
      </c>
      <c r="AY43">
        <f>LOG(Table1_1__2[[#This Row],[PFNA]])</f>
        <v>-1.3010299956639813</v>
      </c>
      <c r="AZ43">
        <f>LOG(Table1_1__2[[#This Row],[PFDA]])</f>
        <v>-1.3010299956639813</v>
      </c>
      <c r="BA43">
        <f>LOG(Table1_1__2[[#This Row],[PFUnA]])</f>
        <v>-1.3010299956639813</v>
      </c>
      <c r="BB43">
        <f>LOG(Table1_1__2[[#This Row],[PFDoA]])</f>
        <v>-1.3010299956639813</v>
      </c>
      <c r="BC43">
        <f>LOG(Table1_1__2[[#This Row],[PFTrDA]])</f>
        <v>-1.3010299956639813</v>
      </c>
      <c r="BD43">
        <f>LOG(Table1_1__2[[#This Row],[PFTeDA]])</f>
        <v>-1.3010299956639813</v>
      </c>
      <c r="BE43">
        <f>LOG(Table1_1__2[[#This Row],[PFBS]])</f>
        <v>-1.3010299956639813</v>
      </c>
      <c r="BF43">
        <f>LOG(Table1_1__2[[#This Row],[PFPeS]])</f>
        <v>-1.3010299956639813</v>
      </c>
      <c r="BG43">
        <f>LOG(Table1_1__2[[#This Row],[PFHxS]])</f>
        <v>-0.38721614328026455</v>
      </c>
      <c r="BH43">
        <f>LOG(Table1_1__2[[#This Row],[PFHpS]])</f>
        <v>-1.3010299956639813</v>
      </c>
      <c r="BI43">
        <f>LOG(Table1_1__2[[#This Row],[PFOS]])</f>
        <v>0.38021124171160603</v>
      </c>
      <c r="BJ43">
        <f>LOG(Table1_1__2[[#This Row],[PFNS]])</f>
        <v>-1.3010299956639813</v>
      </c>
      <c r="BK43">
        <f>LOG(Table1_1__2[[#This Row],[PFDS]])</f>
        <v>-1.3010299956639813</v>
      </c>
      <c r="BL43">
        <f>LOG(Table1_1__2[[#This Row],[PFDoS]])</f>
        <v>-1.3010299956639813</v>
      </c>
      <c r="BM43">
        <f>LOG(Table1_1__2[[#This Row],[4:2 FTS]])</f>
        <v>-0.69897000433601875</v>
      </c>
      <c r="BN43">
        <f>LOG(Table1_1__2[[#This Row],[6:2 FTS]])</f>
        <v>-0.3979400086720376</v>
      </c>
      <c r="BO43">
        <f>LOG(Table1_1__2[[#This Row],[8:2 FTS]])</f>
        <v>-0.3979400086720376</v>
      </c>
      <c r="BP43">
        <f>LOG(Table1_1__2[[#This Row],[FOSA]])</f>
        <v>-0.88605664769316317</v>
      </c>
      <c r="BQ43">
        <f>LOG(Table1_1__2[[#This Row],[N-MeFOSA]])</f>
        <v>-1.3010299956639813</v>
      </c>
      <c r="BR43">
        <f>LOG(Table1_1__2[[#This Row],[N-MeFOSAA]])</f>
        <v>-1.3010299956639813</v>
      </c>
      <c r="BS43">
        <f>LOG(Table1_1__2[[#This Row],[N-EtFOSAA]])</f>
        <v>-1.3010299956639813</v>
      </c>
      <c r="BT43">
        <f>LOG(Table1_1__2[[#This Row],[ADONA]])</f>
        <v>-0.69897000433601875</v>
      </c>
      <c r="BU43">
        <f>LOG(Table1_1__2[[#This Row],[3:3 FTCA]])</f>
        <v>-0.6020599913279624</v>
      </c>
      <c r="BV43">
        <f>LOG(Table1_1__2[[#This Row],[5:3 FTCA]])</f>
        <v>9.691001300805642E-2</v>
      </c>
      <c r="BW43">
        <f>LOG(Table1_1__2[[#This Row],[7:3 FTCA]])</f>
        <v>9.691001300805642E-2</v>
      </c>
      <c r="BX43">
        <f>LOG(Table1_1__2[[#This Row],[N-EtFOSA]])</f>
        <v>-1.3010299956639813</v>
      </c>
      <c r="BY43">
        <f>LOG(Table1_1__2[[#This Row],[N-MeFOSE]])</f>
        <v>-0.3010299956639812</v>
      </c>
      <c r="BZ43">
        <f>LOG(Table1_1__2[[#This Row],[N-EtFOSE]])</f>
        <v>-0.3010299956639812</v>
      </c>
      <c r="CA43">
        <f>LOG(Table1_1__2[[#This Row],[HFPO-DA]])</f>
        <v>-0.52287874528033762</v>
      </c>
      <c r="CB43">
        <f>LOG(Table1_1__2[[#This Row],[PFMBA]])</f>
        <v>-1</v>
      </c>
      <c r="CC43">
        <f>LOG(Table1_1__2[[#This Row],[NFDHA]])</f>
        <v>-1</v>
      </c>
      <c r="CD43">
        <f>LOG(Table1_1__2[[#This Row],[9Cl-PF3ONS]])</f>
        <v>-0.69897000433601875</v>
      </c>
      <c r="CE43">
        <f>LOG(Table1_1__2[[#This Row],[11Cl-PF3OUdS]])</f>
        <v>-0.69897000433601875</v>
      </c>
      <c r="CF43">
        <f>LOG(Table1_1__2[[#This Row],[PFEESA]])</f>
        <v>-1</v>
      </c>
      <c r="CG43">
        <f>LOG(Table1_1__2[[#This Row],[PFMPA]])</f>
        <v>-1</v>
      </c>
    </row>
    <row r="44" spans="1:85" x14ac:dyDescent="0.3">
      <c r="A44" s="2" t="s">
        <v>91</v>
      </c>
      <c r="B44" s="3">
        <v>44370.5</v>
      </c>
      <c r="C44" s="2" t="s">
        <v>33</v>
      </c>
      <c r="D44" s="2" t="s">
        <v>39</v>
      </c>
      <c r="E44">
        <v>0.2</v>
      </c>
      <c r="F44">
        <v>0.1</v>
      </c>
      <c r="G44">
        <v>0.09</v>
      </c>
      <c r="H44">
        <v>0.09</v>
      </c>
      <c r="I44">
        <v>0.1</v>
      </c>
      <c r="J44">
        <v>0.05</v>
      </c>
      <c r="K44">
        <v>0.05</v>
      </c>
      <c r="L44">
        <v>0.05</v>
      </c>
      <c r="M44">
        <v>0.05</v>
      </c>
      <c r="N44">
        <v>0.05</v>
      </c>
      <c r="O44">
        <v>0.05</v>
      </c>
      <c r="P44">
        <v>0.05</v>
      </c>
      <c r="Q44">
        <v>0.05</v>
      </c>
      <c r="R44">
        <v>0.22</v>
      </c>
      <c r="S44">
        <v>0.05</v>
      </c>
      <c r="T44">
        <v>0.61</v>
      </c>
      <c r="U44">
        <v>0.05</v>
      </c>
      <c r="V44">
        <v>0.05</v>
      </c>
      <c r="W44">
        <v>0.05</v>
      </c>
      <c r="X44">
        <v>0.2</v>
      </c>
      <c r="Y44">
        <v>0.4</v>
      </c>
      <c r="Z44">
        <v>0.4</v>
      </c>
      <c r="AA44">
        <v>0.09</v>
      </c>
      <c r="AB44">
        <v>0.05</v>
      </c>
      <c r="AC44">
        <v>0.05</v>
      </c>
      <c r="AD44">
        <v>0.05</v>
      </c>
      <c r="AE44">
        <v>0.2</v>
      </c>
      <c r="AF44">
        <v>0.25</v>
      </c>
      <c r="AG44">
        <v>1.25</v>
      </c>
      <c r="AH44">
        <v>1.25</v>
      </c>
      <c r="AI44">
        <v>0.05</v>
      </c>
      <c r="AJ44">
        <v>0.5</v>
      </c>
      <c r="AK44">
        <v>0.5</v>
      </c>
      <c r="AL44">
        <v>0.3</v>
      </c>
      <c r="AM44">
        <v>0.1</v>
      </c>
      <c r="AN44">
        <v>0.1</v>
      </c>
      <c r="AO44">
        <v>0.2</v>
      </c>
      <c r="AP44">
        <v>0.2</v>
      </c>
      <c r="AQ44">
        <v>0.1</v>
      </c>
      <c r="AR44">
        <v>0.1</v>
      </c>
      <c r="AS44">
        <f>SUM(Table1_1__2[[#This Row],[PFBA]:[PFMPA]])</f>
        <v>8.3499999999999979</v>
      </c>
      <c r="AT44">
        <f>LOG(Table1_1__2[[#This Row],[PFBA]])</f>
        <v>-0.69897000433601875</v>
      </c>
      <c r="AU44">
        <f>LOG(Table1_1__2[[#This Row],[PFPeA]])</f>
        <v>-1</v>
      </c>
      <c r="AV44">
        <f>LOG(Table1_1__2[[#This Row],[PFHxA]])</f>
        <v>-1.0457574905606752</v>
      </c>
      <c r="AW44">
        <f>LOG(Table1_1__2[[#This Row],[PFHpA]])</f>
        <v>-1.0457574905606752</v>
      </c>
      <c r="AX44">
        <f>LOG(Table1_1__2[[#This Row],[PFOA]])</f>
        <v>-1</v>
      </c>
      <c r="AY44">
        <f>LOG(Table1_1__2[[#This Row],[PFNA]])</f>
        <v>-1.3010299956639813</v>
      </c>
      <c r="AZ44">
        <f>LOG(Table1_1__2[[#This Row],[PFDA]])</f>
        <v>-1.3010299956639813</v>
      </c>
      <c r="BA44">
        <f>LOG(Table1_1__2[[#This Row],[PFUnA]])</f>
        <v>-1.3010299956639813</v>
      </c>
      <c r="BB44">
        <f>LOG(Table1_1__2[[#This Row],[PFDoA]])</f>
        <v>-1.3010299956639813</v>
      </c>
      <c r="BC44">
        <f>LOG(Table1_1__2[[#This Row],[PFTrDA]])</f>
        <v>-1.3010299956639813</v>
      </c>
      <c r="BD44">
        <f>LOG(Table1_1__2[[#This Row],[PFTeDA]])</f>
        <v>-1.3010299956639813</v>
      </c>
      <c r="BE44">
        <f>LOG(Table1_1__2[[#This Row],[PFBS]])</f>
        <v>-1.3010299956639813</v>
      </c>
      <c r="BF44">
        <f>LOG(Table1_1__2[[#This Row],[PFPeS]])</f>
        <v>-1.3010299956639813</v>
      </c>
      <c r="BG44">
        <f>LOG(Table1_1__2[[#This Row],[PFHxS]])</f>
        <v>-0.65757731917779372</v>
      </c>
      <c r="BH44">
        <f>LOG(Table1_1__2[[#This Row],[PFHpS]])</f>
        <v>-1.3010299956639813</v>
      </c>
      <c r="BI44">
        <f>LOG(Table1_1__2[[#This Row],[PFOS]])</f>
        <v>-0.21467016498923297</v>
      </c>
      <c r="BJ44">
        <f>LOG(Table1_1__2[[#This Row],[PFNS]])</f>
        <v>-1.3010299956639813</v>
      </c>
      <c r="BK44">
        <f>LOG(Table1_1__2[[#This Row],[PFDS]])</f>
        <v>-1.3010299956639813</v>
      </c>
      <c r="BL44">
        <f>LOG(Table1_1__2[[#This Row],[PFDoS]])</f>
        <v>-1.3010299956639813</v>
      </c>
      <c r="BM44">
        <f>LOG(Table1_1__2[[#This Row],[4:2 FTS]])</f>
        <v>-0.69897000433601875</v>
      </c>
      <c r="BN44">
        <f>LOG(Table1_1__2[[#This Row],[6:2 FTS]])</f>
        <v>-0.3979400086720376</v>
      </c>
      <c r="BO44">
        <f>LOG(Table1_1__2[[#This Row],[8:2 FTS]])</f>
        <v>-0.3979400086720376</v>
      </c>
      <c r="BP44">
        <f>LOG(Table1_1__2[[#This Row],[FOSA]])</f>
        <v>-1.0457574905606752</v>
      </c>
      <c r="BQ44">
        <f>LOG(Table1_1__2[[#This Row],[N-MeFOSA]])</f>
        <v>-1.3010299956639813</v>
      </c>
      <c r="BR44">
        <f>LOG(Table1_1__2[[#This Row],[N-MeFOSAA]])</f>
        <v>-1.3010299956639813</v>
      </c>
      <c r="BS44">
        <f>LOG(Table1_1__2[[#This Row],[N-EtFOSAA]])</f>
        <v>-1.3010299956639813</v>
      </c>
      <c r="BT44">
        <f>LOG(Table1_1__2[[#This Row],[ADONA]])</f>
        <v>-0.69897000433601875</v>
      </c>
      <c r="BU44">
        <f>LOG(Table1_1__2[[#This Row],[3:3 FTCA]])</f>
        <v>-0.6020599913279624</v>
      </c>
      <c r="BV44">
        <f>LOG(Table1_1__2[[#This Row],[5:3 FTCA]])</f>
        <v>9.691001300805642E-2</v>
      </c>
      <c r="BW44">
        <f>LOG(Table1_1__2[[#This Row],[7:3 FTCA]])</f>
        <v>9.691001300805642E-2</v>
      </c>
      <c r="BX44">
        <f>LOG(Table1_1__2[[#This Row],[N-EtFOSA]])</f>
        <v>-1.3010299956639813</v>
      </c>
      <c r="BY44">
        <f>LOG(Table1_1__2[[#This Row],[N-MeFOSE]])</f>
        <v>-0.3010299956639812</v>
      </c>
      <c r="BZ44">
        <f>LOG(Table1_1__2[[#This Row],[N-EtFOSE]])</f>
        <v>-0.3010299956639812</v>
      </c>
      <c r="CA44">
        <f>LOG(Table1_1__2[[#This Row],[HFPO-DA]])</f>
        <v>-0.52287874528033762</v>
      </c>
      <c r="CB44">
        <f>LOG(Table1_1__2[[#This Row],[PFMBA]])</f>
        <v>-1</v>
      </c>
      <c r="CC44">
        <f>LOG(Table1_1__2[[#This Row],[NFDHA]])</f>
        <v>-1</v>
      </c>
      <c r="CD44">
        <f>LOG(Table1_1__2[[#This Row],[9Cl-PF3ONS]])</f>
        <v>-0.69897000433601875</v>
      </c>
      <c r="CE44">
        <f>LOG(Table1_1__2[[#This Row],[11Cl-PF3OUdS]])</f>
        <v>-0.69897000433601875</v>
      </c>
      <c r="CF44">
        <f>LOG(Table1_1__2[[#This Row],[PFEESA]])</f>
        <v>-1</v>
      </c>
      <c r="CG44">
        <f>LOG(Table1_1__2[[#This Row],[PFMPA]])</f>
        <v>-1</v>
      </c>
    </row>
    <row r="45" spans="1:85" x14ac:dyDescent="0.3">
      <c r="A45" s="2" t="s">
        <v>92</v>
      </c>
      <c r="B45" s="3">
        <v>44370.5</v>
      </c>
      <c r="C45" s="2" t="s">
        <v>29</v>
      </c>
      <c r="D45" s="2" t="s">
        <v>39</v>
      </c>
      <c r="E45">
        <v>0.2</v>
      </c>
      <c r="F45">
        <v>0.1</v>
      </c>
      <c r="G45">
        <v>0.09</v>
      </c>
      <c r="H45">
        <v>0.09</v>
      </c>
      <c r="I45">
        <v>0.13</v>
      </c>
      <c r="J45">
        <v>0.05</v>
      </c>
      <c r="K45">
        <v>0.05</v>
      </c>
      <c r="L45">
        <v>0.05</v>
      </c>
      <c r="M45">
        <v>0.05</v>
      </c>
      <c r="N45">
        <v>0.05</v>
      </c>
      <c r="O45">
        <v>0.05</v>
      </c>
      <c r="P45">
        <v>0.05</v>
      </c>
      <c r="Q45">
        <v>0.05</v>
      </c>
      <c r="R45">
        <v>0.25</v>
      </c>
      <c r="S45">
        <v>0.05</v>
      </c>
      <c r="T45">
        <v>0.75</v>
      </c>
      <c r="U45">
        <v>0.05</v>
      </c>
      <c r="V45">
        <v>0.05</v>
      </c>
      <c r="W45">
        <v>0.05</v>
      </c>
      <c r="X45">
        <v>0.2</v>
      </c>
      <c r="Y45">
        <v>0.4</v>
      </c>
      <c r="Z45">
        <v>0.4</v>
      </c>
      <c r="AA45">
        <v>0.09</v>
      </c>
      <c r="AB45">
        <v>0.05</v>
      </c>
      <c r="AC45">
        <v>0.05</v>
      </c>
      <c r="AD45">
        <v>0.05</v>
      </c>
      <c r="AE45">
        <v>0.2</v>
      </c>
      <c r="AF45">
        <v>0.25</v>
      </c>
      <c r="AG45">
        <v>1.25</v>
      </c>
      <c r="AH45">
        <v>1.25</v>
      </c>
      <c r="AI45">
        <v>0.05</v>
      </c>
      <c r="AJ45">
        <v>0.5</v>
      </c>
      <c r="AK45">
        <v>0.5</v>
      </c>
      <c r="AL45">
        <v>0.3</v>
      </c>
      <c r="AM45">
        <v>0.1</v>
      </c>
      <c r="AN45">
        <v>0.1</v>
      </c>
      <c r="AO45">
        <v>0.2</v>
      </c>
      <c r="AP45">
        <v>0.2</v>
      </c>
      <c r="AQ45">
        <v>0.1</v>
      </c>
      <c r="AR45">
        <v>0.1</v>
      </c>
      <c r="AS45">
        <f>SUM(Table1_1__2[[#This Row],[PFBA]:[PFMPA]])</f>
        <v>8.5499999999999972</v>
      </c>
      <c r="AT45">
        <f>LOG(Table1_1__2[[#This Row],[PFBA]])</f>
        <v>-0.69897000433601875</v>
      </c>
      <c r="AU45">
        <f>LOG(Table1_1__2[[#This Row],[PFPeA]])</f>
        <v>-1</v>
      </c>
      <c r="AV45">
        <f>LOG(Table1_1__2[[#This Row],[PFHxA]])</f>
        <v>-1.0457574905606752</v>
      </c>
      <c r="AW45">
        <f>LOG(Table1_1__2[[#This Row],[PFHpA]])</f>
        <v>-1.0457574905606752</v>
      </c>
      <c r="AX45">
        <f>LOG(Table1_1__2[[#This Row],[PFOA]])</f>
        <v>-0.88605664769316317</v>
      </c>
      <c r="AY45">
        <f>LOG(Table1_1__2[[#This Row],[PFNA]])</f>
        <v>-1.3010299956639813</v>
      </c>
      <c r="AZ45">
        <f>LOG(Table1_1__2[[#This Row],[PFDA]])</f>
        <v>-1.3010299956639813</v>
      </c>
      <c r="BA45">
        <f>LOG(Table1_1__2[[#This Row],[PFUnA]])</f>
        <v>-1.3010299956639813</v>
      </c>
      <c r="BB45">
        <f>LOG(Table1_1__2[[#This Row],[PFDoA]])</f>
        <v>-1.3010299956639813</v>
      </c>
      <c r="BC45">
        <f>LOG(Table1_1__2[[#This Row],[PFTrDA]])</f>
        <v>-1.3010299956639813</v>
      </c>
      <c r="BD45">
        <f>LOG(Table1_1__2[[#This Row],[PFTeDA]])</f>
        <v>-1.3010299956639813</v>
      </c>
      <c r="BE45">
        <f>LOG(Table1_1__2[[#This Row],[PFBS]])</f>
        <v>-1.3010299956639813</v>
      </c>
      <c r="BF45">
        <f>LOG(Table1_1__2[[#This Row],[PFPeS]])</f>
        <v>-1.3010299956639813</v>
      </c>
      <c r="BG45">
        <f>LOG(Table1_1__2[[#This Row],[PFHxS]])</f>
        <v>-0.6020599913279624</v>
      </c>
      <c r="BH45">
        <f>LOG(Table1_1__2[[#This Row],[PFHpS]])</f>
        <v>-1.3010299956639813</v>
      </c>
      <c r="BI45">
        <f>LOG(Table1_1__2[[#This Row],[PFOS]])</f>
        <v>-0.12493873660829995</v>
      </c>
      <c r="BJ45">
        <f>LOG(Table1_1__2[[#This Row],[PFNS]])</f>
        <v>-1.3010299956639813</v>
      </c>
      <c r="BK45">
        <f>LOG(Table1_1__2[[#This Row],[PFDS]])</f>
        <v>-1.3010299956639813</v>
      </c>
      <c r="BL45">
        <f>LOG(Table1_1__2[[#This Row],[PFDoS]])</f>
        <v>-1.3010299956639813</v>
      </c>
      <c r="BM45">
        <f>LOG(Table1_1__2[[#This Row],[4:2 FTS]])</f>
        <v>-0.69897000433601875</v>
      </c>
      <c r="BN45">
        <f>LOG(Table1_1__2[[#This Row],[6:2 FTS]])</f>
        <v>-0.3979400086720376</v>
      </c>
      <c r="BO45">
        <f>LOG(Table1_1__2[[#This Row],[8:2 FTS]])</f>
        <v>-0.3979400086720376</v>
      </c>
      <c r="BP45">
        <f>LOG(Table1_1__2[[#This Row],[FOSA]])</f>
        <v>-1.0457574905606752</v>
      </c>
      <c r="BQ45">
        <f>LOG(Table1_1__2[[#This Row],[N-MeFOSA]])</f>
        <v>-1.3010299956639813</v>
      </c>
      <c r="BR45">
        <f>LOG(Table1_1__2[[#This Row],[N-MeFOSAA]])</f>
        <v>-1.3010299956639813</v>
      </c>
      <c r="BS45">
        <f>LOG(Table1_1__2[[#This Row],[N-EtFOSAA]])</f>
        <v>-1.3010299956639813</v>
      </c>
      <c r="BT45">
        <f>LOG(Table1_1__2[[#This Row],[ADONA]])</f>
        <v>-0.69897000433601875</v>
      </c>
      <c r="BU45">
        <f>LOG(Table1_1__2[[#This Row],[3:3 FTCA]])</f>
        <v>-0.6020599913279624</v>
      </c>
      <c r="BV45">
        <f>LOG(Table1_1__2[[#This Row],[5:3 FTCA]])</f>
        <v>9.691001300805642E-2</v>
      </c>
      <c r="BW45">
        <f>LOG(Table1_1__2[[#This Row],[7:3 FTCA]])</f>
        <v>9.691001300805642E-2</v>
      </c>
      <c r="BX45">
        <f>LOG(Table1_1__2[[#This Row],[N-EtFOSA]])</f>
        <v>-1.3010299956639813</v>
      </c>
      <c r="BY45">
        <f>LOG(Table1_1__2[[#This Row],[N-MeFOSE]])</f>
        <v>-0.3010299956639812</v>
      </c>
      <c r="BZ45">
        <f>LOG(Table1_1__2[[#This Row],[N-EtFOSE]])</f>
        <v>-0.3010299956639812</v>
      </c>
      <c r="CA45">
        <f>LOG(Table1_1__2[[#This Row],[HFPO-DA]])</f>
        <v>-0.52287874528033762</v>
      </c>
      <c r="CB45">
        <f>LOG(Table1_1__2[[#This Row],[PFMBA]])</f>
        <v>-1</v>
      </c>
      <c r="CC45">
        <f>LOG(Table1_1__2[[#This Row],[NFDHA]])</f>
        <v>-1</v>
      </c>
      <c r="CD45">
        <f>LOG(Table1_1__2[[#This Row],[9Cl-PF3ONS]])</f>
        <v>-0.69897000433601875</v>
      </c>
      <c r="CE45">
        <f>LOG(Table1_1__2[[#This Row],[11Cl-PF3OUdS]])</f>
        <v>-0.69897000433601875</v>
      </c>
      <c r="CF45">
        <f>LOG(Table1_1__2[[#This Row],[PFEESA]])</f>
        <v>-1</v>
      </c>
      <c r="CG45">
        <f>LOG(Table1_1__2[[#This Row],[PFMPA]])</f>
        <v>-1</v>
      </c>
    </row>
    <row r="46" spans="1:85" x14ac:dyDescent="0.3">
      <c r="A46" s="2" t="s">
        <v>93</v>
      </c>
      <c r="B46" s="3">
        <v>44378.5</v>
      </c>
      <c r="C46" s="2" t="s">
        <v>26</v>
      </c>
      <c r="D46" s="2" t="s">
        <v>39</v>
      </c>
      <c r="E46">
        <v>0.2</v>
      </c>
      <c r="F46">
        <v>0.11</v>
      </c>
      <c r="G46">
        <v>0.26</v>
      </c>
      <c r="H46">
        <v>0.09</v>
      </c>
      <c r="I46">
        <v>0.49</v>
      </c>
      <c r="J46">
        <v>0.05</v>
      </c>
      <c r="K46">
        <v>0.05</v>
      </c>
      <c r="L46">
        <v>0.05</v>
      </c>
      <c r="M46">
        <v>0.05</v>
      </c>
      <c r="N46">
        <v>0.05</v>
      </c>
      <c r="O46">
        <v>0.05</v>
      </c>
      <c r="P46">
        <v>0.05</v>
      </c>
      <c r="Q46">
        <v>0.05</v>
      </c>
      <c r="R46">
        <v>0.6</v>
      </c>
      <c r="S46">
        <v>0.05</v>
      </c>
      <c r="T46">
        <v>1.2</v>
      </c>
      <c r="U46">
        <v>0.05</v>
      </c>
      <c r="V46">
        <v>0.05</v>
      </c>
      <c r="W46">
        <v>0.05</v>
      </c>
      <c r="X46">
        <v>0.2</v>
      </c>
      <c r="Y46">
        <v>0.4</v>
      </c>
      <c r="Z46">
        <v>0.4</v>
      </c>
      <c r="AA46">
        <v>0.09</v>
      </c>
      <c r="AB46">
        <v>0.05</v>
      </c>
      <c r="AC46">
        <v>0.05</v>
      </c>
      <c r="AD46">
        <v>0.05</v>
      </c>
      <c r="AE46">
        <v>0.2</v>
      </c>
      <c r="AF46">
        <v>0.25</v>
      </c>
      <c r="AG46">
        <v>1.25</v>
      </c>
      <c r="AH46">
        <v>1.25</v>
      </c>
      <c r="AI46">
        <v>0.05</v>
      </c>
      <c r="AJ46">
        <v>0.5</v>
      </c>
      <c r="AK46">
        <v>0.5</v>
      </c>
      <c r="AL46">
        <v>0.3</v>
      </c>
      <c r="AM46">
        <v>0.1</v>
      </c>
      <c r="AN46">
        <v>0.1</v>
      </c>
      <c r="AO46">
        <v>0.2</v>
      </c>
      <c r="AP46">
        <v>0.2</v>
      </c>
      <c r="AQ46">
        <v>0.1</v>
      </c>
      <c r="AR46">
        <v>0.1</v>
      </c>
      <c r="AS46">
        <f>SUM(Table1_1__2[[#This Row],[PFBA]:[PFMPA]])</f>
        <v>9.889999999999997</v>
      </c>
      <c r="AT46">
        <f>LOG(Table1_1__2[[#This Row],[PFBA]])</f>
        <v>-0.69897000433601875</v>
      </c>
      <c r="AU46">
        <f>LOG(Table1_1__2[[#This Row],[PFPeA]])</f>
        <v>-0.95860731484177497</v>
      </c>
      <c r="AV46">
        <f>LOG(Table1_1__2[[#This Row],[PFHxA]])</f>
        <v>-0.58502665202918203</v>
      </c>
      <c r="AW46">
        <f>LOG(Table1_1__2[[#This Row],[PFHpA]])</f>
        <v>-1.0457574905606752</v>
      </c>
      <c r="AX46">
        <f>LOG(Table1_1__2[[#This Row],[PFOA]])</f>
        <v>-0.30980391997148632</v>
      </c>
      <c r="AY46">
        <f>LOG(Table1_1__2[[#This Row],[PFNA]])</f>
        <v>-1.3010299956639813</v>
      </c>
      <c r="AZ46">
        <f>LOG(Table1_1__2[[#This Row],[PFDA]])</f>
        <v>-1.3010299956639813</v>
      </c>
      <c r="BA46">
        <f>LOG(Table1_1__2[[#This Row],[PFUnA]])</f>
        <v>-1.3010299956639813</v>
      </c>
      <c r="BB46">
        <f>LOG(Table1_1__2[[#This Row],[PFDoA]])</f>
        <v>-1.3010299956639813</v>
      </c>
      <c r="BC46">
        <f>LOG(Table1_1__2[[#This Row],[PFTrDA]])</f>
        <v>-1.3010299956639813</v>
      </c>
      <c r="BD46">
        <f>LOG(Table1_1__2[[#This Row],[PFTeDA]])</f>
        <v>-1.3010299956639813</v>
      </c>
      <c r="BE46">
        <f>LOG(Table1_1__2[[#This Row],[PFBS]])</f>
        <v>-1.3010299956639813</v>
      </c>
      <c r="BF46">
        <f>LOG(Table1_1__2[[#This Row],[PFPeS]])</f>
        <v>-1.3010299956639813</v>
      </c>
      <c r="BG46">
        <f>LOG(Table1_1__2[[#This Row],[PFHxS]])</f>
        <v>-0.22184874961635639</v>
      </c>
      <c r="BH46">
        <f>LOG(Table1_1__2[[#This Row],[PFHpS]])</f>
        <v>-1.3010299956639813</v>
      </c>
      <c r="BI46">
        <f>LOG(Table1_1__2[[#This Row],[PFOS]])</f>
        <v>7.9181246047624818E-2</v>
      </c>
      <c r="BJ46">
        <f>LOG(Table1_1__2[[#This Row],[PFNS]])</f>
        <v>-1.3010299956639813</v>
      </c>
      <c r="BK46">
        <f>LOG(Table1_1__2[[#This Row],[PFDS]])</f>
        <v>-1.3010299956639813</v>
      </c>
      <c r="BL46">
        <f>LOG(Table1_1__2[[#This Row],[PFDoS]])</f>
        <v>-1.3010299956639813</v>
      </c>
      <c r="BM46">
        <f>LOG(Table1_1__2[[#This Row],[4:2 FTS]])</f>
        <v>-0.69897000433601875</v>
      </c>
      <c r="BN46">
        <f>LOG(Table1_1__2[[#This Row],[6:2 FTS]])</f>
        <v>-0.3979400086720376</v>
      </c>
      <c r="BO46">
        <f>LOG(Table1_1__2[[#This Row],[8:2 FTS]])</f>
        <v>-0.3979400086720376</v>
      </c>
      <c r="BP46">
        <f>LOG(Table1_1__2[[#This Row],[FOSA]])</f>
        <v>-1.0457574905606752</v>
      </c>
      <c r="BQ46">
        <f>LOG(Table1_1__2[[#This Row],[N-MeFOSA]])</f>
        <v>-1.3010299956639813</v>
      </c>
      <c r="BR46">
        <f>LOG(Table1_1__2[[#This Row],[N-MeFOSAA]])</f>
        <v>-1.3010299956639813</v>
      </c>
      <c r="BS46">
        <f>LOG(Table1_1__2[[#This Row],[N-EtFOSAA]])</f>
        <v>-1.3010299956639813</v>
      </c>
      <c r="BT46">
        <f>LOG(Table1_1__2[[#This Row],[ADONA]])</f>
        <v>-0.69897000433601875</v>
      </c>
      <c r="BU46">
        <f>LOG(Table1_1__2[[#This Row],[3:3 FTCA]])</f>
        <v>-0.6020599913279624</v>
      </c>
      <c r="BV46">
        <f>LOG(Table1_1__2[[#This Row],[5:3 FTCA]])</f>
        <v>9.691001300805642E-2</v>
      </c>
      <c r="BW46">
        <f>LOG(Table1_1__2[[#This Row],[7:3 FTCA]])</f>
        <v>9.691001300805642E-2</v>
      </c>
      <c r="BX46">
        <f>LOG(Table1_1__2[[#This Row],[N-EtFOSA]])</f>
        <v>-1.3010299956639813</v>
      </c>
      <c r="BY46">
        <f>LOG(Table1_1__2[[#This Row],[N-MeFOSE]])</f>
        <v>-0.3010299956639812</v>
      </c>
      <c r="BZ46">
        <f>LOG(Table1_1__2[[#This Row],[N-EtFOSE]])</f>
        <v>-0.3010299956639812</v>
      </c>
      <c r="CA46">
        <f>LOG(Table1_1__2[[#This Row],[HFPO-DA]])</f>
        <v>-0.52287874528033762</v>
      </c>
      <c r="CB46">
        <f>LOG(Table1_1__2[[#This Row],[PFMBA]])</f>
        <v>-1</v>
      </c>
      <c r="CC46">
        <f>LOG(Table1_1__2[[#This Row],[NFDHA]])</f>
        <v>-1</v>
      </c>
      <c r="CD46">
        <f>LOG(Table1_1__2[[#This Row],[9Cl-PF3ONS]])</f>
        <v>-0.69897000433601875</v>
      </c>
      <c r="CE46">
        <f>LOG(Table1_1__2[[#This Row],[11Cl-PF3OUdS]])</f>
        <v>-0.69897000433601875</v>
      </c>
      <c r="CF46">
        <f>LOG(Table1_1__2[[#This Row],[PFEESA]])</f>
        <v>-1</v>
      </c>
      <c r="CG46">
        <f>LOG(Table1_1__2[[#This Row],[PFMPA]])</f>
        <v>-1</v>
      </c>
    </row>
    <row r="47" spans="1:85" x14ac:dyDescent="0.3">
      <c r="A47" s="2" t="s">
        <v>94</v>
      </c>
      <c r="B47" s="3">
        <v>44378.5</v>
      </c>
      <c r="C47" s="2" t="s">
        <v>31</v>
      </c>
      <c r="D47" s="2" t="s">
        <v>39</v>
      </c>
      <c r="E47">
        <v>0.2</v>
      </c>
      <c r="F47">
        <v>0.1</v>
      </c>
      <c r="G47">
        <v>0.16</v>
      </c>
      <c r="H47">
        <v>0.09</v>
      </c>
      <c r="I47">
        <v>0.21</v>
      </c>
      <c r="J47">
        <v>0.05</v>
      </c>
      <c r="K47">
        <v>0.05</v>
      </c>
      <c r="L47">
        <v>0.05</v>
      </c>
      <c r="M47">
        <v>0.05</v>
      </c>
      <c r="N47">
        <v>0.05</v>
      </c>
      <c r="O47">
        <v>0.05</v>
      </c>
      <c r="P47">
        <v>0.05</v>
      </c>
      <c r="Q47">
        <v>0.05</v>
      </c>
      <c r="R47">
        <v>0.5</v>
      </c>
      <c r="S47">
        <v>0.05</v>
      </c>
      <c r="T47">
        <v>2.2999999999999998</v>
      </c>
      <c r="U47">
        <v>0.05</v>
      </c>
      <c r="V47">
        <v>0.05</v>
      </c>
      <c r="W47">
        <v>0.05</v>
      </c>
      <c r="X47">
        <v>0.2</v>
      </c>
      <c r="Y47">
        <v>0.4</v>
      </c>
      <c r="Z47">
        <v>0.4</v>
      </c>
      <c r="AA47">
        <v>0.12</v>
      </c>
      <c r="AB47">
        <v>0.05</v>
      </c>
      <c r="AC47">
        <v>0.05</v>
      </c>
      <c r="AD47">
        <v>0.05</v>
      </c>
      <c r="AE47">
        <v>0.2</v>
      </c>
      <c r="AF47">
        <v>0.25</v>
      </c>
      <c r="AG47">
        <v>1.25</v>
      </c>
      <c r="AH47">
        <v>1.25</v>
      </c>
      <c r="AI47">
        <v>0.05</v>
      </c>
      <c r="AJ47">
        <v>0.5</v>
      </c>
      <c r="AK47">
        <v>0.5</v>
      </c>
      <c r="AL47">
        <v>0.3</v>
      </c>
      <c r="AM47">
        <v>0.1</v>
      </c>
      <c r="AN47">
        <v>0.1</v>
      </c>
      <c r="AO47">
        <v>0.2</v>
      </c>
      <c r="AP47">
        <v>0.2</v>
      </c>
      <c r="AQ47">
        <v>0.1</v>
      </c>
      <c r="AR47">
        <v>0.1</v>
      </c>
      <c r="AS47">
        <f>SUM(Table1_1__2[[#This Row],[PFBA]:[PFMPA]])</f>
        <v>10.529999999999998</v>
      </c>
      <c r="AT47">
        <f>LOG(Table1_1__2[[#This Row],[PFBA]])</f>
        <v>-0.69897000433601875</v>
      </c>
      <c r="AU47">
        <f>LOG(Table1_1__2[[#This Row],[PFPeA]])</f>
        <v>-1</v>
      </c>
      <c r="AV47">
        <f>LOG(Table1_1__2[[#This Row],[PFHxA]])</f>
        <v>-0.79588001734407521</v>
      </c>
      <c r="AW47">
        <f>LOG(Table1_1__2[[#This Row],[PFHpA]])</f>
        <v>-1.0457574905606752</v>
      </c>
      <c r="AX47">
        <f>LOG(Table1_1__2[[#This Row],[PFOA]])</f>
        <v>-0.6777807052660807</v>
      </c>
      <c r="AY47">
        <f>LOG(Table1_1__2[[#This Row],[PFNA]])</f>
        <v>-1.3010299956639813</v>
      </c>
      <c r="AZ47">
        <f>LOG(Table1_1__2[[#This Row],[PFDA]])</f>
        <v>-1.3010299956639813</v>
      </c>
      <c r="BA47">
        <f>LOG(Table1_1__2[[#This Row],[PFUnA]])</f>
        <v>-1.3010299956639813</v>
      </c>
      <c r="BB47">
        <f>LOG(Table1_1__2[[#This Row],[PFDoA]])</f>
        <v>-1.3010299956639813</v>
      </c>
      <c r="BC47">
        <f>LOG(Table1_1__2[[#This Row],[PFTrDA]])</f>
        <v>-1.3010299956639813</v>
      </c>
      <c r="BD47">
        <f>LOG(Table1_1__2[[#This Row],[PFTeDA]])</f>
        <v>-1.3010299956639813</v>
      </c>
      <c r="BE47">
        <f>LOG(Table1_1__2[[#This Row],[PFBS]])</f>
        <v>-1.3010299956639813</v>
      </c>
      <c r="BF47">
        <f>LOG(Table1_1__2[[#This Row],[PFPeS]])</f>
        <v>-1.3010299956639813</v>
      </c>
      <c r="BG47">
        <f>LOG(Table1_1__2[[#This Row],[PFHxS]])</f>
        <v>-0.3010299956639812</v>
      </c>
      <c r="BH47">
        <f>LOG(Table1_1__2[[#This Row],[PFHpS]])</f>
        <v>-1.3010299956639813</v>
      </c>
      <c r="BI47">
        <f>LOG(Table1_1__2[[#This Row],[PFOS]])</f>
        <v>0.36172783601759284</v>
      </c>
      <c r="BJ47">
        <f>LOG(Table1_1__2[[#This Row],[PFNS]])</f>
        <v>-1.3010299956639813</v>
      </c>
      <c r="BK47">
        <f>LOG(Table1_1__2[[#This Row],[PFDS]])</f>
        <v>-1.3010299956639813</v>
      </c>
      <c r="BL47">
        <f>LOG(Table1_1__2[[#This Row],[PFDoS]])</f>
        <v>-1.3010299956639813</v>
      </c>
      <c r="BM47">
        <f>LOG(Table1_1__2[[#This Row],[4:2 FTS]])</f>
        <v>-0.69897000433601875</v>
      </c>
      <c r="BN47">
        <f>LOG(Table1_1__2[[#This Row],[6:2 FTS]])</f>
        <v>-0.3979400086720376</v>
      </c>
      <c r="BO47">
        <f>LOG(Table1_1__2[[#This Row],[8:2 FTS]])</f>
        <v>-0.3979400086720376</v>
      </c>
      <c r="BP47">
        <f>LOG(Table1_1__2[[#This Row],[FOSA]])</f>
        <v>-0.92081875395237522</v>
      </c>
      <c r="BQ47">
        <f>LOG(Table1_1__2[[#This Row],[N-MeFOSA]])</f>
        <v>-1.3010299956639813</v>
      </c>
      <c r="BR47">
        <f>LOG(Table1_1__2[[#This Row],[N-MeFOSAA]])</f>
        <v>-1.3010299956639813</v>
      </c>
      <c r="BS47">
        <f>LOG(Table1_1__2[[#This Row],[N-EtFOSAA]])</f>
        <v>-1.3010299956639813</v>
      </c>
      <c r="BT47">
        <f>LOG(Table1_1__2[[#This Row],[ADONA]])</f>
        <v>-0.69897000433601875</v>
      </c>
      <c r="BU47">
        <f>LOG(Table1_1__2[[#This Row],[3:3 FTCA]])</f>
        <v>-0.6020599913279624</v>
      </c>
      <c r="BV47">
        <f>LOG(Table1_1__2[[#This Row],[5:3 FTCA]])</f>
        <v>9.691001300805642E-2</v>
      </c>
      <c r="BW47">
        <f>LOG(Table1_1__2[[#This Row],[7:3 FTCA]])</f>
        <v>9.691001300805642E-2</v>
      </c>
      <c r="BX47">
        <f>LOG(Table1_1__2[[#This Row],[N-EtFOSA]])</f>
        <v>-1.3010299956639813</v>
      </c>
      <c r="BY47">
        <f>LOG(Table1_1__2[[#This Row],[N-MeFOSE]])</f>
        <v>-0.3010299956639812</v>
      </c>
      <c r="BZ47">
        <f>LOG(Table1_1__2[[#This Row],[N-EtFOSE]])</f>
        <v>-0.3010299956639812</v>
      </c>
      <c r="CA47">
        <f>LOG(Table1_1__2[[#This Row],[HFPO-DA]])</f>
        <v>-0.52287874528033762</v>
      </c>
      <c r="CB47">
        <f>LOG(Table1_1__2[[#This Row],[PFMBA]])</f>
        <v>-1</v>
      </c>
      <c r="CC47">
        <f>LOG(Table1_1__2[[#This Row],[NFDHA]])</f>
        <v>-1</v>
      </c>
      <c r="CD47">
        <f>LOG(Table1_1__2[[#This Row],[9Cl-PF3ONS]])</f>
        <v>-0.69897000433601875</v>
      </c>
      <c r="CE47">
        <f>LOG(Table1_1__2[[#This Row],[11Cl-PF3OUdS]])</f>
        <v>-0.69897000433601875</v>
      </c>
      <c r="CF47">
        <f>LOG(Table1_1__2[[#This Row],[PFEESA]])</f>
        <v>-1</v>
      </c>
      <c r="CG47">
        <f>LOG(Table1_1__2[[#This Row],[PFMPA]])</f>
        <v>-1</v>
      </c>
    </row>
    <row r="48" spans="1:85" x14ac:dyDescent="0.3">
      <c r="A48" s="2" t="s">
        <v>95</v>
      </c>
      <c r="B48" s="3">
        <v>44378.5</v>
      </c>
      <c r="C48" s="2" t="s">
        <v>33</v>
      </c>
      <c r="D48" s="2" t="s">
        <v>39</v>
      </c>
      <c r="E48">
        <v>0.2</v>
      </c>
      <c r="F48">
        <v>0.11</v>
      </c>
      <c r="G48">
        <v>0.16</v>
      </c>
      <c r="H48">
        <v>0.09</v>
      </c>
      <c r="I48">
        <v>0.3</v>
      </c>
      <c r="J48">
        <v>0.05</v>
      </c>
      <c r="K48">
        <v>0.05</v>
      </c>
      <c r="L48">
        <v>0.05</v>
      </c>
      <c r="M48">
        <v>0.05</v>
      </c>
      <c r="N48">
        <v>0.05</v>
      </c>
      <c r="O48">
        <v>0.05</v>
      </c>
      <c r="P48">
        <v>0.05</v>
      </c>
      <c r="Q48">
        <v>0.05</v>
      </c>
      <c r="R48">
        <v>0.45</v>
      </c>
      <c r="S48">
        <v>0.05</v>
      </c>
      <c r="T48">
        <v>2</v>
      </c>
      <c r="U48">
        <v>0.05</v>
      </c>
      <c r="V48">
        <v>0.05</v>
      </c>
      <c r="W48">
        <v>0.05</v>
      </c>
      <c r="X48">
        <v>0.2</v>
      </c>
      <c r="Y48">
        <v>0.4</v>
      </c>
      <c r="Z48">
        <v>0.4</v>
      </c>
      <c r="AA48">
        <v>0.09</v>
      </c>
      <c r="AB48">
        <v>0.05</v>
      </c>
      <c r="AC48">
        <v>0.05</v>
      </c>
      <c r="AD48">
        <v>0.05</v>
      </c>
      <c r="AE48">
        <v>0.2</v>
      </c>
      <c r="AF48">
        <v>0.25</v>
      </c>
      <c r="AG48">
        <v>1.25</v>
      </c>
      <c r="AH48">
        <v>1.25</v>
      </c>
      <c r="AI48">
        <v>0.05</v>
      </c>
      <c r="AJ48">
        <v>0.5</v>
      </c>
      <c r="AK48">
        <v>0.5</v>
      </c>
      <c r="AL48">
        <v>0.3</v>
      </c>
      <c r="AM48">
        <v>0.1</v>
      </c>
      <c r="AN48">
        <v>0.1</v>
      </c>
      <c r="AO48">
        <v>0.2</v>
      </c>
      <c r="AP48">
        <v>0.2</v>
      </c>
      <c r="AQ48">
        <v>0.1</v>
      </c>
      <c r="AR48">
        <v>0.1</v>
      </c>
      <c r="AS48">
        <f>SUM(Table1_1__2[[#This Row],[PFBA]:[PFMPA]])</f>
        <v>10.249999999999998</v>
      </c>
      <c r="AT48">
        <f>LOG(Table1_1__2[[#This Row],[PFBA]])</f>
        <v>-0.69897000433601875</v>
      </c>
      <c r="AU48">
        <f>LOG(Table1_1__2[[#This Row],[PFPeA]])</f>
        <v>-0.95860731484177497</v>
      </c>
      <c r="AV48">
        <f>LOG(Table1_1__2[[#This Row],[PFHxA]])</f>
        <v>-0.79588001734407521</v>
      </c>
      <c r="AW48">
        <f>LOG(Table1_1__2[[#This Row],[PFHpA]])</f>
        <v>-1.0457574905606752</v>
      </c>
      <c r="AX48">
        <f>LOG(Table1_1__2[[#This Row],[PFOA]])</f>
        <v>-0.52287874528033762</v>
      </c>
      <c r="AY48">
        <f>LOG(Table1_1__2[[#This Row],[PFNA]])</f>
        <v>-1.3010299956639813</v>
      </c>
      <c r="AZ48">
        <f>LOG(Table1_1__2[[#This Row],[PFDA]])</f>
        <v>-1.3010299956639813</v>
      </c>
      <c r="BA48">
        <f>LOG(Table1_1__2[[#This Row],[PFUnA]])</f>
        <v>-1.3010299956639813</v>
      </c>
      <c r="BB48">
        <f>LOG(Table1_1__2[[#This Row],[PFDoA]])</f>
        <v>-1.3010299956639813</v>
      </c>
      <c r="BC48">
        <f>LOG(Table1_1__2[[#This Row],[PFTrDA]])</f>
        <v>-1.3010299956639813</v>
      </c>
      <c r="BD48">
        <f>LOG(Table1_1__2[[#This Row],[PFTeDA]])</f>
        <v>-1.3010299956639813</v>
      </c>
      <c r="BE48">
        <f>LOG(Table1_1__2[[#This Row],[PFBS]])</f>
        <v>-1.3010299956639813</v>
      </c>
      <c r="BF48">
        <f>LOG(Table1_1__2[[#This Row],[PFPeS]])</f>
        <v>-1.3010299956639813</v>
      </c>
      <c r="BG48">
        <f>LOG(Table1_1__2[[#This Row],[PFHxS]])</f>
        <v>-0.34678748622465633</v>
      </c>
      <c r="BH48">
        <f>LOG(Table1_1__2[[#This Row],[PFHpS]])</f>
        <v>-1.3010299956639813</v>
      </c>
      <c r="BI48">
        <f>LOG(Table1_1__2[[#This Row],[PFOS]])</f>
        <v>0.3010299956639812</v>
      </c>
      <c r="BJ48">
        <f>LOG(Table1_1__2[[#This Row],[PFNS]])</f>
        <v>-1.3010299956639813</v>
      </c>
      <c r="BK48">
        <f>LOG(Table1_1__2[[#This Row],[PFDS]])</f>
        <v>-1.3010299956639813</v>
      </c>
      <c r="BL48">
        <f>LOG(Table1_1__2[[#This Row],[PFDoS]])</f>
        <v>-1.3010299956639813</v>
      </c>
      <c r="BM48">
        <f>LOG(Table1_1__2[[#This Row],[4:2 FTS]])</f>
        <v>-0.69897000433601875</v>
      </c>
      <c r="BN48">
        <f>LOG(Table1_1__2[[#This Row],[6:2 FTS]])</f>
        <v>-0.3979400086720376</v>
      </c>
      <c r="BO48">
        <f>LOG(Table1_1__2[[#This Row],[8:2 FTS]])</f>
        <v>-0.3979400086720376</v>
      </c>
      <c r="BP48">
        <f>LOG(Table1_1__2[[#This Row],[FOSA]])</f>
        <v>-1.0457574905606752</v>
      </c>
      <c r="BQ48">
        <f>LOG(Table1_1__2[[#This Row],[N-MeFOSA]])</f>
        <v>-1.3010299956639813</v>
      </c>
      <c r="BR48">
        <f>LOG(Table1_1__2[[#This Row],[N-MeFOSAA]])</f>
        <v>-1.3010299956639813</v>
      </c>
      <c r="BS48">
        <f>LOG(Table1_1__2[[#This Row],[N-EtFOSAA]])</f>
        <v>-1.3010299956639813</v>
      </c>
      <c r="BT48">
        <f>LOG(Table1_1__2[[#This Row],[ADONA]])</f>
        <v>-0.69897000433601875</v>
      </c>
      <c r="BU48">
        <f>LOG(Table1_1__2[[#This Row],[3:3 FTCA]])</f>
        <v>-0.6020599913279624</v>
      </c>
      <c r="BV48">
        <f>LOG(Table1_1__2[[#This Row],[5:3 FTCA]])</f>
        <v>9.691001300805642E-2</v>
      </c>
      <c r="BW48">
        <f>LOG(Table1_1__2[[#This Row],[7:3 FTCA]])</f>
        <v>9.691001300805642E-2</v>
      </c>
      <c r="BX48">
        <f>LOG(Table1_1__2[[#This Row],[N-EtFOSA]])</f>
        <v>-1.3010299956639813</v>
      </c>
      <c r="BY48">
        <f>LOG(Table1_1__2[[#This Row],[N-MeFOSE]])</f>
        <v>-0.3010299956639812</v>
      </c>
      <c r="BZ48">
        <f>LOG(Table1_1__2[[#This Row],[N-EtFOSE]])</f>
        <v>-0.3010299956639812</v>
      </c>
      <c r="CA48">
        <f>LOG(Table1_1__2[[#This Row],[HFPO-DA]])</f>
        <v>-0.52287874528033762</v>
      </c>
      <c r="CB48">
        <f>LOG(Table1_1__2[[#This Row],[PFMBA]])</f>
        <v>-1</v>
      </c>
      <c r="CC48">
        <f>LOG(Table1_1__2[[#This Row],[NFDHA]])</f>
        <v>-1</v>
      </c>
      <c r="CD48">
        <f>LOG(Table1_1__2[[#This Row],[9Cl-PF3ONS]])</f>
        <v>-0.69897000433601875</v>
      </c>
      <c r="CE48">
        <f>LOG(Table1_1__2[[#This Row],[11Cl-PF3OUdS]])</f>
        <v>-0.69897000433601875</v>
      </c>
      <c r="CF48">
        <f>LOG(Table1_1__2[[#This Row],[PFEESA]])</f>
        <v>-1</v>
      </c>
      <c r="CG48">
        <f>LOG(Table1_1__2[[#This Row],[PFMPA]])</f>
        <v>-1</v>
      </c>
    </row>
    <row r="49" spans="1:85" x14ac:dyDescent="0.3">
      <c r="A49" s="2" t="s">
        <v>96</v>
      </c>
      <c r="B49" s="3">
        <v>44378.5</v>
      </c>
      <c r="C49" s="2" t="s">
        <v>29</v>
      </c>
      <c r="D49" s="2" t="s">
        <v>39</v>
      </c>
      <c r="E49">
        <v>0.2</v>
      </c>
      <c r="F49">
        <v>0.1</v>
      </c>
      <c r="G49">
        <v>0.21</v>
      </c>
      <c r="H49">
        <v>0.09</v>
      </c>
      <c r="I49">
        <v>0.34</v>
      </c>
      <c r="J49">
        <v>0.05</v>
      </c>
      <c r="K49">
        <v>0.05</v>
      </c>
      <c r="L49">
        <v>0.05</v>
      </c>
      <c r="M49">
        <v>0.05</v>
      </c>
      <c r="N49">
        <v>0.05</v>
      </c>
      <c r="O49">
        <v>0.05</v>
      </c>
      <c r="P49">
        <v>0.05</v>
      </c>
      <c r="Q49">
        <v>0.05</v>
      </c>
      <c r="R49">
        <v>0.62</v>
      </c>
      <c r="S49">
        <v>0.05</v>
      </c>
      <c r="T49">
        <v>1.3</v>
      </c>
      <c r="U49">
        <v>0.05</v>
      </c>
      <c r="V49">
        <v>0.05</v>
      </c>
      <c r="W49">
        <v>0.05</v>
      </c>
      <c r="X49">
        <v>0.2</v>
      </c>
      <c r="Y49">
        <v>0.4</v>
      </c>
      <c r="Z49">
        <v>0.4</v>
      </c>
      <c r="AA49">
        <v>0.09</v>
      </c>
      <c r="AB49">
        <v>0.05</v>
      </c>
      <c r="AC49">
        <v>0.05</v>
      </c>
      <c r="AD49">
        <v>0.05</v>
      </c>
      <c r="AE49">
        <v>0.2</v>
      </c>
      <c r="AF49">
        <v>0.25</v>
      </c>
      <c r="AG49">
        <v>1.25</v>
      </c>
      <c r="AH49">
        <v>1.25</v>
      </c>
      <c r="AI49">
        <v>0.05</v>
      </c>
      <c r="AJ49">
        <v>0.5</v>
      </c>
      <c r="AK49">
        <v>0.5</v>
      </c>
      <c r="AL49">
        <v>0.3</v>
      </c>
      <c r="AM49">
        <v>0.1</v>
      </c>
      <c r="AN49">
        <v>0.1</v>
      </c>
      <c r="AO49">
        <v>0.2</v>
      </c>
      <c r="AP49">
        <v>0.2</v>
      </c>
      <c r="AQ49">
        <v>0.1</v>
      </c>
      <c r="AR49">
        <v>0.1</v>
      </c>
      <c r="AS49">
        <f>SUM(Table1_1__2[[#This Row],[PFBA]:[PFMPA]])</f>
        <v>9.7999999999999972</v>
      </c>
      <c r="AT49">
        <f>LOG(Table1_1__2[[#This Row],[PFBA]])</f>
        <v>-0.69897000433601875</v>
      </c>
      <c r="AU49">
        <f>LOG(Table1_1__2[[#This Row],[PFPeA]])</f>
        <v>-1</v>
      </c>
      <c r="AV49">
        <f>LOG(Table1_1__2[[#This Row],[PFHxA]])</f>
        <v>-0.6777807052660807</v>
      </c>
      <c r="AW49">
        <f>LOG(Table1_1__2[[#This Row],[PFHpA]])</f>
        <v>-1.0457574905606752</v>
      </c>
      <c r="AX49">
        <f>LOG(Table1_1__2[[#This Row],[PFOA]])</f>
        <v>-0.46852108295774486</v>
      </c>
      <c r="AY49">
        <f>LOG(Table1_1__2[[#This Row],[PFNA]])</f>
        <v>-1.3010299956639813</v>
      </c>
      <c r="AZ49">
        <f>LOG(Table1_1__2[[#This Row],[PFDA]])</f>
        <v>-1.3010299956639813</v>
      </c>
      <c r="BA49">
        <f>LOG(Table1_1__2[[#This Row],[PFUnA]])</f>
        <v>-1.3010299956639813</v>
      </c>
      <c r="BB49">
        <f>LOG(Table1_1__2[[#This Row],[PFDoA]])</f>
        <v>-1.3010299956639813</v>
      </c>
      <c r="BC49">
        <f>LOG(Table1_1__2[[#This Row],[PFTrDA]])</f>
        <v>-1.3010299956639813</v>
      </c>
      <c r="BD49">
        <f>LOG(Table1_1__2[[#This Row],[PFTeDA]])</f>
        <v>-1.3010299956639813</v>
      </c>
      <c r="BE49">
        <f>LOG(Table1_1__2[[#This Row],[PFBS]])</f>
        <v>-1.3010299956639813</v>
      </c>
      <c r="BF49">
        <f>LOG(Table1_1__2[[#This Row],[PFPeS]])</f>
        <v>-1.3010299956639813</v>
      </c>
      <c r="BG49">
        <f>LOG(Table1_1__2[[#This Row],[PFHxS]])</f>
        <v>-0.20760831050174613</v>
      </c>
      <c r="BH49">
        <f>LOG(Table1_1__2[[#This Row],[PFHpS]])</f>
        <v>-1.3010299956639813</v>
      </c>
      <c r="BI49">
        <f>LOG(Table1_1__2[[#This Row],[PFOS]])</f>
        <v>0.11394335230683679</v>
      </c>
      <c r="BJ49">
        <f>LOG(Table1_1__2[[#This Row],[PFNS]])</f>
        <v>-1.3010299956639813</v>
      </c>
      <c r="BK49">
        <f>LOG(Table1_1__2[[#This Row],[PFDS]])</f>
        <v>-1.3010299956639813</v>
      </c>
      <c r="BL49">
        <f>LOG(Table1_1__2[[#This Row],[PFDoS]])</f>
        <v>-1.3010299956639813</v>
      </c>
      <c r="BM49">
        <f>LOG(Table1_1__2[[#This Row],[4:2 FTS]])</f>
        <v>-0.69897000433601875</v>
      </c>
      <c r="BN49">
        <f>LOG(Table1_1__2[[#This Row],[6:2 FTS]])</f>
        <v>-0.3979400086720376</v>
      </c>
      <c r="BO49">
        <f>LOG(Table1_1__2[[#This Row],[8:2 FTS]])</f>
        <v>-0.3979400086720376</v>
      </c>
      <c r="BP49">
        <f>LOG(Table1_1__2[[#This Row],[FOSA]])</f>
        <v>-1.0457574905606752</v>
      </c>
      <c r="BQ49">
        <f>LOG(Table1_1__2[[#This Row],[N-MeFOSA]])</f>
        <v>-1.3010299956639813</v>
      </c>
      <c r="BR49">
        <f>LOG(Table1_1__2[[#This Row],[N-MeFOSAA]])</f>
        <v>-1.3010299956639813</v>
      </c>
      <c r="BS49">
        <f>LOG(Table1_1__2[[#This Row],[N-EtFOSAA]])</f>
        <v>-1.3010299956639813</v>
      </c>
      <c r="BT49">
        <f>LOG(Table1_1__2[[#This Row],[ADONA]])</f>
        <v>-0.69897000433601875</v>
      </c>
      <c r="BU49">
        <f>LOG(Table1_1__2[[#This Row],[3:3 FTCA]])</f>
        <v>-0.6020599913279624</v>
      </c>
      <c r="BV49">
        <f>LOG(Table1_1__2[[#This Row],[5:3 FTCA]])</f>
        <v>9.691001300805642E-2</v>
      </c>
      <c r="BW49">
        <f>LOG(Table1_1__2[[#This Row],[7:3 FTCA]])</f>
        <v>9.691001300805642E-2</v>
      </c>
      <c r="BX49">
        <f>LOG(Table1_1__2[[#This Row],[N-EtFOSA]])</f>
        <v>-1.3010299956639813</v>
      </c>
      <c r="BY49">
        <f>LOG(Table1_1__2[[#This Row],[N-MeFOSE]])</f>
        <v>-0.3010299956639812</v>
      </c>
      <c r="BZ49">
        <f>LOG(Table1_1__2[[#This Row],[N-EtFOSE]])</f>
        <v>-0.3010299956639812</v>
      </c>
      <c r="CA49">
        <f>LOG(Table1_1__2[[#This Row],[HFPO-DA]])</f>
        <v>-0.52287874528033762</v>
      </c>
      <c r="CB49">
        <f>LOG(Table1_1__2[[#This Row],[PFMBA]])</f>
        <v>-1</v>
      </c>
      <c r="CC49">
        <f>LOG(Table1_1__2[[#This Row],[NFDHA]])</f>
        <v>-1</v>
      </c>
      <c r="CD49">
        <f>LOG(Table1_1__2[[#This Row],[9Cl-PF3ONS]])</f>
        <v>-0.69897000433601875</v>
      </c>
      <c r="CE49">
        <f>LOG(Table1_1__2[[#This Row],[11Cl-PF3OUdS]])</f>
        <v>-0.69897000433601875</v>
      </c>
      <c r="CF49">
        <f>LOG(Table1_1__2[[#This Row],[PFEESA]])</f>
        <v>-1</v>
      </c>
      <c r="CG49">
        <f>LOG(Table1_1__2[[#This Row],[PFMPA]])</f>
        <v>-1</v>
      </c>
    </row>
    <row r="50" spans="1:85" x14ac:dyDescent="0.3">
      <c r="A50" s="2" t="s">
        <v>97</v>
      </c>
      <c r="B50" s="3">
        <v>44384.5</v>
      </c>
      <c r="C50" s="2" t="s">
        <v>26</v>
      </c>
      <c r="D50" s="2" t="s">
        <v>39</v>
      </c>
      <c r="E50">
        <v>0.2</v>
      </c>
      <c r="F50">
        <v>0.1</v>
      </c>
      <c r="G50">
        <v>0.25</v>
      </c>
      <c r="H50">
        <v>0.09</v>
      </c>
      <c r="I50">
        <v>0.37</v>
      </c>
      <c r="J50">
        <v>4.9500000000000002E-2</v>
      </c>
      <c r="K50">
        <v>4.9500000000000002E-2</v>
      </c>
      <c r="L50">
        <v>4.9500000000000002E-2</v>
      </c>
      <c r="M50">
        <v>4.9500000000000002E-2</v>
      </c>
      <c r="N50">
        <v>4.9500000000000002E-2</v>
      </c>
      <c r="O50">
        <v>4.9500000000000002E-2</v>
      </c>
      <c r="P50">
        <v>4.9500000000000002E-2</v>
      </c>
      <c r="Q50">
        <v>4.9500000000000002E-2</v>
      </c>
      <c r="R50">
        <v>0.37</v>
      </c>
      <c r="S50">
        <v>4.9500000000000002E-2</v>
      </c>
      <c r="T50">
        <v>1.1000000000000001</v>
      </c>
      <c r="U50">
        <v>4.9500000000000002E-2</v>
      </c>
      <c r="V50">
        <v>4.9500000000000002E-2</v>
      </c>
      <c r="W50">
        <v>4.9500000000000002E-2</v>
      </c>
      <c r="X50">
        <v>0.2</v>
      </c>
      <c r="Y50">
        <v>0.4</v>
      </c>
      <c r="Z50">
        <v>0.4</v>
      </c>
      <c r="AA50">
        <v>0.09</v>
      </c>
      <c r="AB50">
        <v>4.9500000000000002E-2</v>
      </c>
      <c r="AC50">
        <v>4.9500000000000002E-2</v>
      </c>
      <c r="AD50">
        <v>4.9500000000000002E-2</v>
      </c>
      <c r="AE50">
        <v>0.2</v>
      </c>
      <c r="AF50">
        <v>0.25</v>
      </c>
      <c r="AG50">
        <v>1.25</v>
      </c>
      <c r="AH50">
        <v>1.25</v>
      </c>
      <c r="AI50">
        <v>4.9500000000000002E-2</v>
      </c>
      <c r="AJ50">
        <v>0.495</v>
      </c>
      <c r="AK50">
        <v>0.495</v>
      </c>
      <c r="AL50">
        <v>0.3</v>
      </c>
      <c r="AM50">
        <v>0.1</v>
      </c>
      <c r="AN50">
        <v>0.1</v>
      </c>
      <c r="AO50">
        <v>0.2</v>
      </c>
      <c r="AP50">
        <v>0.2</v>
      </c>
      <c r="AQ50">
        <v>0.1</v>
      </c>
      <c r="AR50">
        <v>0.1</v>
      </c>
      <c r="AS50">
        <f>SUM(Table1_1__2[[#This Row],[PFBA]:[PFMPA]])</f>
        <v>9.4019999999999992</v>
      </c>
      <c r="AT50">
        <f>LOG(Table1_1__2[[#This Row],[PFBA]])</f>
        <v>-0.69897000433601875</v>
      </c>
      <c r="AU50">
        <f>LOG(Table1_1__2[[#This Row],[PFPeA]])</f>
        <v>-1</v>
      </c>
      <c r="AV50">
        <f>LOG(Table1_1__2[[#This Row],[PFHxA]])</f>
        <v>-0.6020599913279624</v>
      </c>
      <c r="AW50">
        <f>LOG(Table1_1__2[[#This Row],[PFHpA]])</f>
        <v>-1.0457574905606752</v>
      </c>
      <c r="AX50">
        <f>LOG(Table1_1__2[[#This Row],[PFOA]])</f>
        <v>-0.43179827593300502</v>
      </c>
      <c r="AY50">
        <f>LOG(Table1_1__2[[#This Row],[PFNA]])</f>
        <v>-1.3053948010664314</v>
      </c>
      <c r="AZ50">
        <f>LOG(Table1_1__2[[#This Row],[PFDA]])</f>
        <v>-1.3053948010664314</v>
      </c>
      <c r="BA50">
        <f>LOG(Table1_1__2[[#This Row],[PFUnA]])</f>
        <v>-1.3053948010664314</v>
      </c>
      <c r="BB50">
        <f>LOG(Table1_1__2[[#This Row],[PFDoA]])</f>
        <v>-1.3053948010664314</v>
      </c>
      <c r="BC50">
        <f>LOG(Table1_1__2[[#This Row],[PFTrDA]])</f>
        <v>-1.3053948010664314</v>
      </c>
      <c r="BD50">
        <f>LOG(Table1_1__2[[#This Row],[PFTeDA]])</f>
        <v>-1.3053948010664314</v>
      </c>
      <c r="BE50">
        <f>LOG(Table1_1__2[[#This Row],[PFBS]])</f>
        <v>-1.3053948010664314</v>
      </c>
      <c r="BF50">
        <f>LOG(Table1_1__2[[#This Row],[PFPeS]])</f>
        <v>-1.3053948010664314</v>
      </c>
      <c r="BG50">
        <f>LOG(Table1_1__2[[#This Row],[PFHxS]])</f>
        <v>-0.43179827593300502</v>
      </c>
      <c r="BH50">
        <f>LOG(Table1_1__2[[#This Row],[PFHpS]])</f>
        <v>-1.3053948010664314</v>
      </c>
      <c r="BI50">
        <f>LOG(Table1_1__2[[#This Row],[PFOS]])</f>
        <v>4.1392685158225077E-2</v>
      </c>
      <c r="BJ50">
        <f>LOG(Table1_1__2[[#This Row],[PFNS]])</f>
        <v>-1.3053948010664314</v>
      </c>
      <c r="BK50">
        <f>LOG(Table1_1__2[[#This Row],[PFDS]])</f>
        <v>-1.3053948010664314</v>
      </c>
      <c r="BL50">
        <f>LOG(Table1_1__2[[#This Row],[PFDoS]])</f>
        <v>-1.3053948010664314</v>
      </c>
      <c r="BM50">
        <f>LOG(Table1_1__2[[#This Row],[4:2 FTS]])</f>
        <v>-0.69897000433601875</v>
      </c>
      <c r="BN50">
        <f>LOG(Table1_1__2[[#This Row],[6:2 FTS]])</f>
        <v>-0.3979400086720376</v>
      </c>
      <c r="BO50">
        <f>LOG(Table1_1__2[[#This Row],[8:2 FTS]])</f>
        <v>-0.3979400086720376</v>
      </c>
      <c r="BP50">
        <f>LOG(Table1_1__2[[#This Row],[FOSA]])</f>
        <v>-1.0457574905606752</v>
      </c>
      <c r="BQ50">
        <f>LOG(Table1_1__2[[#This Row],[N-MeFOSA]])</f>
        <v>-1.3053948010664314</v>
      </c>
      <c r="BR50">
        <f>LOG(Table1_1__2[[#This Row],[N-MeFOSAA]])</f>
        <v>-1.3053948010664314</v>
      </c>
      <c r="BS50">
        <f>LOG(Table1_1__2[[#This Row],[N-EtFOSAA]])</f>
        <v>-1.3053948010664314</v>
      </c>
      <c r="BT50">
        <f>LOG(Table1_1__2[[#This Row],[ADONA]])</f>
        <v>-0.69897000433601875</v>
      </c>
      <c r="BU50">
        <f>LOG(Table1_1__2[[#This Row],[3:3 FTCA]])</f>
        <v>-0.6020599913279624</v>
      </c>
      <c r="BV50">
        <f>LOG(Table1_1__2[[#This Row],[5:3 FTCA]])</f>
        <v>9.691001300805642E-2</v>
      </c>
      <c r="BW50">
        <f>LOG(Table1_1__2[[#This Row],[7:3 FTCA]])</f>
        <v>9.691001300805642E-2</v>
      </c>
      <c r="BX50">
        <f>LOG(Table1_1__2[[#This Row],[N-EtFOSA]])</f>
        <v>-1.3053948010664314</v>
      </c>
      <c r="BY50">
        <f>LOG(Table1_1__2[[#This Row],[N-MeFOSE]])</f>
        <v>-0.3053948010664313</v>
      </c>
      <c r="BZ50">
        <f>LOG(Table1_1__2[[#This Row],[N-EtFOSE]])</f>
        <v>-0.3053948010664313</v>
      </c>
      <c r="CA50">
        <f>LOG(Table1_1__2[[#This Row],[HFPO-DA]])</f>
        <v>-0.52287874528033762</v>
      </c>
      <c r="CB50">
        <f>LOG(Table1_1__2[[#This Row],[PFMBA]])</f>
        <v>-1</v>
      </c>
      <c r="CC50">
        <f>LOG(Table1_1__2[[#This Row],[NFDHA]])</f>
        <v>-1</v>
      </c>
      <c r="CD50">
        <f>LOG(Table1_1__2[[#This Row],[9Cl-PF3ONS]])</f>
        <v>-0.69897000433601875</v>
      </c>
      <c r="CE50">
        <f>LOG(Table1_1__2[[#This Row],[11Cl-PF3OUdS]])</f>
        <v>-0.69897000433601875</v>
      </c>
      <c r="CF50">
        <f>LOG(Table1_1__2[[#This Row],[PFEESA]])</f>
        <v>-1</v>
      </c>
      <c r="CG50">
        <f>LOG(Table1_1__2[[#This Row],[PFMPA]])</f>
        <v>-1</v>
      </c>
    </row>
    <row r="51" spans="1:85" x14ac:dyDescent="0.3">
      <c r="A51" s="2" t="s">
        <v>98</v>
      </c>
      <c r="B51" s="3">
        <v>44384.5</v>
      </c>
      <c r="C51" s="2" t="s">
        <v>31</v>
      </c>
      <c r="D51" s="2" t="s">
        <v>39</v>
      </c>
      <c r="E51">
        <v>0.2</v>
      </c>
      <c r="F51">
        <v>0.1</v>
      </c>
      <c r="G51">
        <v>0.19</v>
      </c>
      <c r="H51">
        <v>0.09</v>
      </c>
      <c r="I51">
        <v>0.28999999999999998</v>
      </c>
      <c r="J51">
        <v>4.9500000000000002E-2</v>
      </c>
      <c r="K51">
        <v>4.9500000000000002E-2</v>
      </c>
      <c r="L51">
        <v>4.9500000000000002E-2</v>
      </c>
      <c r="M51">
        <v>0.08</v>
      </c>
      <c r="N51">
        <v>4.9500000000000002E-2</v>
      </c>
      <c r="O51">
        <v>5.2999999999999999E-2</v>
      </c>
      <c r="P51">
        <v>4.9500000000000002E-2</v>
      </c>
      <c r="Q51">
        <v>4.9500000000000002E-2</v>
      </c>
      <c r="R51">
        <v>0.56999999999999995</v>
      </c>
      <c r="S51">
        <v>4.9500000000000002E-2</v>
      </c>
      <c r="T51">
        <v>4.0999999999999996</v>
      </c>
      <c r="U51">
        <v>4.9500000000000002E-2</v>
      </c>
      <c r="V51">
        <v>5.3999999999999999E-2</v>
      </c>
      <c r="W51">
        <v>4.9500000000000002E-2</v>
      </c>
      <c r="X51">
        <v>0.2</v>
      </c>
      <c r="Y51">
        <v>0.39500000000000002</v>
      </c>
      <c r="Z51">
        <v>0.39500000000000002</v>
      </c>
      <c r="AA51">
        <v>0.22</v>
      </c>
      <c r="AB51">
        <v>4.9500000000000002E-2</v>
      </c>
      <c r="AC51">
        <v>4.9500000000000002E-2</v>
      </c>
      <c r="AD51">
        <v>4.9500000000000002E-2</v>
      </c>
      <c r="AE51">
        <v>0.2</v>
      </c>
      <c r="AF51">
        <v>0.25</v>
      </c>
      <c r="AG51">
        <v>1.25</v>
      </c>
      <c r="AH51">
        <v>1.25</v>
      </c>
      <c r="AI51">
        <v>4.9500000000000002E-2</v>
      </c>
      <c r="AJ51">
        <v>0.495</v>
      </c>
      <c r="AK51">
        <v>0.495</v>
      </c>
      <c r="AL51">
        <v>0.3</v>
      </c>
      <c r="AM51">
        <v>0.1</v>
      </c>
      <c r="AN51">
        <v>0.1</v>
      </c>
      <c r="AO51">
        <v>0.2</v>
      </c>
      <c r="AP51">
        <v>0.2</v>
      </c>
      <c r="AQ51">
        <v>0.1</v>
      </c>
      <c r="AR51">
        <v>0.1</v>
      </c>
      <c r="AS51">
        <f>SUM(Table1_1__2[[#This Row],[PFBA]:[PFMPA]])</f>
        <v>12.620499999999998</v>
      </c>
      <c r="AT51">
        <f>LOG(Table1_1__2[[#This Row],[PFBA]])</f>
        <v>-0.69897000433601875</v>
      </c>
      <c r="AU51">
        <f>LOG(Table1_1__2[[#This Row],[PFPeA]])</f>
        <v>-1</v>
      </c>
      <c r="AV51">
        <f>LOG(Table1_1__2[[#This Row],[PFHxA]])</f>
        <v>-0.72124639904717103</v>
      </c>
      <c r="AW51">
        <f>LOG(Table1_1__2[[#This Row],[PFHpA]])</f>
        <v>-1.0457574905606752</v>
      </c>
      <c r="AX51">
        <f>LOG(Table1_1__2[[#This Row],[PFOA]])</f>
        <v>-0.53760200210104392</v>
      </c>
      <c r="AY51">
        <f>LOG(Table1_1__2[[#This Row],[PFNA]])</f>
        <v>-1.3053948010664314</v>
      </c>
      <c r="AZ51">
        <f>LOG(Table1_1__2[[#This Row],[PFDA]])</f>
        <v>-1.3053948010664314</v>
      </c>
      <c r="BA51">
        <f>LOG(Table1_1__2[[#This Row],[PFUnA]])</f>
        <v>-1.3053948010664314</v>
      </c>
      <c r="BB51">
        <f>LOG(Table1_1__2[[#This Row],[PFDoA]])</f>
        <v>-1.0969100130080565</v>
      </c>
      <c r="BC51">
        <f>LOG(Table1_1__2[[#This Row],[PFTrDA]])</f>
        <v>-1.3053948010664314</v>
      </c>
      <c r="BD51">
        <f>LOG(Table1_1__2[[#This Row],[PFTeDA]])</f>
        <v>-1.2757241303992111</v>
      </c>
      <c r="BE51">
        <f>LOG(Table1_1__2[[#This Row],[PFBS]])</f>
        <v>-1.3053948010664314</v>
      </c>
      <c r="BF51">
        <f>LOG(Table1_1__2[[#This Row],[PFPeS]])</f>
        <v>-1.3053948010664314</v>
      </c>
      <c r="BG51">
        <f>LOG(Table1_1__2[[#This Row],[PFHxS]])</f>
        <v>-0.24412514432750865</v>
      </c>
      <c r="BH51">
        <f>LOG(Table1_1__2[[#This Row],[PFHpS]])</f>
        <v>-1.3053948010664314</v>
      </c>
      <c r="BI51">
        <f>LOG(Table1_1__2[[#This Row],[PFOS]])</f>
        <v>0.61278385671973545</v>
      </c>
      <c r="BJ51">
        <f>LOG(Table1_1__2[[#This Row],[PFNS]])</f>
        <v>-1.3053948010664314</v>
      </c>
      <c r="BK51">
        <f>LOG(Table1_1__2[[#This Row],[PFDS]])</f>
        <v>-1.2676062401770316</v>
      </c>
      <c r="BL51">
        <f>LOG(Table1_1__2[[#This Row],[PFDoS]])</f>
        <v>-1.3053948010664314</v>
      </c>
      <c r="BM51">
        <f>LOG(Table1_1__2[[#This Row],[4:2 FTS]])</f>
        <v>-0.69897000433601875</v>
      </c>
      <c r="BN51">
        <f>LOG(Table1_1__2[[#This Row],[6:2 FTS]])</f>
        <v>-0.40340290437353976</v>
      </c>
      <c r="BO51">
        <f>LOG(Table1_1__2[[#This Row],[8:2 FTS]])</f>
        <v>-0.40340290437353976</v>
      </c>
      <c r="BP51">
        <f>LOG(Table1_1__2[[#This Row],[FOSA]])</f>
        <v>-0.65757731917779372</v>
      </c>
      <c r="BQ51">
        <f>LOG(Table1_1__2[[#This Row],[N-MeFOSA]])</f>
        <v>-1.3053948010664314</v>
      </c>
      <c r="BR51">
        <f>LOG(Table1_1__2[[#This Row],[N-MeFOSAA]])</f>
        <v>-1.3053948010664314</v>
      </c>
      <c r="BS51">
        <f>LOG(Table1_1__2[[#This Row],[N-EtFOSAA]])</f>
        <v>-1.3053948010664314</v>
      </c>
      <c r="BT51">
        <f>LOG(Table1_1__2[[#This Row],[ADONA]])</f>
        <v>-0.69897000433601875</v>
      </c>
      <c r="BU51">
        <f>LOG(Table1_1__2[[#This Row],[3:3 FTCA]])</f>
        <v>-0.6020599913279624</v>
      </c>
      <c r="BV51">
        <f>LOG(Table1_1__2[[#This Row],[5:3 FTCA]])</f>
        <v>9.691001300805642E-2</v>
      </c>
      <c r="BW51">
        <f>LOG(Table1_1__2[[#This Row],[7:3 FTCA]])</f>
        <v>9.691001300805642E-2</v>
      </c>
      <c r="BX51">
        <f>LOG(Table1_1__2[[#This Row],[N-EtFOSA]])</f>
        <v>-1.3053948010664314</v>
      </c>
      <c r="BY51">
        <f>LOG(Table1_1__2[[#This Row],[N-MeFOSE]])</f>
        <v>-0.3053948010664313</v>
      </c>
      <c r="BZ51">
        <f>LOG(Table1_1__2[[#This Row],[N-EtFOSE]])</f>
        <v>-0.3053948010664313</v>
      </c>
      <c r="CA51">
        <f>LOG(Table1_1__2[[#This Row],[HFPO-DA]])</f>
        <v>-0.52287874528033762</v>
      </c>
      <c r="CB51">
        <f>LOG(Table1_1__2[[#This Row],[PFMBA]])</f>
        <v>-1</v>
      </c>
      <c r="CC51">
        <f>LOG(Table1_1__2[[#This Row],[NFDHA]])</f>
        <v>-1</v>
      </c>
      <c r="CD51">
        <f>LOG(Table1_1__2[[#This Row],[9Cl-PF3ONS]])</f>
        <v>-0.69897000433601875</v>
      </c>
      <c r="CE51">
        <f>LOG(Table1_1__2[[#This Row],[11Cl-PF3OUdS]])</f>
        <v>-0.69897000433601875</v>
      </c>
      <c r="CF51">
        <f>LOG(Table1_1__2[[#This Row],[PFEESA]])</f>
        <v>-1</v>
      </c>
      <c r="CG51">
        <f>LOG(Table1_1__2[[#This Row],[PFMPA]])</f>
        <v>-1</v>
      </c>
    </row>
    <row r="52" spans="1:85" x14ac:dyDescent="0.3">
      <c r="A52" s="2" t="s">
        <v>99</v>
      </c>
      <c r="B52" s="3">
        <v>44384.5</v>
      </c>
      <c r="C52" s="2" t="s">
        <v>33</v>
      </c>
      <c r="D52" s="2" t="s">
        <v>39</v>
      </c>
      <c r="E52">
        <v>0.19500000000000001</v>
      </c>
      <c r="F52">
        <v>0.1</v>
      </c>
      <c r="G52">
        <v>0.09</v>
      </c>
      <c r="H52">
        <v>0.09</v>
      </c>
      <c r="I52">
        <v>0.16</v>
      </c>
      <c r="J52">
        <v>4.9500000000000002E-2</v>
      </c>
      <c r="K52">
        <v>4.9500000000000002E-2</v>
      </c>
      <c r="L52">
        <v>4.9500000000000002E-2</v>
      </c>
      <c r="M52">
        <v>4.9500000000000002E-2</v>
      </c>
      <c r="N52">
        <v>4.9500000000000002E-2</v>
      </c>
      <c r="O52">
        <v>4.9500000000000002E-2</v>
      </c>
      <c r="P52">
        <v>4.9500000000000002E-2</v>
      </c>
      <c r="Q52">
        <v>4.9500000000000002E-2</v>
      </c>
      <c r="R52">
        <v>0.28000000000000003</v>
      </c>
      <c r="S52">
        <v>4.9500000000000002E-2</v>
      </c>
      <c r="T52">
        <v>0.9</v>
      </c>
      <c r="U52">
        <v>4.9500000000000002E-2</v>
      </c>
      <c r="V52">
        <v>4.9500000000000002E-2</v>
      </c>
      <c r="W52">
        <v>4.9500000000000002E-2</v>
      </c>
      <c r="X52">
        <v>0.19500000000000001</v>
      </c>
      <c r="Y52">
        <v>0.39500000000000002</v>
      </c>
      <c r="Z52">
        <v>0.39500000000000002</v>
      </c>
      <c r="AA52">
        <v>0.09</v>
      </c>
      <c r="AB52">
        <v>4.9500000000000002E-2</v>
      </c>
      <c r="AC52">
        <v>4.9500000000000002E-2</v>
      </c>
      <c r="AD52">
        <v>4.9500000000000002E-2</v>
      </c>
      <c r="AE52">
        <v>0.19500000000000001</v>
      </c>
      <c r="AF52">
        <v>0.245</v>
      </c>
      <c r="AG52">
        <v>1.25</v>
      </c>
      <c r="AH52">
        <v>1.25</v>
      </c>
      <c r="AI52">
        <v>4.9500000000000002E-2</v>
      </c>
      <c r="AJ52">
        <v>0.495</v>
      </c>
      <c r="AK52">
        <v>0.495</v>
      </c>
      <c r="AL52">
        <v>0.29499999999999998</v>
      </c>
      <c r="AM52">
        <v>0.1</v>
      </c>
      <c r="AN52">
        <v>0.1</v>
      </c>
      <c r="AO52">
        <v>0.19500000000000001</v>
      </c>
      <c r="AP52">
        <v>0.19500000000000001</v>
      </c>
      <c r="AQ52">
        <v>0.1</v>
      </c>
      <c r="AR52">
        <v>0.1</v>
      </c>
      <c r="AS52">
        <f>SUM(Table1_1__2[[#This Row],[PFBA]:[PFMPA]])</f>
        <v>8.6969999999999992</v>
      </c>
      <c r="AT52">
        <f>LOG(Table1_1__2[[#This Row],[PFBA]])</f>
        <v>-0.70996538863748193</v>
      </c>
      <c r="AU52">
        <f>LOG(Table1_1__2[[#This Row],[PFPeA]])</f>
        <v>-1</v>
      </c>
      <c r="AV52">
        <f>LOG(Table1_1__2[[#This Row],[PFHxA]])</f>
        <v>-1.0457574905606752</v>
      </c>
      <c r="AW52">
        <f>LOG(Table1_1__2[[#This Row],[PFHpA]])</f>
        <v>-1.0457574905606752</v>
      </c>
      <c r="AX52">
        <f>LOG(Table1_1__2[[#This Row],[PFOA]])</f>
        <v>-0.79588001734407521</v>
      </c>
      <c r="AY52">
        <f>LOG(Table1_1__2[[#This Row],[PFNA]])</f>
        <v>-1.3053948010664314</v>
      </c>
      <c r="AZ52">
        <f>LOG(Table1_1__2[[#This Row],[PFDA]])</f>
        <v>-1.3053948010664314</v>
      </c>
      <c r="BA52">
        <f>LOG(Table1_1__2[[#This Row],[PFUnA]])</f>
        <v>-1.3053948010664314</v>
      </c>
      <c r="BB52">
        <f>LOG(Table1_1__2[[#This Row],[PFDoA]])</f>
        <v>-1.3053948010664314</v>
      </c>
      <c r="BC52">
        <f>LOG(Table1_1__2[[#This Row],[PFTrDA]])</f>
        <v>-1.3053948010664314</v>
      </c>
      <c r="BD52">
        <f>LOG(Table1_1__2[[#This Row],[PFTeDA]])</f>
        <v>-1.3053948010664314</v>
      </c>
      <c r="BE52">
        <f>LOG(Table1_1__2[[#This Row],[PFBS]])</f>
        <v>-1.3053948010664314</v>
      </c>
      <c r="BF52">
        <f>LOG(Table1_1__2[[#This Row],[PFPeS]])</f>
        <v>-1.3053948010664314</v>
      </c>
      <c r="BG52">
        <f>LOG(Table1_1__2[[#This Row],[PFHxS]])</f>
        <v>-0.55284196865778079</v>
      </c>
      <c r="BH52">
        <f>LOG(Table1_1__2[[#This Row],[PFHpS]])</f>
        <v>-1.3053948010664314</v>
      </c>
      <c r="BI52">
        <f>LOG(Table1_1__2[[#This Row],[PFOS]])</f>
        <v>-4.5757490560675115E-2</v>
      </c>
      <c r="BJ52">
        <f>LOG(Table1_1__2[[#This Row],[PFNS]])</f>
        <v>-1.3053948010664314</v>
      </c>
      <c r="BK52">
        <f>LOG(Table1_1__2[[#This Row],[PFDS]])</f>
        <v>-1.3053948010664314</v>
      </c>
      <c r="BL52">
        <f>LOG(Table1_1__2[[#This Row],[PFDoS]])</f>
        <v>-1.3053948010664314</v>
      </c>
      <c r="BM52">
        <f>LOG(Table1_1__2[[#This Row],[4:2 FTS]])</f>
        <v>-0.70996538863748193</v>
      </c>
      <c r="BN52">
        <f>LOG(Table1_1__2[[#This Row],[6:2 FTS]])</f>
        <v>-0.40340290437353976</v>
      </c>
      <c r="BO52">
        <f>LOG(Table1_1__2[[#This Row],[8:2 FTS]])</f>
        <v>-0.40340290437353976</v>
      </c>
      <c r="BP52">
        <f>LOG(Table1_1__2[[#This Row],[FOSA]])</f>
        <v>-1.0457574905606752</v>
      </c>
      <c r="BQ52">
        <f>LOG(Table1_1__2[[#This Row],[N-MeFOSA]])</f>
        <v>-1.3053948010664314</v>
      </c>
      <c r="BR52">
        <f>LOG(Table1_1__2[[#This Row],[N-MeFOSAA]])</f>
        <v>-1.3053948010664314</v>
      </c>
      <c r="BS52">
        <f>LOG(Table1_1__2[[#This Row],[N-EtFOSAA]])</f>
        <v>-1.3053948010664314</v>
      </c>
      <c r="BT52">
        <f>LOG(Table1_1__2[[#This Row],[ADONA]])</f>
        <v>-0.70996538863748193</v>
      </c>
      <c r="BU52">
        <f>LOG(Table1_1__2[[#This Row],[3:3 FTCA]])</f>
        <v>-0.61083391563546752</v>
      </c>
      <c r="BV52">
        <f>LOG(Table1_1__2[[#This Row],[5:3 FTCA]])</f>
        <v>9.691001300805642E-2</v>
      </c>
      <c r="BW52">
        <f>LOG(Table1_1__2[[#This Row],[7:3 FTCA]])</f>
        <v>9.691001300805642E-2</v>
      </c>
      <c r="BX52">
        <f>LOG(Table1_1__2[[#This Row],[N-EtFOSA]])</f>
        <v>-1.3053948010664314</v>
      </c>
      <c r="BY52">
        <f>LOG(Table1_1__2[[#This Row],[N-MeFOSE]])</f>
        <v>-0.3053948010664313</v>
      </c>
      <c r="BZ52">
        <f>LOG(Table1_1__2[[#This Row],[N-EtFOSE]])</f>
        <v>-0.3053948010664313</v>
      </c>
      <c r="CA52">
        <f>LOG(Table1_1__2[[#This Row],[HFPO-DA]])</f>
        <v>-0.53017798402183702</v>
      </c>
      <c r="CB52">
        <f>LOG(Table1_1__2[[#This Row],[PFMBA]])</f>
        <v>-1</v>
      </c>
      <c r="CC52">
        <f>LOG(Table1_1__2[[#This Row],[NFDHA]])</f>
        <v>-1</v>
      </c>
      <c r="CD52">
        <f>LOG(Table1_1__2[[#This Row],[9Cl-PF3ONS]])</f>
        <v>-0.70996538863748193</v>
      </c>
      <c r="CE52">
        <f>LOG(Table1_1__2[[#This Row],[11Cl-PF3OUdS]])</f>
        <v>-0.70996538863748193</v>
      </c>
      <c r="CF52">
        <f>LOG(Table1_1__2[[#This Row],[PFEESA]])</f>
        <v>-1</v>
      </c>
      <c r="CG52">
        <f>LOG(Table1_1__2[[#This Row],[PFMPA]])</f>
        <v>-1</v>
      </c>
    </row>
    <row r="53" spans="1:85" x14ac:dyDescent="0.3">
      <c r="A53" s="2" t="s">
        <v>100</v>
      </c>
      <c r="B53" s="3">
        <v>44384.5</v>
      </c>
      <c r="C53" s="2" t="s">
        <v>29</v>
      </c>
      <c r="D53" s="2" t="s">
        <v>39</v>
      </c>
      <c r="E53">
        <v>0.2</v>
      </c>
      <c r="F53">
        <v>0.1</v>
      </c>
      <c r="G53">
        <v>0.13</v>
      </c>
      <c r="H53">
        <v>0.09</v>
      </c>
      <c r="I53">
        <v>0.23</v>
      </c>
      <c r="J53">
        <v>0.05</v>
      </c>
      <c r="K53">
        <v>0.05</v>
      </c>
      <c r="L53">
        <v>0.05</v>
      </c>
      <c r="M53">
        <v>0.05</v>
      </c>
      <c r="N53">
        <v>0.05</v>
      </c>
      <c r="O53">
        <v>0.05</v>
      </c>
      <c r="P53">
        <v>0.05</v>
      </c>
      <c r="Q53">
        <v>0.05</v>
      </c>
      <c r="R53">
        <v>0.32</v>
      </c>
      <c r="S53">
        <v>0.05</v>
      </c>
      <c r="T53">
        <v>1.1000000000000001</v>
      </c>
      <c r="U53">
        <v>0.05</v>
      </c>
      <c r="V53">
        <v>0.05</v>
      </c>
      <c r="W53">
        <v>0.05</v>
      </c>
      <c r="X53">
        <v>0.2</v>
      </c>
      <c r="Y53">
        <v>0.4</v>
      </c>
      <c r="Z53">
        <v>0.4</v>
      </c>
      <c r="AA53">
        <v>0.09</v>
      </c>
      <c r="AB53">
        <v>0.05</v>
      </c>
      <c r="AC53">
        <v>0.05</v>
      </c>
      <c r="AD53">
        <v>0.05</v>
      </c>
      <c r="AE53">
        <v>0.2</v>
      </c>
      <c r="AF53">
        <v>0.25</v>
      </c>
      <c r="AG53">
        <v>1.25</v>
      </c>
      <c r="AH53">
        <v>1.25</v>
      </c>
      <c r="AI53">
        <v>0.05</v>
      </c>
      <c r="AJ53">
        <v>0.5</v>
      </c>
      <c r="AK53">
        <v>0.5</v>
      </c>
      <c r="AL53">
        <v>0.3</v>
      </c>
      <c r="AM53">
        <v>0.1</v>
      </c>
      <c r="AN53">
        <v>0.1</v>
      </c>
      <c r="AO53">
        <v>0.2</v>
      </c>
      <c r="AP53">
        <v>0.2</v>
      </c>
      <c r="AQ53">
        <v>0.1</v>
      </c>
      <c r="AR53">
        <v>0.1</v>
      </c>
      <c r="AS53">
        <f>SUM(Table1_1__2[[#This Row],[PFBA]:[PFMPA]])</f>
        <v>9.1099999999999977</v>
      </c>
      <c r="AT53">
        <f>LOG(Table1_1__2[[#This Row],[PFBA]])</f>
        <v>-0.69897000433601875</v>
      </c>
      <c r="AU53">
        <f>LOG(Table1_1__2[[#This Row],[PFPeA]])</f>
        <v>-1</v>
      </c>
      <c r="AV53">
        <f>LOG(Table1_1__2[[#This Row],[PFHxA]])</f>
        <v>-0.88605664769316317</v>
      </c>
      <c r="AW53">
        <f>LOG(Table1_1__2[[#This Row],[PFHpA]])</f>
        <v>-1.0457574905606752</v>
      </c>
      <c r="AX53">
        <f>LOG(Table1_1__2[[#This Row],[PFOA]])</f>
        <v>-0.63827216398240705</v>
      </c>
      <c r="AY53">
        <f>LOG(Table1_1__2[[#This Row],[PFNA]])</f>
        <v>-1.3010299956639813</v>
      </c>
      <c r="AZ53">
        <f>LOG(Table1_1__2[[#This Row],[PFDA]])</f>
        <v>-1.3010299956639813</v>
      </c>
      <c r="BA53">
        <f>LOG(Table1_1__2[[#This Row],[PFUnA]])</f>
        <v>-1.3010299956639813</v>
      </c>
      <c r="BB53">
        <f>LOG(Table1_1__2[[#This Row],[PFDoA]])</f>
        <v>-1.3010299956639813</v>
      </c>
      <c r="BC53">
        <f>LOG(Table1_1__2[[#This Row],[PFTrDA]])</f>
        <v>-1.3010299956639813</v>
      </c>
      <c r="BD53">
        <f>LOG(Table1_1__2[[#This Row],[PFTeDA]])</f>
        <v>-1.3010299956639813</v>
      </c>
      <c r="BE53">
        <f>LOG(Table1_1__2[[#This Row],[PFBS]])</f>
        <v>-1.3010299956639813</v>
      </c>
      <c r="BF53">
        <f>LOG(Table1_1__2[[#This Row],[PFPeS]])</f>
        <v>-1.3010299956639813</v>
      </c>
      <c r="BG53">
        <f>LOG(Table1_1__2[[#This Row],[PFHxS]])</f>
        <v>-0.49485002168009401</v>
      </c>
      <c r="BH53">
        <f>LOG(Table1_1__2[[#This Row],[PFHpS]])</f>
        <v>-1.3010299956639813</v>
      </c>
      <c r="BI53">
        <f>LOG(Table1_1__2[[#This Row],[PFOS]])</f>
        <v>4.1392685158225077E-2</v>
      </c>
      <c r="BJ53">
        <f>LOG(Table1_1__2[[#This Row],[PFNS]])</f>
        <v>-1.3010299956639813</v>
      </c>
      <c r="BK53">
        <f>LOG(Table1_1__2[[#This Row],[PFDS]])</f>
        <v>-1.3010299956639813</v>
      </c>
      <c r="BL53">
        <f>LOG(Table1_1__2[[#This Row],[PFDoS]])</f>
        <v>-1.3010299956639813</v>
      </c>
      <c r="BM53">
        <f>LOG(Table1_1__2[[#This Row],[4:2 FTS]])</f>
        <v>-0.69897000433601875</v>
      </c>
      <c r="BN53">
        <f>LOG(Table1_1__2[[#This Row],[6:2 FTS]])</f>
        <v>-0.3979400086720376</v>
      </c>
      <c r="BO53">
        <f>LOG(Table1_1__2[[#This Row],[8:2 FTS]])</f>
        <v>-0.3979400086720376</v>
      </c>
      <c r="BP53">
        <f>LOG(Table1_1__2[[#This Row],[FOSA]])</f>
        <v>-1.0457574905606752</v>
      </c>
      <c r="BQ53">
        <f>LOG(Table1_1__2[[#This Row],[N-MeFOSA]])</f>
        <v>-1.3010299956639813</v>
      </c>
      <c r="BR53">
        <f>LOG(Table1_1__2[[#This Row],[N-MeFOSAA]])</f>
        <v>-1.3010299956639813</v>
      </c>
      <c r="BS53">
        <f>LOG(Table1_1__2[[#This Row],[N-EtFOSAA]])</f>
        <v>-1.3010299956639813</v>
      </c>
      <c r="BT53">
        <f>LOG(Table1_1__2[[#This Row],[ADONA]])</f>
        <v>-0.69897000433601875</v>
      </c>
      <c r="BU53">
        <f>LOG(Table1_1__2[[#This Row],[3:3 FTCA]])</f>
        <v>-0.6020599913279624</v>
      </c>
      <c r="BV53">
        <f>LOG(Table1_1__2[[#This Row],[5:3 FTCA]])</f>
        <v>9.691001300805642E-2</v>
      </c>
      <c r="BW53">
        <f>LOG(Table1_1__2[[#This Row],[7:3 FTCA]])</f>
        <v>9.691001300805642E-2</v>
      </c>
      <c r="BX53">
        <f>LOG(Table1_1__2[[#This Row],[N-EtFOSA]])</f>
        <v>-1.3010299956639813</v>
      </c>
      <c r="BY53">
        <f>LOG(Table1_1__2[[#This Row],[N-MeFOSE]])</f>
        <v>-0.3010299956639812</v>
      </c>
      <c r="BZ53">
        <f>LOG(Table1_1__2[[#This Row],[N-EtFOSE]])</f>
        <v>-0.3010299956639812</v>
      </c>
      <c r="CA53">
        <f>LOG(Table1_1__2[[#This Row],[HFPO-DA]])</f>
        <v>-0.52287874528033762</v>
      </c>
      <c r="CB53">
        <f>LOG(Table1_1__2[[#This Row],[PFMBA]])</f>
        <v>-1</v>
      </c>
      <c r="CC53">
        <f>LOG(Table1_1__2[[#This Row],[NFDHA]])</f>
        <v>-1</v>
      </c>
      <c r="CD53">
        <f>LOG(Table1_1__2[[#This Row],[9Cl-PF3ONS]])</f>
        <v>-0.69897000433601875</v>
      </c>
      <c r="CE53">
        <f>LOG(Table1_1__2[[#This Row],[11Cl-PF3OUdS]])</f>
        <v>-0.69897000433601875</v>
      </c>
      <c r="CF53">
        <f>LOG(Table1_1__2[[#This Row],[PFEESA]])</f>
        <v>-1</v>
      </c>
      <c r="CG53">
        <f>LOG(Table1_1__2[[#This Row],[PFMPA]])</f>
        <v>-1</v>
      </c>
    </row>
    <row r="54" spans="1:85" x14ac:dyDescent="0.3">
      <c r="A54" s="2" t="s">
        <v>101</v>
      </c>
      <c r="B54" s="3">
        <v>44389.5</v>
      </c>
      <c r="C54" s="2" t="s">
        <v>26</v>
      </c>
      <c r="D54" s="2" t="s">
        <v>39</v>
      </c>
      <c r="E54">
        <v>0.2</v>
      </c>
      <c r="F54">
        <v>0.1</v>
      </c>
      <c r="G54">
        <v>0.22</v>
      </c>
      <c r="H54">
        <v>0.09</v>
      </c>
      <c r="I54">
        <v>0.42</v>
      </c>
      <c r="J54">
        <v>0.05</v>
      </c>
      <c r="K54">
        <v>0.05</v>
      </c>
      <c r="L54">
        <v>0.05</v>
      </c>
      <c r="M54">
        <v>0.05</v>
      </c>
      <c r="N54">
        <v>0.05</v>
      </c>
      <c r="O54">
        <v>0.05</v>
      </c>
      <c r="P54">
        <v>0.05</v>
      </c>
      <c r="Q54">
        <v>0.05</v>
      </c>
      <c r="R54">
        <v>0.44</v>
      </c>
      <c r="S54">
        <v>0.05</v>
      </c>
      <c r="T54">
        <v>1</v>
      </c>
      <c r="U54">
        <v>0.05</v>
      </c>
      <c r="V54">
        <v>0.05</v>
      </c>
      <c r="W54">
        <v>0.05</v>
      </c>
      <c r="X54">
        <v>0.2</v>
      </c>
      <c r="Y54">
        <v>0.4</v>
      </c>
      <c r="Z54">
        <v>0.4</v>
      </c>
      <c r="AA54">
        <v>0.09</v>
      </c>
      <c r="AB54">
        <v>0.05</v>
      </c>
      <c r="AC54">
        <v>0.05</v>
      </c>
      <c r="AD54">
        <v>0.05</v>
      </c>
      <c r="AE54">
        <v>0.2</v>
      </c>
      <c r="AF54">
        <v>0.25</v>
      </c>
      <c r="AG54">
        <v>1.25</v>
      </c>
      <c r="AH54">
        <v>1.25</v>
      </c>
      <c r="AI54">
        <v>0.05</v>
      </c>
      <c r="AJ54">
        <v>0.5</v>
      </c>
      <c r="AK54">
        <v>0.5</v>
      </c>
      <c r="AL54">
        <v>0.3</v>
      </c>
      <c r="AM54">
        <v>0.1</v>
      </c>
      <c r="AN54">
        <v>0.1</v>
      </c>
      <c r="AO54">
        <v>0.2</v>
      </c>
      <c r="AP54">
        <v>0.2</v>
      </c>
      <c r="AQ54">
        <v>0.1</v>
      </c>
      <c r="AR54">
        <v>0.1</v>
      </c>
      <c r="AS54">
        <f>SUM(Table1_1__2[[#This Row],[PFBA]:[PFMPA]])</f>
        <v>9.4099999999999966</v>
      </c>
      <c r="AT54">
        <f>LOG(Table1_1__2[[#This Row],[PFBA]])</f>
        <v>-0.69897000433601875</v>
      </c>
      <c r="AU54">
        <f>LOG(Table1_1__2[[#This Row],[PFPeA]])</f>
        <v>-1</v>
      </c>
      <c r="AV54">
        <f>LOG(Table1_1__2[[#This Row],[PFHxA]])</f>
        <v>-0.65757731917779372</v>
      </c>
      <c r="AW54">
        <f>LOG(Table1_1__2[[#This Row],[PFHpA]])</f>
        <v>-1.0457574905606752</v>
      </c>
      <c r="AX54">
        <f>LOG(Table1_1__2[[#This Row],[PFOA]])</f>
        <v>-0.37675070960209955</v>
      </c>
      <c r="AY54">
        <f>LOG(Table1_1__2[[#This Row],[PFNA]])</f>
        <v>-1.3010299956639813</v>
      </c>
      <c r="AZ54">
        <f>LOG(Table1_1__2[[#This Row],[PFDA]])</f>
        <v>-1.3010299956639813</v>
      </c>
      <c r="BA54">
        <f>LOG(Table1_1__2[[#This Row],[PFUnA]])</f>
        <v>-1.3010299956639813</v>
      </c>
      <c r="BB54">
        <f>LOG(Table1_1__2[[#This Row],[PFDoA]])</f>
        <v>-1.3010299956639813</v>
      </c>
      <c r="BC54">
        <f>LOG(Table1_1__2[[#This Row],[PFTrDA]])</f>
        <v>-1.3010299956639813</v>
      </c>
      <c r="BD54">
        <f>LOG(Table1_1__2[[#This Row],[PFTeDA]])</f>
        <v>-1.3010299956639813</v>
      </c>
      <c r="BE54">
        <f>LOG(Table1_1__2[[#This Row],[PFBS]])</f>
        <v>-1.3010299956639813</v>
      </c>
      <c r="BF54">
        <f>LOG(Table1_1__2[[#This Row],[PFPeS]])</f>
        <v>-1.3010299956639813</v>
      </c>
      <c r="BG54">
        <f>LOG(Table1_1__2[[#This Row],[PFHxS]])</f>
        <v>-0.35654732351381258</v>
      </c>
      <c r="BH54">
        <f>LOG(Table1_1__2[[#This Row],[PFHpS]])</f>
        <v>-1.3010299956639813</v>
      </c>
      <c r="BI54">
        <f>LOG(Table1_1__2[[#This Row],[PFOS]])</f>
        <v>0</v>
      </c>
      <c r="BJ54">
        <f>LOG(Table1_1__2[[#This Row],[PFNS]])</f>
        <v>-1.3010299956639813</v>
      </c>
      <c r="BK54">
        <f>LOG(Table1_1__2[[#This Row],[PFDS]])</f>
        <v>-1.3010299956639813</v>
      </c>
      <c r="BL54">
        <f>LOG(Table1_1__2[[#This Row],[PFDoS]])</f>
        <v>-1.3010299956639813</v>
      </c>
      <c r="BM54">
        <f>LOG(Table1_1__2[[#This Row],[4:2 FTS]])</f>
        <v>-0.69897000433601875</v>
      </c>
      <c r="BN54">
        <f>LOG(Table1_1__2[[#This Row],[6:2 FTS]])</f>
        <v>-0.3979400086720376</v>
      </c>
      <c r="BO54">
        <f>LOG(Table1_1__2[[#This Row],[8:2 FTS]])</f>
        <v>-0.3979400086720376</v>
      </c>
      <c r="BP54">
        <f>LOG(Table1_1__2[[#This Row],[FOSA]])</f>
        <v>-1.0457574905606752</v>
      </c>
      <c r="BQ54">
        <f>LOG(Table1_1__2[[#This Row],[N-MeFOSA]])</f>
        <v>-1.3010299956639813</v>
      </c>
      <c r="BR54">
        <f>LOG(Table1_1__2[[#This Row],[N-MeFOSAA]])</f>
        <v>-1.3010299956639813</v>
      </c>
      <c r="BS54">
        <f>LOG(Table1_1__2[[#This Row],[N-EtFOSAA]])</f>
        <v>-1.3010299956639813</v>
      </c>
      <c r="BT54">
        <f>LOG(Table1_1__2[[#This Row],[ADONA]])</f>
        <v>-0.69897000433601875</v>
      </c>
      <c r="BU54">
        <f>LOG(Table1_1__2[[#This Row],[3:3 FTCA]])</f>
        <v>-0.6020599913279624</v>
      </c>
      <c r="BV54">
        <f>LOG(Table1_1__2[[#This Row],[5:3 FTCA]])</f>
        <v>9.691001300805642E-2</v>
      </c>
      <c r="BW54">
        <f>LOG(Table1_1__2[[#This Row],[7:3 FTCA]])</f>
        <v>9.691001300805642E-2</v>
      </c>
      <c r="BX54">
        <f>LOG(Table1_1__2[[#This Row],[N-EtFOSA]])</f>
        <v>-1.3010299956639813</v>
      </c>
      <c r="BY54">
        <f>LOG(Table1_1__2[[#This Row],[N-MeFOSE]])</f>
        <v>-0.3010299956639812</v>
      </c>
      <c r="BZ54">
        <f>LOG(Table1_1__2[[#This Row],[N-EtFOSE]])</f>
        <v>-0.3010299956639812</v>
      </c>
      <c r="CA54">
        <f>LOG(Table1_1__2[[#This Row],[HFPO-DA]])</f>
        <v>-0.52287874528033762</v>
      </c>
      <c r="CB54">
        <f>LOG(Table1_1__2[[#This Row],[PFMBA]])</f>
        <v>-1</v>
      </c>
      <c r="CC54">
        <f>LOG(Table1_1__2[[#This Row],[NFDHA]])</f>
        <v>-1</v>
      </c>
      <c r="CD54">
        <f>LOG(Table1_1__2[[#This Row],[9Cl-PF3ONS]])</f>
        <v>-0.69897000433601875</v>
      </c>
      <c r="CE54">
        <f>LOG(Table1_1__2[[#This Row],[11Cl-PF3OUdS]])</f>
        <v>-0.69897000433601875</v>
      </c>
      <c r="CF54">
        <f>LOG(Table1_1__2[[#This Row],[PFEESA]])</f>
        <v>-1</v>
      </c>
      <c r="CG54">
        <f>LOG(Table1_1__2[[#This Row],[PFMPA]])</f>
        <v>-1</v>
      </c>
    </row>
    <row r="55" spans="1:85" x14ac:dyDescent="0.3">
      <c r="A55" s="2" t="s">
        <v>102</v>
      </c>
      <c r="B55" s="3">
        <v>44389.5</v>
      </c>
      <c r="C55" s="2" t="s">
        <v>31</v>
      </c>
      <c r="D55" s="2" t="s">
        <v>39</v>
      </c>
      <c r="E55">
        <v>0.2</v>
      </c>
      <c r="F55">
        <v>0.1</v>
      </c>
      <c r="G55">
        <v>0.2</v>
      </c>
      <c r="H55">
        <v>0.09</v>
      </c>
      <c r="I55">
        <v>0.3</v>
      </c>
      <c r="J55">
        <v>4.9500000000000002E-2</v>
      </c>
      <c r="K55">
        <v>4.9500000000000002E-2</v>
      </c>
      <c r="L55">
        <v>4.9500000000000002E-2</v>
      </c>
      <c r="M55">
        <v>5.0999999999999997E-2</v>
      </c>
      <c r="N55">
        <v>4.9500000000000002E-2</v>
      </c>
      <c r="O55">
        <v>4.9500000000000002E-2</v>
      </c>
      <c r="P55">
        <v>4.9500000000000002E-2</v>
      </c>
      <c r="Q55">
        <v>4.9500000000000002E-2</v>
      </c>
      <c r="R55">
        <v>0.65</v>
      </c>
      <c r="S55">
        <v>4.9500000000000002E-2</v>
      </c>
      <c r="T55">
        <v>3.3</v>
      </c>
      <c r="U55">
        <v>4.9500000000000002E-2</v>
      </c>
      <c r="V55">
        <v>4.9500000000000002E-2</v>
      </c>
      <c r="W55">
        <v>4.9500000000000002E-2</v>
      </c>
      <c r="X55">
        <v>0.2</v>
      </c>
      <c r="Y55">
        <v>0.39500000000000002</v>
      </c>
      <c r="Z55">
        <v>0.39500000000000002</v>
      </c>
      <c r="AA55">
        <v>0.16</v>
      </c>
      <c r="AB55">
        <v>4.9500000000000002E-2</v>
      </c>
      <c r="AC55">
        <v>4.9500000000000002E-2</v>
      </c>
      <c r="AD55">
        <v>4.9500000000000002E-2</v>
      </c>
      <c r="AE55">
        <v>0.2</v>
      </c>
      <c r="AF55">
        <v>0.25</v>
      </c>
      <c r="AG55">
        <v>1.25</v>
      </c>
      <c r="AH55">
        <v>1.25</v>
      </c>
      <c r="AI55">
        <v>4.9500000000000002E-2</v>
      </c>
      <c r="AJ55">
        <v>0.495</v>
      </c>
      <c r="AK55">
        <v>0.495</v>
      </c>
      <c r="AL55">
        <v>0.3</v>
      </c>
      <c r="AM55">
        <v>0.1</v>
      </c>
      <c r="AN55">
        <v>0.1</v>
      </c>
      <c r="AO55">
        <v>0.2</v>
      </c>
      <c r="AP55">
        <v>0.2</v>
      </c>
      <c r="AQ55">
        <v>0.1</v>
      </c>
      <c r="AR55">
        <v>0.1</v>
      </c>
      <c r="AS55">
        <f>SUM(Table1_1__2[[#This Row],[PFBA]:[PFMPA]])</f>
        <v>11.823499999999997</v>
      </c>
      <c r="AT55">
        <f>LOG(Table1_1__2[[#This Row],[PFBA]])</f>
        <v>-0.69897000433601875</v>
      </c>
      <c r="AU55">
        <f>LOG(Table1_1__2[[#This Row],[PFPeA]])</f>
        <v>-1</v>
      </c>
      <c r="AV55">
        <f>LOG(Table1_1__2[[#This Row],[PFHxA]])</f>
        <v>-0.69897000433601875</v>
      </c>
      <c r="AW55">
        <f>LOG(Table1_1__2[[#This Row],[PFHpA]])</f>
        <v>-1.0457574905606752</v>
      </c>
      <c r="AX55">
        <f>LOG(Table1_1__2[[#This Row],[PFOA]])</f>
        <v>-0.52287874528033762</v>
      </c>
      <c r="AY55">
        <f>LOG(Table1_1__2[[#This Row],[PFNA]])</f>
        <v>-1.3053948010664314</v>
      </c>
      <c r="AZ55">
        <f>LOG(Table1_1__2[[#This Row],[PFDA]])</f>
        <v>-1.3053948010664314</v>
      </c>
      <c r="BA55">
        <f>LOG(Table1_1__2[[#This Row],[PFUnA]])</f>
        <v>-1.3053948010664314</v>
      </c>
      <c r="BB55">
        <f>LOG(Table1_1__2[[#This Row],[PFDoA]])</f>
        <v>-1.2924298239020637</v>
      </c>
      <c r="BC55">
        <f>LOG(Table1_1__2[[#This Row],[PFTrDA]])</f>
        <v>-1.3053948010664314</v>
      </c>
      <c r="BD55">
        <f>LOG(Table1_1__2[[#This Row],[PFTeDA]])</f>
        <v>-1.3053948010664314</v>
      </c>
      <c r="BE55">
        <f>LOG(Table1_1__2[[#This Row],[PFBS]])</f>
        <v>-1.3053948010664314</v>
      </c>
      <c r="BF55">
        <f>LOG(Table1_1__2[[#This Row],[PFPeS]])</f>
        <v>-1.3053948010664314</v>
      </c>
      <c r="BG55">
        <f>LOG(Table1_1__2[[#This Row],[PFHxS]])</f>
        <v>-0.18708664335714442</v>
      </c>
      <c r="BH55">
        <f>LOG(Table1_1__2[[#This Row],[PFHpS]])</f>
        <v>-1.3053948010664314</v>
      </c>
      <c r="BI55">
        <f>LOG(Table1_1__2[[#This Row],[PFOS]])</f>
        <v>0.51851393987788741</v>
      </c>
      <c r="BJ55">
        <f>LOG(Table1_1__2[[#This Row],[PFNS]])</f>
        <v>-1.3053948010664314</v>
      </c>
      <c r="BK55">
        <f>LOG(Table1_1__2[[#This Row],[PFDS]])</f>
        <v>-1.3053948010664314</v>
      </c>
      <c r="BL55">
        <f>LOG(Table1_1__2[[#This Row],[PFDoS]])</f>
        <v>-1.3053948010664314</v>
      </c>
      <c r="BM55">
        <f>LOG(Table1_1__2[[#This Row],[4:2 FTS]])</f>
        <v>-0.69897000433601875</v>
      </c>
      <c r="BN55">
        <f>LOG(Table1_1__2[[#This Row],[6:2 FTS]])</f>
        <v>-0.40340290437353976</v>
      </c>
      <c r="BO55">
        <f>LOG(Table1_1__2[[#This Row],[8:2 FTS]])</f>
        <v>-0.40340290437353976</v>
      </c>
      <c r="BP55">
        <f>LOG(Table1_1__2[[#This Row],[FOSA]])</f>
        <v>-0.79588001734407521</v>
      </c>
      <c r="BQ55">
        <f>LOG(Table1_1__2[[#This Row],[N-MeFOSA]])</f>
        <v>-1.3053948010664314</v>
      </c>
      <c r="BR55">
        <f>LOG(Table1_1__2[[#This Row],[N-MeFOSAA]])</f>
        <v>-1.3053948010664314</v>
      </c>
      <c r="BS55">
        <f>LOG(Table1_1__2[[#This Row],[N-EtFOSAA]])</f>
        <v>-1.3053948010664314</v>
      </c>
      <c r="BT55">
        <f>LOG(Table1_1__2[[#This Row],[ADONA]])</f>
        <v>-0.69897000433601875</v>
      </c>
      <c r="BU55">
        <f>LOG(Table1_1__2[[#This Row],[3:3 FTCA]])</f>
        <v>-0.6020599913279624</v>
      </c>
      <c r="BV55">
        <f>LOG(Table1_1__2[[#This Row],[5:3 FTCA]])</f>
        <v>9.691001300805642E-2</v>
      </c>
      <c r="BW55">
        <f>LOG(Table1_1__2[[#This Row],[7:3 FTCA]])</f>
        <v>9.691001300805642E-2</v>
      </c>
      <c r="BX55">
        <f>LOG(Table1_1__2[[#This Row],[N-EtFOSA]])</f>
        <v>-1.3053948010664314</v>
      </c>
      <c r="BY55">
        <f>LOG(Table1_1__2[[#This Row],[N-MeFOSE]])</f>
        <v>-0.3053948010664313</v>
      </c>
      <c r="BZ55">
        <f>LOG(Table1_1__2[[#This Row],[N-EtFOSE]])</f>
        <v>-0.3053948010664313</v>
      </c>
      <c r="CA55">
        <f>LOG(Table1_1__2[[#This Row],[HFPO-DA]])</f>
        <v>-0.52287874528033762</v>
      </c>
      <c r="CB55">
        <f>LOG(Table1_1__2[[#This Row],[PFMBA]])</f>
        <v>-1</v>
      </c>
      <c r="CC55">
        <f>LOG(Table1_1__2[[#This Row],[NFDHA]])</f>
        <v>-1</v>
      </c>
      <c r="CD55">
        <f>LOG(Table1_1__2[[#This Row],[9Cl-PF3ONS]])</f>
        <v>-0.69897000433601875</v>
      </c>
      <c r="CE55">
        <f>LOG(Table1_1__2[[#This Row],[11Cl-PF3OUdS]])</f>
        <v>-0.69897000433601875</v>
      </c>
      <c r="CF55">
        <f>LOG(Table1_1__2[[#This Row],[PFEESA]])</f>
        <v>-1</v>
      </c>
      <c r="CG55">
        <f>LOG(Table1_1__2[[#This Row],[PFMPA]])</f>
        <v>-1</v>
      </c>
    </row>
    <row r="56" spans="1:85" x14ac:dyDescent="0.3">
      <c r="A56" s="2" t="s">
        <v>103</v>
      </c>
      <c r="B56" s="3">
        <v>44389.5</v>
      </c>
      <c r="C56" s="2" t="s">
        <v>33</v>
      </c>
      <c r="D56" s="2" t="s">
        <v>39</v>
      </c>
      <c r="E56">
        <v>0.2</v>
      </c>
      <c r="F56">
        <v>0.1</v>
      </c>
      <c r="G56">
        <v>0.16</v>
      </c>
      <c r="H56">
        <v>0.09</v>
      </c>
      <c r="I56">
        <v>0.28999999999999998</v>
      </c>
      <c r="J56">
        <v>0.05</v>
      </c>
      <c r="K56">
        <v>0.05</v>
      </c>
      <c r="L56">
        <v>0.05</v>
      </c>
      <c r="M56">
        <v>0.05</v>
      </c>
      <c r="N56">
        <v>0.05</v>
      </c>
      <c r="O56">
        <v>0.05</v>
      </c>
      <c r="P56">
        <v>0.05</v>
      </c>
      <c r="Q56">
        <v>0.05</v>
      </c>
      <c r="R56">
        <v>0.53</v>
      </c>
      <c r="S56">
        <v>0.05</v>
      </c>
      <c r="T56">
        <v>2.2999999999999998</v>
      </c>
      <c r="U56">
        <v>0.05</v>
      </c>
      <c r="V56">
        <v>0.05</v>
      </c>
      <c r="W56">
        <v>0.05</v>
      </c>
      <c r="X56">
        <v>0.2</v>
      </c>
      <c r="Y56">
        <v>0.4</v>
      </c>
      <c r="Z56">
        <v>0.4</v>
      </c>
      <c r="AA56">
        <v>0.09</v>
      </c>
      <c r="AB56">
        <v>0.05</v>
      </c>
      <c r="AC56">
        <v>0.05</v>
      </c>
      <c r="AD56">
        <v>0.05</v>
      </c>
      <c r="AE56">
        <v>0.2</v>
      </c>
      <c r="AF56">
        <v>0.25</v>
      </c>
      <c r="AG56">
        <v>1.25</v>
      </c>
      <c r="AH56">
        <v>1.25</v>
      </c>
      <c r="AI56">
        <v>0.05</v>
      </c>
      <c r="AJ56">
        <v>0.5</v>
      </c>
      <c r="AK56">
        <v>0.5</v>
      </c>
      <c r="AL56">
        <v>0.3</v>
      </c>
      <c r="AM56">
        <v>0.1</v>
      </c>
      <c r="AN56">
        <v>0.1</v>
      </c>
      <c r="AO56">
        <v>0.2</v>
      </c>
      <c r="AP56">
        <v>0.2</v>
      </c>
      <c r="AQ56">
        <v>0.1</v>
      </c>
      <c r="AR56">
        <v>0.1</v>
      </c>
      <c r="AS56">
        <f>SUM(Table1_1__2[[#This Row],[PFBA]:[PFMPA]])</f>
        <v>10.61</v>
      </c>
      <c r="AT56">
        <f>LOG(Table1_1__2[[#This Row],[PFBA]])</f>
        <v>-0.69897000433601875</v>
      </c>
      <c r="AU56">
        <f>LOG(Table1_1__2[[#This Row],[PFPeA]])</f>
        <v>-1</v>
      </c>
      <c r="AV56">
        <f>LOG(Table1_1__2[[#This Row],[PFHxA]])</f>
        <v>-0.79588001734407521</v>
      </c>
      <c r="AW56">
        <f>LOG(Table1_1__2[[#This Row],[PFHpA]])</f>
        <v>-1.0457574905606752</v>
      </c>
      <c r="AX56">
        <f>LOG(Table1_1__2[[#This Row],[PFOA]])</f>
        <v>-0.53760200210104392</v>
      </c>
      <c r="AY56">
        <f>LOG(Table1_1__2[[#This Row],[PFNA]])</f>
        <v>-1.3010299956639813</v>
      </c>
      <c r="AZ56">
        <f>LOG(Table1_1__2[[#This Row],[PFDA]])</f>
        <v>-1.3010299956639813</v>
      </c>
      <c r="BA56">
        <f>LOG(Table1_1__2[[#This Row],[PFUnA]])</f>
        <v>-1.3010299956639813</v>
      </c>
      <c r="BB56">
        <f>LOG(Table1_1__2[[#This Row],[PFDoA]])</f>
        <v>-1.3010299956639813</v>
      </c>
      <c r="BC56">
        <f>LOG(Table1_1__2[[#This Row],[PFTrDA]])</f>
        <v>-1.3010299956639813</v>
      </c>
      <c r="BD56">
        <f>LOG(Table1_1__2[[#This Row],[PFTeDA]])</f>
        <v>-1.3010299956639813</v>
      </c>
      <c r="BE56">
        <f>LOG(Table1_1__2[[#This Row],[PFBS]])</f>
        <v>-1.3010299956639813</v>
      </c>
      <c r="BF56">
        <f>LOG(Table1_1__2[[#This Row],[PFPeS]])</f>
        <v>-1.3010299956639813</v>
      </c>
      <c r="BG56">
        <f>LOG(Table1_1__2[[#This Row],[PFHxS]])</f>
        <v>-0.27572413039921095</v>
      </c>
      <c r="BH56">
        <f>LOG(Table1_1__2[[#This Row],[PFHpS]])</f>
        <v>-1.3010299956639813</v>
      </c>
      <c r="BI56">
        <f>LOG(Table1_1__2[[#This Row],[PFOS]])</f>
        <v>0.36172783601759284</v>
      </c>
      <c r="BJ56">
        <f>LOG(Table1_1__2[[#This Row],[PFNS]])</f>
        <v>-1.3010299956639813</v>
      </c>
      <c r="BK56">
        <f>LOG(Table1_1__2[[#This Row],[PFDS]])</f>
        <v>-1.3010299956639813</v>
      </c>
      <c r="BL56">
        <f>LOG(Table1_1__2[[#This Row],[PFDoS]])</f>
        <v>-1.3010299956639813</v>
      </c>
      <c r="BM56">
        <f>LOG(Table1_1__2[[#This Row],[4:2 FTS]])</f>
        <v>-0.69897000433601875</v>
      </c>
      <c r="BN56">
        <f>LOG(Table1_1__2[[#This Row],[6:2 FTS]])</f>
        <v>-0.3979400086720376</v>
      </c>
      <c r="BO56">
        <f>LOG(Table1_1__2[[#This Row],[8:2 FTS]])</f>
        <v>-0.3979400086720376</v>
      </c>
      <c r="BP56">
        <f>LOG(Table1_1__2[[#This Row],[FOSA]])</f>
        <v>-1.0457574905606752</v>
      </c>
      <c r="BQ56">
        <f>LOG(Table1_1__2[[#This Row],[N-MeFOSA]])</f>
        <v>-1.3010299956639813</v>
      </c>
      <c r="BR56">
        <f>LOG(Table1_1__2[[#This Row],[N-MeFOSAA]])</f>
        <v>-1.3010299956639813</v>
      </c>
      <c r="BS56">
        <f>LOG(Table1_1__2[[#This Row],[N-EtFOSAA]])</f>
        <v>-1.3010299956639813</v>
      </c>
      <c r="BT56">
        <f>LOG(Table1_1__2[[#This Row],[ADONA]])</f>
        <v>-0.69897000433601875</v>
      </c>
      <c r="BU56">
        <f>LOG(Table1_1__2[[#This Row],[3:3 FTCA]])</f>
        <v>-0.6020599913279624</v>
      </c>
      <c r="BV56">
        <f>LOG(Table1_1__2[[#This Row],[5:3 FTCA]])</f>
        <v>9.691001300805642E-2</v>
      </c>
      <c r="BW56">
        <f>LOG(Table1_1__2[[#This Row],[7:3 FTCA]])</f>
        <v>9.691001300805642E-2</v>
      </c>
      <c r="BX56">
        <f>LOG(Table1_1__2[[#This Row],[N-EtFOSA]])</f>
        <v>-1.3010299956639813</v>
      </c>
      <c r="BY56">
        <f>LOG(Table1_1__2[[#This Row],[N-MeFOSE]])</f>
        <v>-0.3010299956639812</v>
      </c>
      <c r="BZ56">
        <f>LOG(Table1_1__2[[#This Row],[N-EtFOSE]])</f>
        <v>-0.3010299956639812</v>
      </c>
      <c r="CA56">
        <f>LOG(Table1_1__2[[#This Row],[HFPO-DA]])</f>
        <v>-0.52287874528033762</v>
      </c>
      <c r="CB56">
        <f>LOG(Table1_1__2[[#This Row],[PFMBA]])</f>
        <v>-1</v>
      </c>
      <c r="CC56">
        <f>LOG(Table1_1__2[[#This Row],[NFDHA]])</f>
        <v>-1</v>
      </c>
      <c r="CD56">
        <f>LOG(Table1_1__2[[#This Row],[9Cl-PF3ONS]])</f>
        <v>-0.69897000433601875</v>
      </c>
      <c r="CE56">
        <f>LOG(Table1_1__2[[#This Row],[11Cl-PF3OUdS]])</f>
        <v>-0.69897000433601875</v>
      </c>
      <c r="CF56">
        <f>LOG(Table1_1__2[[#This Row],[PFEESA]])</f>
        <v>-1</v>
      </c>
      <c r="CG56">
        <f>LOG(Table1_1__2[[#This Row],[PFMPA]])</f>
        <v>-1</v>
      </c>
    </row>
    <row r="57" spans="1:85" x14ac:dyDescent="0.3">
      <c r="A57" s="2" t="s">
        <v>104</v>
      </c>
      <c r="B57" s="3">
        <v>44389.5</v>
      </c>
      <c r="C57" s="2" t="s">
        <v>29</v>
      </c>
      <c r="D57" s="2" t="s">
        <v>39</v>
      </c>
      <c r="E57">
        <v>0.2</v>
      </c>
      <c r="F57">
        <v>0.1</v>
      </c>
      <c r="G57">
        <v>0.14000000000000001</v>
      </c>
      <c r="H57">
        <v>0.09</v>
      </c>
      <c r="I57">
        <v>0.16</v>
      </c>
      <c r="J57">
        <v>0.05</v>
      </c>
      <c r="K57">
        <v>0.05</v>
      </c>
      <c r="L57">
        <v>0.05</v>
      </c>
      <c r="M57">
        <v>0.05</v>
      </c>
      <c r="N57">
        <v>0.05</v>
      </c>
      <c r="O57">
        <v>0.05</v>
      </c>
      <c r="P57">
        <v>0.05</v>
      </c>
      <c r="Q57">
        <v>0.05</v>
      </c>
      <c r="R57">
        <v>0.32</v>
      </c>
      <c r="S57">
        <v>0.05</v>
      </c>
      <c r="T57">
        <v>0.86</v>
      </c>
      <c r="U57">
        <v>0.05</v>
      </c>
      <c r="V57">
        <v>0.05</v>
      </c>
      <c r="W57">
        <v>0.05</v>
      </c>
      <c r="X57">
        <v>0.2</v>
      </c>
      <c r="Y57">
        <v>0.4</v>
      </c>
      <c r="Z57">
        <v>0.4</v>
      </c>
      <c r="AA57">
        <v>0.09</v>
      </c>
      <c r="AB57">
        <v>0.05</v>
      </c>
      <c r="AC57">
        <v>0.05</v>
      </c>
      <c r="AD57">
        <v>0.05</v>
      </c>
      <c r="AE57">
        <v>0.2</v>
      </c>
      <c r="AF57">
        <v>0.25</v>
      </c>
      <c r="AG57">
        <v>1.25</v>
      </c>
      <c r="AH57">
        <v>1.25</v>
      </c>
      <c r="AI57">
        <v>0.05</v>
      </c>
      <c r="AJ57">
        <v>0.5</v>
      </c>
      <c r="AK57">
        <v>0.5</v>
      </c>
      <c r="AL57">
        <v>0.3</v>
      </c>
      <c r="AM57">
        <v>0.1</v>
      </c>
      <c r="AN57">
        <v>0.1</v>
      </c>
      <c r="AO57">
        <v>0.2</v>
      </c>
      <c r="AP57">
        <v>0.2</v>
      </c>
      <c r="AQ57">
        <v>0.1</v>
      </c>
      <c r="AR57">
        <v>0.1</v>
      </c>
      <c r="AS57">
        <f>SUM(Table1_1__2[[#This Row],[PFBA]:[PFMPA]])</f>
        <v>8.8099999999999969</v>
      </c>
      <c r="AT57">
        <f>LOG(Table1_1__2[[#This Row],[PFBA]])</f>
        <v>-0.69897000433601875</v>
      </c>
      <c r="AU57">
        <f>LOG(Table1_1__2[[#This Row],[PFPeA]])</f>
        <v>-1</v>
      </c>
      <c r="AV57">
        <f>LOG(Table1_1__2[[#This Row],[PFHxA]])</f>
        <v>-0.85387196432176193</v>
      </c>
      <c r="AW57">
        <f>LOG(Table1_1__2[[#This Row],[PFHpA]])</f>
        <v>-1.0457574905606752</v>
      </c>
      <c r="AX57">
        <f>LOG(Table1_1__2[[#This Row],[PFOA]])</f>
        <v>-0.79588001734407521</v>
      </c>
      <c r="AY57">
        <f>LOG(Table1_1__2[[#This Row],[PFNA]])</f>
        <v>-1.3010299956639813</v>
      </c>
      <c r="AZ57">
        <f>LOG(Table1_1__2[[#This Row],[PFDA]])</f>
        <v>-1.3010299956639813</v>
      </c>
      <c r="BA57">
        <f>LOG(Table1_1__2[[#This Row],[PFUnA]])</f>
        <v>-1.3010299956639813</v>
      </c>
      <c r="BB57">
        <f>LOG(Table1_1__2[[#This Row],[PFDoA]])</f>
        <v>-1.3010299956639813</v>
      </c>
      <c r="BC57">
        <f>LOG(Table1_1__2[[#This Row],[PFTrDA]])</f>
        <v>-1.3010299956639813</v>
      </c>
      <c r="BD57">
        <f>LOG(Table1_1__2[[#This Row],[PFTeDA]])</f>
        <v>-1.3010299956639813</v>
      </c>
      <c r="BE57">
        <f>LOG(Table1_1__2[[#This Row],[PFBS]])</f>
        <v>-1.3010299956639813</v>
      </c>
      <c r="BF57">
        <f>LOG(Table1_1__2[[#This Row],[PFPeS]])</f>
        <v>-1.3010299956639813</v>
      </c>
      <c r="BG57">
        <f>LOG(Table1_1__2[[#This Row],[PFHxS]])</f>
        <v>-0.49485002168009401</v>
      </c>
      <c r="BH57">
        <f>LOG(Table1_1__2[[#This Row],[PFHpS]])</f>
        <v>-1.3010299956639813</v>
      </c>
      <c r="BI57">
        <f>LOG(Table1_1__2[[#This Row],[PFOS]])</f>
        <v>-6.5501548756432285E-2</v>
      </c>
      <c r="BJ57">
        <f>LOG(Table1_1__2[[#This Row],[PFNS]])</f>
        <v>-1.3010299956639813</v>
      </c>
      <c r="BK57">
        <f>LOG(Table1_1__2[[#This Row],[PFDS]])</f>
        <v>-1.3010299956639813</v>
      </c>
      <c r="BL57">
        <f>LOG(Table1_1__2[[#This Row],[PFDoS]])</f>
        <v>-1.3010299956639813</v>
      </c>
      <c r="BM57">
        <f>LOG(Table1_1__2[[#This Row],[4:2 FTS]])</f>
        <v>-0.69897000433601875</v>
      </c>
      <c r="BN57">
        <f>LOG(Table1_1__2[[#This Row],[6:2 FTS]])</f>
        <v>-0.3979400086720376</v>
      </c>
      <c r="BO57">
        <f>LOG(Table1_1__2[[#This Row],[8:2 FTS]])</f>
        <v>-0.3979400086720376</v>
      </c>
      <c r="BP57">
        <f>LOG(Table1_1__2[[#This Row],[FOSA]])</f>
        <v>-1.0457574905606752</v>
      </c>
      <c r="BQ57">
        <f>LOG(Table1_1__2[[#This Row],[N-MeFOSA]])</f>
        <v>-1.3010299956639813</v>
      </c>
      <c r="BR57">
        <f>LOG(Table1_1__2[[#This Row],[N-MeFOSAA]])</f>
        <v>-1.3010299956639813</v>
      </c>
      <c r="BS57">
        <f>LOG(Table1_1__2[[#This Row],[N-EtFOSAA]])</f>
        <v>-1.3010299956639813</v>
      </c>
      <c r="BT57">
        <f>LOG(Table1_1__2[[#This Row],[ADONA]])</f>
        <v>-0.69897000433601875</v>
      </c>
      <c r="BU57">
        <f>LOG(Table1_1__2[[#This Row],[3:3 FTCA]])</f>
        <v>-0.6020599913279624</v>
      </c>
      <c r="BV57">
        <f>LOG(Table1_1__2[[#This Row],[5:3 FTCA]])</f>
        <v>9.691001300805642E-2</v>
      </c>
      <c r="BW57">
        <f>LOG(Table1_1__2[[#This Row],[7:3 FTCA]])</f>
        <v>9.691001300805642E-2</v>
      </c>
      <c r="BX57">
        <f>LOG(Table1_1__2[[#This Row],[N-EtFOSA]])</f>
        <v>-1.3010299956639813</v>
      </c>
      <c r="BY57">
        <f>LOG(Table1_1__2[[#This Row],[N-MeFOSE]])</f>
        <v>-0.3010299956639812</v>
      </c>
      <c r="BZ57">
        <f>LOG(Table1_1__2[[#This Row],[N-EtFOSE]])</f>
        <v>-0.3010299956639812</v>
      </c>
      <c r="CA57">
        <f>LOG(Table1_1__2[[#This Row],[HFPO-DA]])</f>
        <v>-0.52287874528033762</v>
      </c>
      <c r="CB57">
        <f>LOG(Table1_1__2[[#This Row],[PFMBA]])</f>
        <v>-1</v>
      </c>
      <c r="CC57">
        <f>LOG(Table1_1__2[[#This Row],[NFDHA]])</f>
        <v>-1</v>
      </c>
      <c r="CD57">
        <f>LOG(Table1_1__2[[#This Row],[9Cl-PF3ONS]])</f>
        <v>-0.69897000433601875</v>
      </c>
      <c r="CE57">
        <f>LOG(Table1_1__2[[#This Row],[11Cl-PF3OUdS]])</f>
        <v>-0.69897000433601875</v>
      </c>
      <c r="CF57">
        <f>LOG(Table1_1__2[[#This Row],[PFEESA]])</f>
        <v>-1</v>
      </c>
      <c r="CG57">
        <f>LOG(Table1_1__2[[#This Row],[PFMPA]])</f>
        <v>-1</v>
      </c>
    </row>
    <row r="58" spans="1:85" x14ac:dyDescent="0.3">
      <c r="A58" s="2" t="s">
        <v>105</v>
      </c>
      <c r="B58" s="3">
        <v>44391.5</v>
      </c>
      <c r="C58" s="2" t="s">
        <v>26</v>
      </c>
      <c r="D58" s="2" t="s">
        <v>39</v>
      </c>
      <c r="E58">
        <v>0.2</v>
      </c>
      <c r="F58">
        <v>0.1</v>
      </c>
      <c r="G58">
        <v>0.3</v>
      </c>
      <c r="H58">
        <v>0.09</v>
      </c>
      <c r="I58">
        <v>0.52</v>
      </c>
      <c r="J58">
        <v>0.05</v>
      </c>
      <c r="K58">
        <v>0.05</v>
      </c>
      <c r="L58">
        <v>0.05</v>
      </c>
      <c r="M58">
        <v>0.05</v>
      </c>
      <c r="N58">
        <v>0.05</v>
      </c>
      <c r="O58">
        <v>0.05</v>
      </c>
      <c r="P58">
        <v>0.05</v>
      </c>
      <c r="Q58">
        <v>0.05</v>
      </c>
      <c r="R58">
        <v>0.46</v>
      </c>
      <c r="S58">
        <v>0.05</v>
      </c>
      <c r="T58">
        <v>0.91</v>
      </c>
      <c r="U58">
        <v>0.05</v>
      </c>
      <c r="V58">
        <v>0.05</v>
      </c>
      <c r="W58">
        <v>0.05</v>
      </c>
      <c r="X58">
        <v>0.2</v>
      </c>
      <c r="Y58">
        <v>0.4</v>
      </c>
      <c r="Z58">
        <v>0.4</v>
      </c>
      <c r="AA58">
        <v>0.09</v>
      </c>
      <c r="AB58">
        <v>0.05</v>
      </c>
      <c r="AC58">
        <v>0.05</v>
      </c>
      <c r="AD58">
        <v>0.05</v>
      </c>
      <c r="AE58">
        <v>0.2</v>
      </c>
      <c r="AF58">
        <v>0.25</v>
      </c>
      <c r="AG58">
        <v>1.25</v>
      </c>
      <c r="AH58">
        <v>1.25</v>
      </c>
      <c r="AI58">
        <v>0.05</v>
      </c>
      <c r="AJ58">
        <v>0.5</v>
      </c>
      <c r="AK58">
        <v>0.5</v>
      </c>
      <c r="AL58">
        <v>0.3</v>
      </c>
      <c r="AM58">
        <v>0.1</v>
      </c>
      <c r="AN58">
        <v>0.1</v>
      </c>
      <c r="AO58">
        <v>0.2</v>
      </c>
      <c r="AP58">
        <v>0.2</v>
      </c>
      <c r="AQ58">
        <v>0.1</v>
      </c>
      <c r="AR58">
        <v>0.1</v>
      </c>
      <c r="AS58">
        <f>SUM(Table1_1__2[[#This Row],[PFBA]:[PFMPA]])</f>
        <v>9.519999999999996</v>
      </c>
      <c r="AT58">
        <f>LOG(Table1_1__2[[#This Row],[PFBA]])</f>
        <v>-0.69897000433601875</v>
      </c>
      <c r="AU58">
        <f>LOG(Table1_1__2[[#This Row],[PFPeA]])</f>
        <v>-1</v>
      </c>
      <c r="AV58">
        <f>LOG(Table1_1__2[[#This Row],[PFHxA]])</f>
        <v>-0.52287874528033762</v>
      </c>
      <c r="AW58">
        <f>LOG(Table1_1__2[[#This Row],[PFHpA]])</f>
        <v>-1.0457574905606752</v>
      </c>
      <c r="AX58">
        <f>LOG(Table1_1__2[[#This Row],[PFOA]])</f>
        <v>-0.28399665636520083</v>
      </c>
      <c r="AY58">
        <f>LOG(Table1_1__2[[#This Row],[PFNA]])</f>
        <v>-1.3010299956639813</v>
      </c>
      <c r="AZ58">
        <f>LOG(Table1_1__2[[#This Row],[PFDA]])</f>
        <v>-1.3010299956639813</v>
      </c>
      <c r="BA58">
        <f>LOG(Table1_1__2[[#This Row],[PFUnA]])</f>
        <v>-1.3010299956639813</v>
      </c>
      <c r="BB58">
        <f>LOG(Table1_1__2[[#This Row],[PFDoA]])</f>
        <v>-1.3010299956639813</v>
      </c>
      <c r="BC58">
        <f>LOG(Table1_1__2[[#This Row],[PFTrDA]])</f>
        <v>-1.3010299956639813</v>
      </c>
      <c r="BD58">
        <f>LOG(Table1_1__2[[#This Row],[PFTeDA]])</f>
        <v>-1.3010299956639813</v>
      </c>
      <c r="BE58">
        <f>LOG(Table1_1__2[[#This Row],[PFBS]])</f>
        <v>-1.3010299956639813</v>
      </c>
      <c r="BF58">
        <f>LOG(Table1_1__2[[#This Row],[PFPeS]])</f>
        <v>-1.3010299956639813</v>
      </c>
      <c r="BG58">
        <f>LOG(Table1_1__2[[#This Row],[PFHxS]])</f>
        <v>-0.33724216831842591</v>
      </c>
      <c r="BH58">
        <f>LOG(Table1_1__2[[#This Row],[PFHpS]])</f>
        <v>-1.3010299956639813</v>
      </c>
      <c r="BI58">
        <f>LOG(Table1_1__2[[#This Row],[PFOS]])</f>
        <v>-4.0958607678906384E-2</v>
      </c>
      <c r="BJ58">
        <f>LOG(Table1_1__2[[#This Row],[PFNS]])</f>
        <v>-1.3010299956639813</v>
      </c>
      <c r="BK58">
        <f>LOG(Table1_1__2[[#This Row],[PFDS]])</f>
        <v>-1.3010299956639813</v>
      </c>
      <c r="BL58">
        <f>LOG(Table1_1__2[[#This Row],[PFDoS]])</f>
        <v>-1.3010299956639813</v>
      </c>
      <c r="BM58">
        <f>LOG(Table1_1__2[[#This Row],[4:2 FTS]])</f>
        <v>-0.69897000433601875</v>
      </c>
      <c r="BN58">
        <f>LOG(Table1_1__2[[#This Row],[6:2 FTS]])</f>
        <v>-0.3979400086720376</v>
      </c>
      <c r="BO58">
        <f>LOG(Table1_1__2[[#This Row],[8:2 FTS]])</f>
        <v>-0.3979400086720376</v>
      </c>
      <c r="BP58">
        <f>LOG(Table1_1__2[[#This Row],[FOSA]])</f>
        <v>-1.0457574905606752</v>
      </c>
      <c r="BQ58">
        <f>LOG(Table1_1__2[[#This Row],[N-MeFOSA]])</f>
        <v>-1.3010299956639813</v>
      </c>
      <c r="BR58">
        <f>LOG(Table1_1__2[[#This Row],[N-MeFOSAA]])</f>
        <v>-1.3010299956639813</v>
      </c>
      <c r="BS58">
        <f>LOG(Table1_1__2[[#This Row],[N-EtFOSAA]])</f>
        <v>-1.3010299956639813</v>
      </c>
      <c r="BT58">
        <f>LOG(Table1_1__2[[#This Row],[ADONA]])</f>
        <v>-0.69897000433601875</v>
      </c>
      <c r="BU58">
        <f>LOG(Table1_1__2[[#This Row],[3:3 FTCA]])</f>
        <v>-0.6020599913279624</v>
      </c>
      <c r="BV58">
        <f>LOG(Table1_1__2[[#This Row],[5:3 FTCA]])</f>
        <v>9.691001300805642E-2</v>
      </c>
      <c r="BW58">
        <f>LOG(Table1_1__2[[#This Row],[7:3 FTCA]])</f>
        <v>9.691001300805642E-2</v>
      </c>
      <c r="BX58">
        <f>LOG(Table1_1__2[[#This Row],[N-EtFOSA]])</f>
        <v>-1.3010299956639813</v>
      </c>
      <c r="BY58">
        <f>LOG(Table1_1__2[[#This Row],[N-MeFOSE]])</f>
        <v>-0.3010299956639812</v>
      </c>
      <c r="BZ58">
        <f>LOG(Table1_1__2[[#This Row],[N-EtFOSE]])</f>
        <v>-0.3010299956639812</v>
      </c>
      <c r="CA58">
        <f>LOG(Table1_1__2[[#This Row],[HFPO-DA]])</f>
        <v>-0.52287874528033762</v>
      </c>
      <c r="CB58">
        <f>LOG(Table1_1__2[[#This Row],[PFMBA]])</f>
        <v>-1</v>
      </c>
      <c r="CC58">
        <f>LOG(Table1_1__2[[#This Row],[NFDHA]])</f>
        <v>-1</v>
      </c>
      <c r="CD58">
        <f>LOG(Table1_1__2[[#This Row],[9Cl-PF3ONS]])</f>
        <v>-0.69897000433601875</v>
      </c>
      <c r="CE58">
        <f>LOG(Table1_1__2[[#This Row],[11Cl-PF3OUdS]])</f>
        <v>-0.69897000433601875</v>
      </c>
      <c r="CF58">
        <f>LOG(Table1_1__2[[#This Row],[PFEESA]])</f>
        <v>-1</v>
      </c>
      <c r="CG58">
        <f>LOG(Table1_1__2[[#This Row],[PFMPA]])</f>
        <v>-1</v>
      </c>
    </row>
    <row r="59" spans="1:85" x14ac:dyDescent="0.3">
      <c r="A59" s="2" t="s">
        <v>106</v>
      </c>
      <c r="B59" s="3">
        <v>44391.5</v>
      </c>
      <c r="C59" s="2" t="s">
        <v>31</v>
      </c>
      <c r="D59" s="2" t="s">
        <v>39</v>
      </c>
      <c r="E59">
        <v>0.2</v>
      </c>
      <c r="F59">
        <v>0.1</v>
      </c>
      <c r="G59">
        <v>0.17</v>
      </c>
      <c r="H59">
        <v>0.09</v>
      </c>
      <c r="I59">
        <v>0.28000000000000003</v>
      </c>
      <c r="J59">
        <v>4.9500000000000002E-2</v>
      </c>
      <c r="K59">
        <v>4.9500000000000002E-2</v>
      </c>
      <c r="L59">
        <v>4.9500000000000002E-2</v>
      </c>
      <c r="M59">
        <v>4.9500000000000002E-2</v>
      </c>
      <c r="N59">
        <v>4.9500000000000002E-2</v>
      </c>
      <c r="O59">
        <v>4.9500000000000002E-2</v>
      </c>
      <c r="P59">
        <v>4.9500000000000002E-2</v>
      </c>
      <c r="Q59">
        <v>4.9500000000000002E-2</v>
      </c>
      <c r="R59">
        <v>0.59</v>
      </c>
      <c r="S59">
        <v>4.9500000000000002E-2</v>
      </c>
      <c r="T59">
        <v>2.2999999999999998</v>
      </c>
      <c r="U59">
        <v>4.9500000000000002E-2</v>
      </c>
      <c r="V59">
        <v>4.9500000000000002E-2</v>
      </c>
      <c r="W59">
        <v>4.9500000000000002E-2</v>
      </c>
      <c r="X59">
        <v>0.2</v>
      </c>
      <c r="Y59">
        <v>0.39500000000000002</v>
      </c>
      <c r="Z59">
        <v>0.39500000000000002</v>
      </c>
      <c r="AA59">
        <v>0.13</v>
      </c>
      <c r="AB59">
        <v>4.9500000000000002E-2</v>
      </c>
      <c r="AC59">
        <v>4.9500000000000002E-2</v>
      </c>
      <c r="AD59">
        <v>4.9500000000000002E-2</v>
      </c>
      <c r="AE59">
        <v>0.2</v>
      </c>
      <c r="AF59">
        <v>0.25</v>
      </c>
      <c r="AG59">
        <v>1.25</v>
      </c>
      <c r="AH59">
        <v>1.25</v>
      </c>
      <c r="AI59">
        <v>4.9500000000000002E-2</v>
      </c>
      <c r="AJ59">
        <v>0.495</v>
      </c>
      <c r="AK59">
        <v>0.495</v>
      </c>
      <c r="AL59">
        <v>0.3</v>
      </c>
      <c r="AM59">
        <v>0.1</v>
      </c>
      <c r="AN59">
        <v>0.1</v>
      </c>
      <c r="AO59">
        <v>0.2</v>
      </c>
      <c r="AP59">
        <v>0.2</v>
      </c>
      <c r="AQ59">
        <v>0.1</v>
      </c>
      <c r="AR59">
        <v>0.1</v>
      </c>
      <c r="AS59">
        <f>SUM(Table1_1__2[[#This Row],[PFBA]:[PFMPA]])</f>
        <v>10.681999999999997</v>
      </c>
      <c r="AT59">
        <f>LOG(Table1_1__2[[#This Row],[PFBA]])</f>
        <v>-0.69897000433601875</v>
      </c>
      <c r="AU59">
        <f>LOG(Table1_1__2[[#This Row],[PFPeA]])</f>
        <v>-1</v>
      </c>
      <c r="AV59">
        <f>LOG(Table1_1__2[[#This Row],[PFHxA]])</f>
        <v>-0.769551078621726</v>
      </c>
      <c r="AW59">
        <f>LOG(Table1_1__2[[#This Row],[PFHpA]])</f>
        <v>-1.0457574905606752</v>
      </c>
      <c r="AX59">
        <f>LOG(Table1_1__2[[#This Row],[PFOA]])</f>
        <v>-0.55284196865778079</v>
      </c>
      <c r="AY59">
        <f>LOG(Table1_1__2[[#This Row],[PFNA]])</f>
        <v>-1.3053948010664314</v>
      </c>
      <c r="AZ59">
        <f>LOG(Table1_1__2[[#This Row],[PFDA]])</f>
        <v>-1.3053948010664314</v>
      </c>
      <c r="BA59">
        <f>LOG(Table1_1__2[[#This Row],[PFUnA]])</f>
        <v>-1.3053948010664314</v>
      </c>
      <c r="BB59">
        <f>LOG(Table1_1__2[[#This Row],[PFDoA]])</f>
        <v>-1.3053948010664314</v>
      </c>
      <c r="BC59">
        <f>LOG(Table1_1__2[[#This Row],[PFTrDA]])</f>
        <v>-1.3053948010664314</v>
      </c>
      <c r="BD59">
        <f>LOG(Table1_1__2[[#This Row],[PFTeDA]])</f>
        <v>-1.3053948010664314</v>
      </c>
      <c r="BE59">
        <f>LOG(Table1_1__2[[#This Row],[PFBS]])</f>
        <v>-1.3053948010664314</v>
      </c>
      <c r="BF59">
        <f>LOG(Table1_1__2[[#This Row],[PFPeS]])</f>
        <v>-1.3053948010664314</v>
      </c>
      <c r="BG59">
        <f>LOG(Table1_1__2[[#This Row],[PFHxS]])</f>
        <v>-0.22914798835785583</v>
      </c>
      <c r="BH59">
        <f>LOG(Table1_1__2[[#This Row],[PFHpS]])</f>
        <v>-1.3053948010664314</v>
      </c>
      <c r="BI59">
        <f>LOG(Table1_1__2[[#This Row],[PFOS]])</f>
        <v>0.36172783601759284</v>
      </c>
      <c r="BJ59">
        <f>LOG(Table1_1__2[[#This Row],[PFNS]])</f>
        <v>-1.3053948010664314</v>
      </c>
      <c r="BK59">
        <f>LOG(Table1_1__2[[#This Row],[PFDS]])</f>
        <v>-1.3053948010664314</v>
      </c>
      <c r="BL59">
        <f>LOG(Table1_1__2[[#This Row],[PFDoS]])</f>
        <v>-1.3053948010664314</v>
      </c>
      <c r="BM59">
        <f>LOG(Table1_1__2[[#This Row],[4:2 FTS]])</f>
        <v>-0.69897000433601875</v>
      </c>
      <c r="BN59">
        <f>LOG(Table1_1__2[[#This Row],[6:2 FTS]])</f>
        <v>-0.40340290437353976</v>
      </c>
      <c r="BO59">
        <f>LOG(Table1_1__2[[#This Row],[8:2 FTS]])</f>
        <v>-0.40340290437353976</v>
      </c>
      <c r="BP59">
        <f>LOG(Table1_1__2[[#This Row],[FOSA]])</f>
        <v>-0.88605664769316317</v>
      </c>
      <c r="BQ59">
        <f>LOG(Table1_1__2[[#This Row],[N-MeFOSA]])</f>
        <v>-1.3053948010664314</v>
      </c>
      <c r="BR59">
        <f>LOG(Table1_1__2[[#This Row],[N-MeFOSAA]])</f>
        <v>-1.3053948010664314</v>
      </c>
      <c r="BS59">
        <f>LOG(Table1_1__2[[#This Row],[N-EtFOSAA]])</f>
        <v>-1.3053948010664314</v>
      </c>
      <c r="BT59">
        <f>LOG(Table1_1__2[[#This Row],[ADONA]])</f>
        <v>-0.69897000433601875</v>
      </c>
      <c r="BU59">
        <f>LOG(Table1_1__2[[#This Row],[3:3 FTCA]])</f>
        <v>-0.6020599913279624</v>
      </c>
      <c r="BV59">
        <f>LOG(Table1_1__2[[#This Row],[5:3 FTCA]])</f>
        <v>9.691001300805642E-2</v>
      </c>
      <c r="BW59">
        <f>LOG(Table1_1__2[[#This Row],[7:3 FTCA]])</f>
        <v>9.691001300805642E-2</v>
      </c>
      <c r="BX59">
        <f>LOG(Table1_1__2[[#This Row],[N-EtFOSA]])</f>
        <v>-1.3053948010664314</v>
      </c>
      <c r="BY59">
        <f>LOG(Table1_1__2[[#This Row],[N-MeFOSE]])</f>
        <v>-0.3053948010664313</v>
      </c>
      <c r="BZ59">
        <f>LOG(Table1_1__2[[#This Row],[N-EtFOSE]])</f>
        <v>-0.3053948010664313</v>
      </c>
      <c r="CA59">
        <f>LOG(Table1_1__2[[#This Row],[HFPO-DA]])</f>
        <v>-0.52287874528033762</v>
      </c>
      <c r="CB59">
        <f>LOG(Table1_1__2[[#This Row],[PFMBA]])</f>
        <v>-1</v>
      </c>
      <c r="CC59">
        <f>LOG(Table1_1__2[[#This Row],[NFDHA]])</f>
        <v>-1</v>
      </c>
      <c r="CD59">
        <f>LOG(Table1_1__2[[#This Row],[9Cl-PF3ONS]])</f>
        <v>-0.69897000433601875</v>
      </c>
      <c r="CE59">
        <f>LOG(Table1_1__2[[#This Row],[11Cl-PF3OUdS]])</f>
        <v>-0.69897000433601875</v>
      </c>
      <c r="CF59">
        <f>LOG(Table1_1__2[[#This Row],[PFEESA]])</f>
        <v>-1</v>
      </c>
      <c r="CG59">
        <f>LOG(Table1_1__2[[#This Row],[PFMPA]])</f>
        <v>-1</v>
      </c>
    </row>
    <row r="60" spans="1:85" x14ac:dyDescent="0.3">
      <c r="A60" s="2" t="s">
        <v>107</v>
      </c>
      <c r="B60" s="3">
        <v>44391.5</v>
      </c>
      <c r="C60" s="2" t="s">
        <v>33</v>
      </c>
      <c r="D60" s="2" t="s">
        <v>39</v>
      </c>
      <c r="E60">
        <v>0.2</v>
      </c>
      <c r="F60">
        <v>0.1</v>
      </c>
      <c r="G60">
        <v>0.14000000000000001</v>
      </c>
      <c r="H60">
        <v>0.09</v>
      </c>
      <c r="I60">
        <v>0.23</v>
      </c>
      <c r="J60">
        <v>4.9500000000000002E-2</v>
      </c>
      <c r="K60">
        <v>4.9500000000000002E-2</v>
      </c>
      <c r="L60">
        <v>4.9500000000000002E-2</v>
      </c>
      <c r="M60">
        <v>4.9500000000000002E-2</v>
      </c>
      <c r="N60">
        <v>4.9500000000000002E-2</v>
      </c>
      <c r="O60">
        <v>4.9500000000000002E-2</v>
      </c>
      <c r="P60">
        <v>4.9500000000000002E-2</v>
      </c>
      <c r="Q60">
        <v>4.9500000000000002E-2</v>
      </c>
      <c r="R60">
        <v>0.45</v>
      </c>
      <c r="S60">
        <v>4.9500000000000002E-2</v>
      </c>
      <c r="T60">
        <v>1.7</v>
      </c>
      <c r="U60">
        <v>4.9500000000000002E-2</v>
      </c>
      <c r="V60">
        <v>4.9500000000000002E-2</v>
      </c>
      <c r="W60">
        <v>4.9500000000000002E-2</v>
      </c>
      <c r="X60">
        <v>0.2</v>
      </c>
      <c r="Y60">
        <v>0.39500000000000002</v>
      </c>
      <c r="Z60">
        <v>0.39500000000000002</v>
      </c>
      <c r="AA60">
        <v>0.09</v>
      </c>
      <c r="AB60">
        <v>4.9500000000000002E-2</v>
      </c>
      <c r="AC60">
        <v>4.9500000000000002E-2</v>
      </c>
      <c r="AD60">
        <v>4.9500000000000002E-2</v>
      </c>
      <c r="AE60">
        <v>0.2</v>
      </c>
      <c r="AF60">
        <v>0.25</v>
      </c>
      <c r="AG60">
        <v>1.25</v>
      </c>
      <c r="AH60">
        <v>1.25</v>
      </c>
      <c r="AI60">
        <v>4.9500000000000002E-2</v>
      </c>
      <c r="AJ60">
        <v>0.495</v>
      </c>
      <c r="AK60">
        <v>0.495</v>
      </c>
      <c r="AL60">
        <v>0.3</v>
      </c>
      <c r="AM60">
        <v>0.1</v>
      </c>
      <c r="AN60">
        <v>0.1</v>
      </c>
      <c r="AO60">
        <v>0.2</v>
      </c>
      <c r="AP60">
        <v>0.2</v>
      </c>
      <c r="AQ60">
        <v>0.1</v>
      </c>
      <c r="AR60">
        <v>0.1</v>
      </c>
      <c r="AS60">
        <f>SUM(Table1_1__2[[#This Row],[PFBA]:[PFMPA]])</f>
        <v>9.8219999999999974</v>
      </c>
      <c r="AT60">
        <f>LOG(Table1_1__2[[#This Row],[PFBA]])</f>
        <v>-0.69897000433601875</v>
      </c>
      <c r="AU60">
        <f>LOG(Table1_1__2[[#This Row],[PFPeA]])</f>
        <v>-1</v>
      </c>
      <c r="AV60">
        <f>LOG(Table1_1__2[[#This Row],[PFHxA]])</f>
        <v>-0.85387196432176193</v>
      </c>
      <c r="AW60">
        <f>LOG(Table1_1__2[[#This Row],[PFHpA]])</f>
        <v>-1.0457574905606752</v>
      </c>
      <c r="AX60">
        <f>LOG(Table1_1__2[[#This Row],[PFOA]])</f>
        <v>-0.63827216398240705</v>
      </c>
      <c r="AY60">
        <f>LOG(Table1_1__2[[#This Row],[PFNA]])</f>
        <v>-1.3053948010664314</v>
      </c>
      <c r="AZ60">
        <f>LOG(Table1_1__2[[#This Row],[PFDA]])</f>
        <v>-1.3053948010664314</v>
      </c>
      <c r="BA60">
        <f>LOG(Table1_1__2[[#This Row],[PFUnA]])</f>
        <v>-1.3053948010664314</v>
      </c>
      <c r="BB60">
        <f>LOG(Table1_1__2[[#This Row],[PFDoA]])</f>
        <v>-1.3053948010664314</v>
      </c>
      <c r="BC60">
        <f>LOG(Table1_1__2[[#This Row],[PFTrDA]])</f>
        <v>-1.3053948010664314</v>
      </c>
      <c r="BD60">
        <f>LOG(Table1_1__2[[#This Row],[PFTeDA]])</f>
        <v>-1.3053948010664314</v>
      </c>
      <c r="BE60">
        <f>LOG(Table1_1__2[[#This Row],[PFBS]])</f>
        <v>-1.3053948010664314</v>
      </c>
      <c r="BF60">
        <f>LOG(Table1_1__2[[#This Row],[PFPeS]])</f>
        <v>-1.3053948010664314</v>
      </c>
      <c r="BG60">
        <f>LOG(Table1_1__2[[#This Row],[PFHxS]])</f>
        <v>-0.34678748622465633</v>
      </c>
      <c r="BH60">
        <f>LOG(Table1_1__2[[#This Row],[PFHpS]])</f>
        <v>-1.3053948010664314</v>
      </c>
      <c r="BI60">
        <f>LOG(Table1_1__2[[#This Row],[PFOS]])</f>
        <v>0.23044892137827391</v>
      </c>
      <c r="BJ60">
        <f>LOG(Table1_1__2[[#This Row],[PFNS]])</f>
        <v>-1.3053948010664314</v>
      </c>
      <c r="BK60">
        <f>LOG(Table1_1__2[[#This Row],[PFDS]])</f>
        <v>-1.3053948010664314</v>
      </c>
      <c r="BL60">
        <f>LOG(Table1_1__2[[#This Row],[PFDoS]])</f>
        <v>-1.3053948010664314</v>
      </c>
      <c r="BM60">
        <f>LOG(Table1_1__2[[#This Row],[4:2 FTS]])</f>
        <v>-0.69897000433601875</v>
      </c>
      <c r="BN60">
        <f>LOG(Table1_1__2[[#This Row],[6:2 FTS]])</f>
        <v>-0.40340290437353976</v>
      </c>
      <c r="BO60">
        <f>LOG(Table1_1__2[[#This Row],[8:2 FTS]])</f>
        <v>-0.40340290437353976</v>
      </c>
      <c r="BP60">
        <f>LOG(Table1_1__2[[#This Row],[FOSA]])</f>
        <v>-1.0457574905606752</v>
      </c>
      <c r="BQ60">
        <f>LOG(Table1_1__2[[#This Row],[N-MeFOSA]])</f>
        <v>-1.3053948010664314</v>
      </c>
      <c r="BR60">
        <f>LOG(Table1_1__2[[#This Row],[N-MeFOSAA]])</f>
        <v>-1.3053948010664314</v>
      </c>
      <c r="BS60">
        <f>LOG(Table1_1__2[[#This Row],[N-EtFOSAA]])</f>
        <v>-1.3053948010664314</v>
      </c>
      <c r="BT60">
        <f>LOG(Table1_1__2[[#This Row],[ADONA]])</f>
        <v>-0.69897000433601875</v>
      </c>
      <c r="BU60">
        <f>LOG(Table1_1__2[[#This Row],[3:3 FTCA]])</f>
        <v>-0.6020599913279624</v>
      </c>
      <c r="BV60">
        <f>LOG(Table1_1__2[[#This Row],[5:3 FTCA]])</f>
        <v>9.691001300805642E-2</v>
      </c>
      <c r="BW60">
        <f>LOG(Table1_1__2[[#This Row],[7:3 FTCA]])</f>
        <v>9.691001300805642E-2</v>
      </c>
      <c r="BX60">
        <f>LOG(Table1_1__2[[#This Row],[N-EtFOSA]])</f>
        <v>-1.3053948010664314</v>
      </c>
      <c r="BY60">
        <f>LOG(Table1_1__2[[#This Row],[N-MeFOSE]])</f>
        <v>-0.3053948010664313</v>
      </c>
      <c r="BZ60">
        <f>LOG(Table1_1__2[[#This Row],[N-EtFOSE]])</f>
        <v>-0.3053948010664313</v>
      </c>
      <c r="CA60">
        <f>LOG(Table1_1__2[[#This Row],[HFPO-DA]])</f>
        <v>-0.52287874528033762</v>
      </c>
      <c r="CB60">
        <f>LOG(Table1_1__2[[#This Row],[PFMBA]])</f>
        <v>-1</v>
      </c>
      <c r="CC60">
        <f>LOG(Table1_1__2[[#This Row],[NFDHA]])</f>
        <v>-1</v>
      </c>
      <c r="CD60">
        <f>LOG(Table1_1__2[[#This Row],[9Cl-PF3ONS]])</f>
        <v>-0.69897000433601875</v>
      </c>
      <c r="CE60">
        <f>LOG(Table1_1__2[[#This Row],[11Cl-PF3OUdS]])</f>
        <v>-0.69897000433601875</v>
      </c>
      <c r="CF60">
        <f>LOG(Table1_1__2[[#This Row],[PFEESA]])</f>
        <v>-1</v>
      </c>
      <c r="CG60">
        <f>LOG(Table1_1__2[[#This Row],[PFMPA]])</f>
        <v>-1</v>
      </c>
    </row>
    <row r="61" spans="1:85" x14ac:dyDescent="0.3">
      <c r="A61" s="2" t="s">
        <v>108</v>
      </c>
      <c r="B61" s="3">
        <v>44391.5</v>
      </c>
      <c r="C61" s="2" t="s">
        <v>29</v>
      </c>
      <c r="D61" s="2" t="s">
        <v>39</v>
      </c>
      <c r="E61">
        <v>0.2</v>
      </c>
      <c r="F61">
        <v>0.1</v>
      </c>
      <c r="G61">
        <v>0.22</v>
      </c>
      <c r="H61">
        <v>0.09</v>
      </c>
      <c r="I61">
        <v>0.32</v>
      </c>
      <c r="J61">
        <v>0.05</v>
      </c>
      <c r="K61">
        <v>0.05</v>
      </c>
      <c r="L61">
        <v>0.05</v>
      </c>
      <c r="M61">
        <v>0.05</v>
      </c>
      <c r="N61">
        <v>0.05</v>
      </c>
      <c r="O61">
        <v>0.05</v>
      </c>
      <c r="P61">
        <v>0.05</v>
      </c>
      <c r="Q61">
        <v>5.1999999999999998E-2</v>
      </c>
      <c r="R61">
        <v>0.66</v>
      </c>
      <c r="S61">
        <v>0.05</v>
      </c>
      <c r="T61">
        <v>1.2</v>
      </c>
      <c r="U61">
        <v>0.05</v>
      </c>
      <c r="V61">
        <v>0.05</v>
      </c>
      <c r="W61">
        <v>0.05</v>
      </c>
      <c r="X61">
        <v>0.2</v>
      </c>
      <c r="Y61">
        <v>0.4</v>
      </c>
      <c r="Z61">
        <v>0.4</v>
      </c>
      <c r="AA61">
        <v>0.09</v>
      </c>
      <c r="AB61">
        <v>0.05</v>
      </c>
      <c r="AC61">
        <v>0.05</v>
      </c>
      <c r="AD61">
        <v>0.05</v>
      </c>
      <c r="AE61">
        <v>0.2</v>
      </c>
      <c r="AF61">
        <v>0.25</v>
      </c>
      <c r="AG61">
        <v>1.25</v>
      </c>
      <c r="AH61">
        <v>1.25</v>
      </c>
      <c r="AI61">
        <v>0.05</v>
      </c>
      <c r="AJ61">
        <v>0.5</v>
      </c>
      <c r="AK61">
        <v>0.5</v>
      </c>
      <c r="AL61">
        <v>0.3</v>
      </c>
      <c r="AM61">
        <v>0.1</v>
      </c>
      <c r="AN61">
        <v>0.1</v>
      </c>
      <c r="AO61">
        <v>0.2</v>
      </c>
      <c r="AP61">
        <v>0.2</v>
      </c>
      <c r="AQ61">
        <v>0.1</v>
      </c>
      <c r="AR61">
        <v>0.1</v>
      </c>
      <c r="AS61">
        <f>SUM(Table1_1__2[[#This Row],[PFBA]:[PFMPA]])</f>
        <v>9.7319999999999958</v>
      </c>
      <c r="AT61">
        <f>LOG(Table1_1__2[[#This Row],[PFBA]])</f>
        <v>-0.69897000433601875</v>
      </c>
      <c r="AU61">
        <f>LOG(Table1_1__2[[#This Row],[PFPeA]])</f>
        <v>-1</v>
      </c>
      <c r="AV61">
        <f>LOG(Table1_1__2[[#This Row],[PFHxA]])</f>
        <v>-0.65757731917779372</v>
      </c>
      <c r="AW61">
        <f>LOG(Table1_1__2[[#This Row],[PFHpA]])</f>
        <v>-1.0457574905606752</v>
      </c>
      <c r="AX61">
        <f>LOG(Table1_1__2[[#This Row],[PFOA]])</f>
        <v>-0.49485002168009401</v>
      </c>
      <c r="AY61">
        <f>LOG(Table1_1__2[[#This Row],[PFNA]])</f>
        <v>-1.3010299956639813</v>
      </c>
      <c r="AZ61">
        <f>LOG(Table1_1__2[[#This Row],[PFDA]])</f>
        <v>-1.3010299956639813</v>
      </c>
      <c r="BA61">
        <f>LOG(Table1_1__2[[#This Row],[PFUnA]])</f>
        <v>-1.3010299956639813</v>
      </c>
      <c r="BB61">
        <f>LOG(Table1_1__2[[#This Row],[PFDoA]])</f>
        <v>-1.3010299956639813</v>
      </c>
      <c r="BC61">
        <f>LOG(Table1_1__2[[#This Row],[PFTrDA]])</f>
        <v>-1.3010299956639813</v>
      </c>
      <c r="BD61">
        <f>LOG(Table1_1__2[[#This Row],[PFTeDA]])</f>
        <v>-1.3010299956639813</v>
      </c>
      <c r="BE61">
        <f>LOG(Table1_1__2[[#This Row],[PFBS]])</f>
        <v>-1.3010299956639813</v>
      </c>
      <c r="BF61">
        <f>LOG(Table1_1__2[[#This Row],[PFPeS]])</f>
        <v>-1.2839966563652008</v>
      </c>
      <c r="BG61">
        <f>LOG(Table1_1__2[[#This Row],[PFHxS]])</f>
        <v>-0.18045606445813131</v>
      </c>
      <c r="BH61">
        <f>LOG(Table1_1__2[[#This Row],[PFHpS]])</f>
        <v>-1.3010299956639813</v>
      </c>
      <c r="BI61">
        <f>LOG(Table1_1__2[[#This Row],[PFOS]])</f>
        <v>7.9181246047624818E-2</v>
      </c>
      <c r="BJ61">
        <f>LOG(Table1_1__2[[#This Row],[PFNS]])</f>
        <v>-1.3010299956639813</v>
      </c>
      <c r="BK61">
        <f>LOG(Table1_1__2[[#This Row],[PFDS]])</f>
        <v>-1.3010299956639813</v>
      </c>
      <c r="BL61">
        <f>LOG(Table1_1__2[[#This Row],[PFDoS]])</f>
        <v>-1.3010299956639813</v>
      </c>
      <c r="BM61">
        <f>LOG(Table1_1__2[[#This Row],[4:2 FTS]])</f>
        <v>-0.69897000433601875</v>
      </c>
      <c r="BN61">
        <f>LOG(Table1_1__2[[#This Row],[6:2 FTS]])</f>
        <v>-0.3979400086720376</v>
      </c>
      <c r="BO61">
        <f>LOG(Table1_1__2[[#This Row],[8:2 FTS]])</f>
        <v>-0.3979400086720376</v>
      </c>
      <c r="BP61">
        <f>LOG(Table1_1__2[[#This Row],[FOSA]])</f>
        <v>-1.0457574905606752</v>
      </c>
      <c r="BQ61">
        <f>LOG(Table1_1__2[[#This Row],[N-MeFOSA]])</f>
        <v>-1.3010299956639813</v>
      </c>
      <c r="BR61">
        <f>LOG(Table1_1__2[[#This Row],[N-MeFOSAA]])</f>
        <v>-1.3010299956639813</v>
      </c>
      <c r="BS61">
        <f>LOG(Table1_1__2[[#This Row],[N-EtFOSAA]])</f>
        <v>-1.3010299956639813</v>
      </c>
      <c r="BT61">
        <f>LOG(Table1_1__2[[#This Row],[ADONA]])</f>
        <v>-0.69897000433601875</v>
      </c>
      <c r="BU61">
        <f>LOG(Table1_1__2[[#This Row],[3:3 FTCA]])</f>
        <v>-0.6020599913279624</v>
      </c>
      <c r="BV61">
        <f>LOG(Table1_1__2[[#This Row],[5:3 FTCA]])</f>
        <v>9.691001300805642E-2</v>
      </c>
      <c r="BW61">
        <f>LOG(Table1_1__2[[#This Row],[7:3 FTCA]])</f>
        <v>9.691001300805642E-2</v>
      </c>
      <c r="BX61">
        <f>LOG(Table1_1__2[[#This Row],[N-EtFOSA]])</f>
        <v>-1.3010299956639813</v>
      </c>
      <c r="BY61">
        <f>LOG(Table1_1__2[[#This Row],[N-MeFOSE]])</f>
        <v>-0.3010299956639812</v>
      </c>
      <c r="BZ61">
        <f>LOG(Table1_1__2[[#This Row],[N-EtFOSE]])</f>
        <v>-0.3010299956639812</v>
      </c>
      <c r="CA61">
        <f>LOG(Table1_1__2[[#This Row],[HFPO-DA]])</f>
        <v>-0.52287874528033762</v>
      </c>
      <c r="CB61">
        <f>LOG(Table1_1__2[[#This Row],[PFMBA]])</f>
        <v>-1</v>
      </c>
      <c r="CC61">
        <f>LOG(Table1_1__2[[#This Row],[NFDHA]])</f>
        <v>-1</v>
      </c>
      <c r="CD61">
        <f>LOG(Table1_1__2[[#This Row],[9Cl-PF3ONS]])</f>
        <v>-0.69897000433601875</v>
      </c>
      <c r="CE61">
        <f>LOG(Table1_1__2[[#This Row],[11Cl-PF3OUdS]])</f>
        <v>-0.69897000433601875</v>
      </c>
      <c r="CF61">
        <f>LOG(Table1_1__2[[#This Row],[PFEESA]])</f>
        <v>-1</v>
      </c>
      <c r="CG61">
        <f>LOG(Table1_1__2[[#This Row],[PFMPA]])</f>
        <v>-1</v>
      </c>
    </row>
    <row r="62" spans="1:85" x14ac:dyDescent="0.3">
      <c r="A62" s="2" t="s">
        <v>43</v>
      </c>
      <c r="B62" s="3">
        <v>44393</v>
      </c>
      <c r="C62" s="2" t="s">
        <v>26</v>
      </c>
      <c r="D62" s="2" t="s">
        <v>39</v>
      </c>
      <c r="E62">
        <v>0.08</v>
      </c>
      <c r="F62">
        <v>0.128</v>
      </c>
      <c r="G62">
        <v>0.23599999999999999</v>
      </c>
      <c r="H62">
        <v>6.4000000000000001E-2</v>
      </c>
      <c r="I62">
        <v>0.38300000000000001</v>
      </c>
      <c r="J62">
        <v>4.3999999999999997E-2</v>
      </c>
      <c r="K62">
        <v>0.02</v>
      </c>
      <c r="L62">
        <v>0.02</v>
      </c>
      <c r="M62">
        <v>0.02</v>
      </c>
      <c r="N62">
        <v>0.02</v>
      </c>
      <c r="O62">
        <v>0.02</v>
      </c>
      <c r="P62">
        <v>4.1000000000000002E-2</v>
      </c>
      <c r="Q62">
        <v>4.5999999999999999E-2</v>
      </c>
      <c r="R62">
        <v>0.56399999999999995</v>
      </c>
      <c r="S62">
        <v>0.02</v>
      </c>
      <c r="T62">
        <v>1.38</v>
      </c>
      <c r="U62">
        <v>0.02</v>
      </c>
      <c r="V62">
        <v>0.02</v>
      </c>
      <c r="W62">
        <v>0.02</v>
      </c>
      <c r="X62">
        <v>0.08</v>
      </c>
      <c r="Y62">
        <v>0.24299999999999999</v>
      </c>
      <c r="Z62">
        <v>0.08</v>
      </c>
      <c r="AA62">
        <v>0.02</v>
      </c>
      <c r="AB62">
        <v>0.02</v>
      </c>
      <c r="AC62">
        <v>0.02</v>
      </c>
      <c r="AD62">
        <v>0.02</v>
      </c>
      <c r="AE62">
        <v>0.08</v>
      </c>
      <c r="AF62">
        <v>0.08</v>
      </c>
      <c r="AG62">
        <v>0.5</v>
      </c>
      <c r="AH62">
        <v>0.5</v>
      </c>
      <c r="AS62">
        <f>SUM(Table1_1__2[[#This Row],[PFBA]:[PFMPA]])</f>
        <v>4.7889999999999997</v>
      </c>
      <c r="AT62">
        <f>LOG(Table1_1__2[[#This Row],[PFBA]])</f>
        <v>-1.0969100130080565</v>
      </c>
      <c r="AU62">
        <f>LOG(Table1_1__2[[#This Row],[PFPeA]])</f>
        <v>-0.89279003035213167</v>
      </c>
      <c r="AV62">
        <f>LOG(Table1_1__2[[#This Row],[PFHxA]])</f>
        <v>-0.62708799702989348</v>
      </c>
      <c r="AW62">
        <f>LOG(Table1_1__2[[#This Row],[PFHpA]])</f>
        <v>-1.1938200260161129</v>
      </c>
      <c r="AX62">
        <f>LOG(Table1_1__2[[#This Row],[PFOA]])</f>
        <v>-0.41680122603137726</v>
      </c>
      <c r="AY62">
        <f>LOG(Table1_1__2[[#This Row],[PFNA]])</f>
        <v>-1.3565473235138126</v>
      </c>
      <c r="AZ62">
        <f>LOG(Table1_1__2[[#This Row],[PFDA]])</f>
        <v>-1.6989700043360187</v>
      </c>
      <c r="BA62">
        <f>LOG(Table1_1__2[[#This Row],[PFUnA]])</f>
        <v>-1.6989700043360187</v>
      </c>
      <c r="BB62">
        <f>LOG(Table1_1__2[[#This Row],[PFDoA]])</f>
        <v>-1.6989700043360187</v>
      </c>
      <c r="BC62">
        <f>LOG(Table1_1__2[[#This Row],[PFTrDA]])</f>
        <v>-1.6989700043360187</v>
      </c>
      <c r="BD62">
        <f>LOG(Table1_1__2[[#This Row],[PFTeDA]])</f>
        <v>-1.6989700043360187</v>
      </c>
      <c r="BE62">
        <f>LOG(Table1_1__2[[#This Row],[PFBS]])</f>
        <v>-1.3872161432802645</v>
      </c>
      <c r="BF62">
        <f>LOG(Table1_1__2[[#This Row],[PFPeS]])</f>
        <v>-1.3372421683184259</v>
      </c>
      <c r="BG62">
        <f>LOG(Table1_1__2[[#This Row],[PFHxS]])</f>
        <v>-0.24872089601665776</v>
      </c>
      <c r="BH62">
        <f>LOG(Table1_1__2[[#This Row],[PFHpS]])</f>
        <v>-1.6989700043360187</v>
      </c>
      <c r="BI62">
        <f>LOG(Table1_1__2[[#This Row],[PFOS]])</f>
        <v>0.13987908640123647</v>
      </c>
      <c r="BJ62">
        <f>LOG(Table1_1__2[[#This Row],[PFNS]])</f>
        <v>-1.6989700043360187</v>
      </c>
      <c r="BK62">
        <f>LOG(Table1_1__2[[#This Row],[PFDS]])</f>
        <v>-1.6989700043360187</v>
      </c>
      <c r="BL62">
        <f>LOG(Table1_1__2[[#This Row],[PFDoS]])</f>
        <v>-1.6989700043360187</v>
      </c>
      <c r="BM62">
        <f>LOG(Table1_1__2[[#This Row],[4:2 FTS]])</f>
        <v>-1.0969100130080565</v>
      </c>
      <c r="BN62">
        <f>LOG(Table1_1__2[[#This Row],[6:2 FTS]])</f>
        <v>-0.61439372640168788</v>
      </c>
      <c r="BO62">
        <f>LOG(Table1_1__2[[#This Row],[8:2 FTS]])</f>
        <v>-1.0969100130080565</v>
      </c>
      <c r="BP62">
        <f>LOG(Table1_1__2[[#This Row],[FOSA]])</f>
        <v>-1.6989700043360187</v>
      </c>
      <c r="BQ62">
        <f>LOG(Table1_1__2[[#This Row],[N-MeFOSA]])</f>
        <v>-1.6989700043360187</v>
      </c>
      <c r="BR62">
        <f>LOG(Table1_1__2[[#This Row],[N-MeFOSAA]])</f>
        <v>-1.6989700043360187</v>
      </c>
      <c r="BS62">
        <f>LOG(Table1_1__2[[#This Row],[N-EtFOSAA]])</f>
        <v>-1.6989700043360187</v>
      </c>
      <c r="BT62">
        <f>LOG(Table1_1__2[[#This Row],[ADONA]])</f>
        <v>-1.0969100130080565</v>
      </c>
      <c r="BU62">
        <f>LOG(Table1_1__2[[#This Row],[3:3 FTCA]])</f>
        <v>-1.0969100130080565</v>
      </c>
      <c r="BV62">
        <f>LOG(Table1_1__2[[#This Row],[5:3 FTCA]])</f>
        <v>-0.3010299956639812</v>
      </c>
      <c r="BW62">
        <f>LOG(Table1_1__2[[#This Row],[7:3 FTCA]])</f>
        <v>-0.3010299956639812</v>
      </c>
      <c r="BX62" t="e">
        <f>LOG(Table1_1__2[[#This Row],[N-EtFOSA]])</f>
        <v>#NUM!</v>
      </c>
      <c r="BY62" t="e">
        <f>LOG(Table1_1__2[[#This Row],[N-MeFOSE]])</f>
        <v>#NUM!</v>
      </c>
      <c r="BZ62" t="e">
        <f>LOG(Table1_1__2[[#This Row],[N-EtFOSE]])</f>
        <v>#NUM!</v>
      </c>
      <c r="CA62" t="e">
        <f>LOG(Table1_1__2[[#This Row],[HFPO-DA]])</f>
        <v>#NUM!</v>
      </c>
      <c r="CB62" t="e">
        <f>LOG(Table1_1__2[[#This Row],[PFMBA]])</f>
        <v>#NUM!</v>
      </c>
      <c r="CC62" t="e">
        <f>LOG(Table1_1__2[[#This Row],[NFDHA]])</f>
        <v>#NUM!</v>
      </c>
      <c r="CD62" t="e">
        <f>LOG(Table1_1__2[[#This Row],[9Cl-PF3ONS]])</f>
        <v>#NUM!</v>
      </c>
      <c r="CE62" t="e">
        <f>LOG(Table1_1__2[[#This Row],[11Cl-PF3OUdS]])</f>
        <v>#NUM!</v>
      </c>
      <c r="CF62" t="e">
        <f>LOG(Table1_1__2[[#This Row],[PFEESA]])</f>
        <v>#NUM!</v>
      </c>
      <c r="CG62" t="e">
        <f>LOG(Table1_1__2[[#This Row],[PFMPA]])</f>
        <v>#NUM!</v>
      </c>
    </row>
    <row r="63" spans="1:85" x14ac:dyDescent="0.3">
      <c r="A63" s="2" t="s">
        <v>45</v>
      </c>
      <c r="B63" s="3">
        <v>44393</v>
      </c>
      <c r="C63" s="2" t="s">
        <v>31</v>
      </c>
      <c r="D63" s="2" t="s">
        <v>39</v>
      </c>
      <c r="E63">
        <v>0.14499999999999999</v>
      </c>
      <c r="F63">
        <v>0.13200000000000001</v>
      </c>
      <c r="G63">
        <v>0.47499999999999998</v>
      </c>
      <c r="H63">
        <v>4.7E-2</v>
      </c>
      <c r="I63">
        <v>0.185</v>
      </c>
      <c r="J63">
        <v>4.5999999999999999E-2</v>
      </c>
      <c r="K63">
        <v>0.02</v>
      </c>
      <c r="L63">
        <v>0.02</v>
      </c>
      <c r="M63">
        <v>4.5999999999999999E-2</v>
      </c>
      <c r="N63">
        <v>0.02</v>
      </c>
      <c r="O63">
        <v>0.02</v>
      </c>
      <c r="P63">
        <v>0.02</v>
      </c>
      <c r="Q63">
        <v>0.02</v>
      </c>
      <c r="R63">
        <v>0.378</v>
      </c>
      <c r="S63">
        <v>0.02</v>
      </c>
      <c r="T63">
        <v>1.72</v>
      </c>
      <c r="U63">
        <v>0.02</v>
      </c>
      <c r="V63">
        <v>0.02</v>
      </c>
      <c r="W63">
        <v>0.02</v>
      </c>
      <c r="X63">
        <v>0.08</v>
      </c>
      <c r="Y63">
        <v>0.28299999999999997</v>
      </c>
      <c r="Z63">
        <v>0.08</v>
      </c>
      <c r="AA63">
        <v>0.26300000000000001</v>
      </c>
      <c r="AB63">
        <v>0.02</v>
      </c>
      <c r="AC63">
        <v>0.02</v>
      </c>
      <c r="AD63">
        <v>0.02</v>
      </c>
      <c r="AE63">
        <v>0.08</v>
      </c>
      <c r="AF63">
        <v>0.08</v>
      </c>
      <c r="AG63">
        <v>0.5</v>
      </c>
      <c r="AH63">
        <v>0.5</v>
      </c>
      <c r="AS63">
        <f>SUM(Table1_1__2[[#This Row],[PFBA]:[PFMPA]])</f>
        <v>5.2999999999999989</v>
      </c>
      <c r="AT63">
        <f>LOG(Table1_1__2[[#This Row],[PFBA]])</f>
        <v>-0.83863199776502517</v>
      </c>
      <c r="AU63">
        <f>LOG(Table1_1__2[[#This Row],[PFPeA]])</f>
        <v>-0.87942606879415008</v>
      </c>
      <c r="AV63">
        <f>LOG(Table1_1__2[[#This Row],[PFHxA]])</f>
        <v>-0.32330639037513342</v>
      </c>
      <c r="AW63">
        <f>LOG(Table1_1__2[[#This Row],[PFHpA]])</f>
        <v>-1.3279021420642825</v>
      </c>
      <c r="AX63">
        <f>LOG(Table1_1__2[[#This Row],[PFOA]])</f>
        <v>-0.73282827159698616</v>
      </c>
      <c r="AY63">
        <f>LOG(Table1_1__2[[#This Row],[PFNA]])</f>
        <v>-1.3372421683184259</v>
      </c>
      <c r="AZ63">
        <f>LOG(Table1_1__2[[#This Row],[PFDA]])</f>
        <v>-1.6989700043360187</v>
      </c>
      <c r="BA63">
        <f>LOG(Table1_1__2[[#This Row],[PFUnA]])</f>
        <v>-1.6989700043360187</v>
      </c>
      <c r="BB63">
        <f>LOG(Table1_1__2[[#This Row],[PFDoA]])</f>
        <v>-1.3372421683184259</v>
      </c>
      <c r="BC63">
        <f>LOG(Table1_1__2[[#This Row],[PFTrDA]])</f>
        <v>-1.6989700043360187</v>
      </c>
      <c r="BD63">
        <f>LOG(Table1_1__2[[#This Row],[PFTeDA]])</f>
        <v>-1.6989700043360187</v>
      </c>
      <c r="BE63">
        <f>LOG(Table1_1__2[[#This Row],[PFBS]])</f>
        <v>-1.6989700043360187</v>
      </c>
      <c r="BF63">
        <f>LOG(Table1_1__2[[#This Row],[PFPeS]])</f>
        <v>-1.6989700043360187</v>
      </c>
      <c r="BG63">
        <f>LOG(Table1_1__2[[#This Row],[PFHxS]])</f>
        <v>-0.42250820016277468</v>
      </c>
      <c r="BH63">
        <f>LOG(Table1_1__2[[#This Row],[PFHpS]])</f>
        <v>-1.6989700043360187</v>
      </c>
      <c r="BI63">
        <f>LOG(Table1_1__2[[#This Row],[PFOS]])</f>
        <v>0.2355284469075489</v>
      </c>
      <c r="BJ63">
        <f>LOG(Table1_1__2[[#This Row],[PFNS]])</f>
        <v>-1.6989700043360187</v>
      </c>
      <c r="BK63">
        <f>LOG(Table1_1__2[[#This Row],[PFDS]])</f>
        <v>-1.6989700043360187</v>
      </c>
      <c r="BL63">
        <f>LOG(Table1_1__2[[#This Row],[PFDoS]])</f>
        <v>-1.6989700043360187</v>
      </c>
      <c r="BM63">
        <f>LOG(Table1_1__2[[#This Row],[4:2 FTS]])</f>
        <v>-1.0969100130080565</v>
      </c>
      <c r="BN63">
        <f>LOG(Table1_1__2[[#This Row],[6:2 FTS]])</f>
        <v>-0.54821356447570979</v>
      </c>
      <c r="BO63">
        <f>LOG(Table1_1__2[[#This Row],[8:2 FTS]])</f>
        <v>-1.0969100130080565</v>
      </c>
      <c r="BP63">
        <f>LOG(Table1_1__2[[#This Row],[FOSA]])</f>
        <v>-0.58004425151024208</v>
      </c>
      <c r="BQ63">
        <f>LOG(Table1_1__2[[#This Row],[N-MeFOSA]])</f>
        <v>-1.6989700043360187</v>
      </c>
      <c r="BR63">
        <f>LOG(Table1_1__2[[#This Row],[N-MeFOSAA]])</f>
        <v>-1.6989700043360187</v>
      </c>
      <c r="BS63">
        <f>LOG(Table1_1__2[[#This Row],[N-EtFOSAA]])</f>
        <v>-1.6989700043360187</v>
      </c>
      <c r="BT63">
        <f>LOG(Table1_1__2[[#This Row],[ADONA]])</f>
        <v>-1.0969100130080565</v>
      </c>
      <c r="BU63">
        <f>LOG(Table1_1__2[[#This Row],[3:3 FTCA]])</f>
        <v>-1.0969100130080565</v>
      </c>
      <c r="BV63">
        <f>LOG(Table1_1__2[[#This Row],[5:3 FTCA]])</f>
        <v>-0.3010299956639812</v>
      </c>
      <c r="BW63">
        <f>LOG(Table1_1__2[[#This Row],[7:3 FTCA]])</f>
        <v>-0.3010299956639812</v>
      </c>
      <c r="BX63" t="e">
        <f>LOG(Table1_1__2[[#This Row],[N-EtFOSA]])</f>
        <v>#NUM!</v>
      </c>
      <c r="BY63" t="e">
        <f>LOG(Table1_1__2[[#This Row],[N-MeFOSE]])</f>
        <v>#NUM!</v>
      </c>
      <c r="BZ63" t="e">
        <f>LOG(Table1_1__2[[#This Row],[N-EtFOSE]])</f>
        <v>#NUM!</v>
      </c>
      <c r="CA63" t="e">
        <f>LOG(Table1_1__2[[#This Row],[HFPO-DA]])</f>
        <v>#NUM!</v>
      </c>
      <c r="CB63" t="e">
        <f>LOG(Table1_1__2[[#This Row],[PFMBA]])</f>
        <v>#NUM!</v>
      </c>
      <c r="CC63" t="e">
        <f>LOG(Table1_1__2[[#This Row],[NFDHA]])</f>
        <v>#NUM!</v>
      </c>
      <c r="CD63" t="e">
        <f>LOG(Table1_1__2[[#This Row],[9Cl-PF3ONS]])</f>
        <v>#NUM!</v>
      </c>
      <c r="CE63" t="e">
        <f>LOG(Table1_1__2[[#This Row],[11Cl-PF3OUdS]])</f>
        <v>#NUM!</v>
      </c>
      <c r="CF63" t="e">
        <f>LOG(Table1_1__2[[#This Row],[PFEESA]])</f>
        <v>#NUM!</v>
      </c>
      <c r="CG63" t="e">
        <f>LOG(Table1_1__2[[#This Row],[PFMPA]])</f>
        <v>#NUM!</v>
      </c>
    </row>
    <row r="64" spans="1:85" x14ac:dyDescent="0.3">
      <c r="A64" s="2" t="s">
        <v>46</v>
      </c>
      <c r="B64" s="3">
        <v>44393</v>
      </c>
      <c r="C64" s="2" t="s">
        <v>33</v>
      </c>
      <c r="D64" s="2" t="s">
        <v>39</v>
      </c>
      <c r="E64">
        <v>0.08</v>
      </c>
      <c r="F64">
        <v>0.104</v>
      </c>
      <c r="G64">
        <v>0.28499999999999998</v>
      </c>
      <c r="H64">
        <v>0.02</v>
      </c>
      <c r="I64">
        <v>0.15</v>
      </c>
      <c r="J64">
        <v>3.6999999999999998E-2</v>
      </c>
      <c r="K64">
        <v>0.02</v>
      </c>
      <c r="L64">
        <v>0.02</v>
      </c>
      <c r="M64">
        <v>0.02</v>
      </c>
      <c r="N64">
        <v>0.02</v>
      </c>
      <c r="O64">
        <v>0.02</v>
      </c>
      <c r="P64">
        <v>0.02</v>
      </c>
      <c r="Q64">
        <v>0.02</v>
      </c>
      <c r="R64">
        <v>0.39400000000000002</v>
      </c>
      <c r="S64">
        <v>0.02</v>
      </c>
      <c r="T64">
        <v>1.95</v>
      </c>
      <c r="U64">
        <v>0.02</v>
      </c>
      <c r="V64">
        <v>0.02</v>
      </c>
      <c r="W64">
        <v>0.02</v>
      </c>
      <c r="X64">
        <v>0.08</v>
      </c>
      <c r="Y64">
        <v>0.48399999999999999</v>
      </c>
      <c r="Z64">
        <v>0.14599999999999999</v>
      </c>
      <c r="AA64">
        <v>0.14099999999999999</v>
      </c>
      <c r="AB64">
        <v>0.02</v>
      </c>
      <c r="AC64">
        <v>0.02</v>
      </c>
      <c r="AD64">
        <v>0.02</v>
      </c>
      <c r="AE64">
        <v>0.08</v>
      </c>
      <c r="AF64">
        <v>0.08</v>
      </c>
      <c r="AG64">
        <v>0.5</v>
      </c>
      <c r="AH64">
        <v>0.5</v>
      </c>
      <c r="AS64">
        <f>SUM(Table1_1__2[[#This Row],[PFBA]:[PFMPA]])</f>
        <v>5.3109999999999991</v>
      </c>
      <c r="AT64">
        <f>LOG(Table1_1__2[[#This Row],[PFBA]])</f>
        <v>-1.0969100130080565</v>
      </c>
      <c r="AU64">
        <f>LOG(Table1_1__2[[#This Row],[PFPeA]])</f>
        <v>-0.98296666070121963</v>
      </c>
      <c r="AV64">
        <f>LOG(Table1_1__2[[#This Row],[PFHxA]])</f>
        <v>-0.54515513999148979</v>
      </c>
      <c r="AW64">
        <f>LOG(Table1_1__2[[#This Row],[PFHpA]])</f>
        <v>-1.6989700043360187</v>
      </c>
      <c r="AX64">
        <f>LOG(Table1_1__2[[#This Row],[PFOA]])</f>
        <v>-0.82390874094431876</v>
      </c>
      <c r="AY64">
        <f>LOG(Table1_1__2[[#This Row],[PFNA]])</f>
        <v>-1.431798275933005</v>
      </c>
      <c r="AZ64">
        <f>LOG(Table1_1__2[[#This Row],[PFDA]])</f>
        <v>-1.6989700043360187</v>
      </c>
      <c r="BA64">
        <f>LOG(Table1_1__2[[#This Row],[PFUnA]])</f>
        <v>-1.6989700043360187</v>
      </c>
      <c r="BB64">
        <f>LOG(Table1_1__2[[#This Row],[PFDoA]])</f>
        <v>-1.6989700043360187</v>
      </c>
      <c r="BC64">
        <f>LOG(Table1_1__2[[#This Row],[PFTrDA]])</f>
        <v>-1.6989700043360187</v>
      </c>
      <c r="BD64">
        <f>LOG(Table1_1__2[[#This Row],[PFTeDA]])</f>
        <v>-1.6989700043360187</v>
      </c>
      <c r="BE64">
        <f>LOG(Table1_1__2[[#This Row],[PFBS]])</f>
        <v>-1.6989700043360187</v>
      </c>
      <c r="BF64">
        <f>LOG(Table1_1__2[[#This Row],[PFPeS]])</f>
        <v>-1.6989700043360187</v>
      </c>
      <c r="BG64">
        <f>LOG(Table1_1__2[[#This Row],[PFHxS]])</f>
        <v>-0.40450377817442584</v>
      </c>
      <c r="BH64">
        <f>LOG(Table1_1__2[[#This Row],[PFHpS]])</f>
        <v>-1.6989700043360187</v>
      </c>
      <c r="BI64">
        <f>LOG(Table1_1__2[[#This Row],[PFOS]])</f>
        <v>0.29003461136251801</v>
      </c>
      <c r="BJ64">
        <f>LOG(Table1_1__2[[#This Row],[PFNS]])</f>
        <v>-1.6989700043360187</v>
      </c>
      <c r="BK64">
        <f>LOG(Table1_1__2[[#This Row],[PFDS]])</f>
        <v>-1.6989700043360187</v>
      </c>
      <c r="BL64">
        <f>LOG(Table1_1__2[[#This Row],[PFDoS]])</f>
        <v>-1.6989700043360187</v>
      </c>
      <c r="BM64">
        <f>LOG(Table1_1__2[[#This Row],[4:2 FTS]])</f>
        <v>-1.0969100130080565</v>
      </c>
      <c r="BN64">
        <f>LOG(Table1_1__2[[#This Row],[6:2 FTS]])</f>
        <v>-0.31515463835558755</v>
      </c>
      <c r="BO64">
        <f>LOG(Table1_1__2[[#This Row],[8:2 FTS]])</f>
        <v>-0.83564714421556296</v>
      </c>
      <c r="BP64">
        <f>LOG(Table1_1__2[[#This Row],[FOSA]])</f>
        <v>-0.8507808873446201</v>
      </c>
      <c r="BQ64">
        <f>LOG(Table1_1__2[[#This Row],[N-MeFOSA]])</f>
        <v>-1.6989700043360187</v>
      </c>
      <c r="BR64">
        <f>LOG(Table1_1__2[[#This Row],[N-MeFOSAA]])</f>
        <v>-1.6989700043360187</v>
      </c>
      <c r="BS64">
        <f>LOG(Table1_1__2[[#This Row],[N-EtFOSAA]])</f>
        <v>-1.6989700043360187</v>
      </c>
      <c r="BT64">
        <f>LOG(Table1_1__2[[#This Row],[ADONA]])</f>
        <v>-1.0969100130080565</v>
      </c>
      <c r="BU64">
        <f>LOG(Table1_1__2[[#This Row],[3:3 FTCA]])</f>
        <v>-1.0969100130080565</v>
      </c>
      <c r="BV64">
        <f>LOG(Table1_1__2[[#This Row],[5:3 FTCA]])</f>
        <v>-0.3010299956639812</v>
      </c>
      <c r="BW64">
        <f>LOG(Table1_1__2[[#This Row],[7:3 FTCA]])</f>
        <v>-0.3010299956639812</v>
      </c>
      <c r="BX64" t="e">
        <f>LOG(Table1_1__2[[#This Row],[N-EtFOSA]])</f>
        <v>#NUM!</v>
      </c>
      <c r="BY64" t="e">
        <f>LOG(Table1_1__2[[#This Row],[N-MeFOSE]])</f>
        <v>#NUM!</v>
      </c>
      <c r="BZ64" t="e">
        <f>LOG(Table1_1__2[[#This Row],[N-EtFOSE]])</f>
        <v>#NUM!</v>
      </c>
      <c r="CA64" t="e">
        <f>LOG(Table1_1__2[[#This Row],[HFPO-DA]])</f>
        <v>#NUM!</v>
      </c>
      <c r="CB64" t="e">
        <f>LOG(Table1_1__2[[#This Row],[PFMBA]])</f>
        <v>#NUM!</v>
      </c>
      <c r="CC64" t="e">
        <f>LOG(Table1_1__2[[#This Row],[NFDHA]])</f>
        <v>#NUM!</v>
      </c>
      <c r="CD64" t="e">
        <f>LOG(Table1_1__2[[#This Row],[9Cl-PF3ONS]])</f>
        <v>#NUM!</v>
      </c>
      <c r="CE64" t="e">
        <f>LOG(Table1_1__2[[#This Row],[11Cl-PF3OUdS]])</f>
        <v>#NUM!</v>
      </c>
      <c r="CF64" t="e">
        <f>LOG(Table1_1__2[[#This Row],[PFEESA]])</f>
        <v>#NUM!</v>
      </c>
      <c r="CG64" t="e">
        <f>LOG(Table1_1__2[[#This Row],[PFMPA]])</f>
        <v>#NUM!</v>
      </c>
    </row>
    <row r="65" spans="1:85" x14ac:dyDescent="0.3">
      <c r="A65" s="2" t="s">
        <v>44</v>
      </c>
      <c r="B65" s="3">
        <v>44393</v>
      </c>
      <c r="C65" s="2" t="s">
        <v>29</v>
      </c>
      <c r="D65" s="2" t="s">
        <v>39</v>
      </c>
      <c r="E65">
        <v>0.08</v>
      </c>
      <c r="F65">
        <v>0.13</v>
      </c>
      <c r="G65">
        <v>0.16600000000000001</v>
      </c>
      <c r="H65">
        <v>4.3999999999999997E-2</v>
      </c>
      <c r="I65">
        <v>0.183</v>
      </c>
      <c r="J65">
        <v>0.02</v>
      </c>
      <c r="K65">
        <v>0.02</v>
      </c>
      <c r="L65">
        <v>0.02</v>
      </c>
      <c r="M65">
        <v>0.02</v>
      </c>
      <c r="N65">
        <v>0.02</v>
      </c>
      <c r="O65">
        <v>0.02</v>
      </c>
      <c r="P65">
        <v>0.02</v>
      </c>
      <c r="Q65">
        <v>0.04</v>
      </c>
      <c r="R65">
        <v>0.436</v>
      </c>
      <c r="S65">
        <v>0.02</v>
      </c>
      <c r="T65">
        <v>1.06</v>
      </c>
      <c r="U65">
        <v>0.02</v>
      </c>
      <c r="V65">
        <v>0.02</v>
      </c>
      <c r="W65">
        <v>0.02</v>
      </c>
      <c r="X65">
        <v>0.08</v>
      </c>
      <c r="Y65">
        <v>0.08</v>
      </c>
      <c r="Z65">
        <v>0.08</v>
      </c>
      <c r="AA65">
        <v>0.02</v>
      </c>
      <c r="AB65">
        <v>0.02</v>
      </c>
      <c r="AC65">
        <v>0.02</v>
      </c>
      <c r="AD65">
        <v>0.02</v>
      </c>
      <c r="AE65">
        <v>0.08</v>
      </c>
      <c r="AF65">
        <v>0.08</v>
      </c>
      <c r="AG65">
        <v>0.5</v>
      </c>
      <c r="AH65">
        <v>0.5</v>
      </c>
      <c r="AS65">
        <f>SUM(Table1_1__2[[#This Row],[PFBA]:[PFMPA]])</f>
        <v>3.8390000000000009</v>
      </c>
      <c r="AT65">
        <f>LOG(Table1_1__2[[#This Row],[PFBA]])</f>
        <v>-1.0969100130080565</v>
      </c>
      <c r="AU65">
        <f>LOG(Table1_1__2[[#This Row],[PFPeA]])</f>
        <v>-0.88605664769316317</v>
      </c>
      <c r="AV65">
        <f>LOG(Table1_1__2[[#This Row],[PFHxA]])</f>
        <v>-0.77989191195994489</v>
      </c>
      <c r="AW65">
        <f>LOG(Table1_1__2[[#This Row],[PFHpA]])</f>
        <v>-1.3565473235138126</v>
      </c>
      <c r="AX65">
        <f>LOG(Table1_1__2[[#This Row],[PFOA]])</f>
        <v>-0.73754891026957059</v>
      </c>
      <c r="AY65">
        <f>LOG(Table1_1__2[[#This Row],[PFNA]])</f>
        <v>-1.6989700043360187</v>
      </c>
      <c r="AZ65">
        <f>LOG(Table1_1__2[[#This Row],[PFDA]])</f>
        <v>-1.6989700043360187</v>
      </c>
      <c r="BA65">
        <f>LOG(Table1_1__2[[#This Row],[PFUnA]])</f>
        <v>-1.6989700043360187</v>
      </c>
      <c r="BB65">
        <f>LOG(Table1_1__2[[#This Row],[PFDoA]])</f>
        <v>-1.6989700043360187</v>
      </c>
      <c r="BC65">
        <f>LOG(Table1_1__2[[#This Row],[PFTrDA]])</f>
        <v>-1.6989700043360187</v>
      </c>
      <c r="BD65">
        <f>LOG(Table1_1__2[[#This Row],[PFTeDA]])</f>
        <v>-1.6989700043360187</v>
      </c>
      <c r="BE65">
        <f>LOG(Table1_1__2[[#This Row],[PFBS]])</f>
        <v>-1.6989700043360187</v>
      </c>
      <c r="BF65">
        <f>LOG(Table1_1__2[[#This Row],[PFPeS]])</f>
        <v>-1.3979400086720375</v>
      </c>
      <c r="BG65">
        <f>LOG(Table1_1__2[[#This Row],[PFHxS]])</f>
        <v>-0.36051351073141397</v>
      </c>
      <c r="BH65">
        <f>LOG(Table1_1__2[[#This Row],[PFHpS]])</f>
        <v>-1.6989700043360187</v>
      </c>
      <c r="BI65">
        <f>LOG(Table1_1__2[[#This Row],[PFOS]])</f>
        <v>2.5305865264770262E-2</v>
      </c>
      <c r="BJ65">
        <f>LOG(Table1_1__2[[#This Row],[PFNS]])</f>
        <v>-1.6989700043360187</v>
      </c>
      <c r="BK65">
        <f>LOG(Table1_1__2[[#This Row],[PFDS]])</f>
        <v>-1.6989700043360187</v>
      </c>
      <c r="BL65">
        <f>LOG(Table1_1__2[[#This Row],[PFDoS]])</f>
        <v>-1.6989700043360187</v>
      </c>
      <c r="BM65">
        <f>LOG(Table1_1__2[[#This Row],[4:2 FTS]])</f>
        <v>-1.0969100130080565</v>
      </c>
      <c r="BN65">
        <f>LOG(Table1_1__2[[#This Row],[6:2 FTS]])</f>
        <v>-1.0969100130080565</v>
      </c>
      <c r="BO65">
        <f>LOG(Table1_1__2[[#This Row],[8:2 FTS]])</f>
        <v>-1.0969100130080565</v>
      </c>
      <c r="BP65">
        <f>LOG(Table1_1__2[[#This Row],[FOSA]])</f>
        <v>-1.6989700043360187</v>
      </c>
      <c r="BQ65">
        <f>LOG(Table1_1__2[[#This Row],[N-MeFOSA]])</f>
        <v>-1.6989700043360187</v>
      </c>
      <c r="BR65">
        <f>LOG(Table1_1__2[[#This Row],[N-MeFOSAA]])</f>
        <v>-1.6989700043360187</v>
      </c>
      <c r="BS65">
        <f>LOG(Table1_1__2[[#This Row],[N-EtFOSAA]])</f>
        <v>-1.6989700043360187</v>
      </c>
      <c r="BT65">
        <f>LOG(Table1_1__2[[#This Row],[ADONA]])</f>
        <v>-1.0969100130080565</v>
      </c>
      <c r="BU65">
        <f>LOG(Table1_1__2[[#This Row],[3:3 FTCA]])</f>
        <v>-1.0969100130080565</v>
      </c>
      <c r="BV65">
        <f>LOG(Table1_1__2[[#This Row],[5:3 FTCA]])</f>
        <v>-0.3010299956639812</v>
      </c>
      <c r="BW65">
        <f>LOG(Table1_1__2[[#This Row],[7:3 FTCA]])</f>
        <v>-0.3010299956639812</v>
      </c>
      <c r="BX65" t="e">
        <f>LOG(Table1_1__2[[#This Row],[N-EtFOSA]])</f>
        <v>#NUM!</v>
      </c>
      <c r="BY65" t="e">
        <f>LOG(Table1_1__2[[#This Row],[N-MeFOSE]])</f>
        <v>#NUM!</v>
      </c>
      <c r="BZ65" t="e">
        <f>LOG(Table1_1__2[[#This Row],[N-EtFOSE]])</f>
        <v>#NUM!</v>
      </c>
      <c r="CA65" t="e">
        <f>LOG(Table1_1__2[[#This Row],[HFPO-DA]])</f>
        <v>#NUM!</v>
      </c>
      <c r="CB65" t="e">
        <f>LOG(Table1_1__2[[#This Row],[PFMBA]])</f>
        <v>#NUM!</v>
      </c>
      <c r="CC65" t="e">
        <f>LOG(Table1_1__2[[#This Row],[NFDHA]])</f>
        <v>#NUM!</v>
      </c>
      <c r="CD65" t="e">
        <f>LOG(Table1_1__2[[#This Row],[9Cl-PF3ONS]])</f>
        <v>#NUM!</v>
      </c>
      <c r="CE65" t="e">
        <f>LOG(Table1_1__2[[#This Row],[11Cl-PF3OUdS]])</f>
        <v>#NUM!</v>
      </c>
      <c r="CF65" t="e">
        <f>LOG(Table1_1__2[[#This Row],[PFEESA]])</f>
        <v>#NUM!</v>
      </c>
      <c r="CG65" t="e">
        <f>LOG(Table1_1__2[[#This Row],[PFMPA]])</f>
        <v>#NUM!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D3141-3B5F-4342-980F-2C6E92E89870}">
  <dimension ref="A1:AN65"/>
  <sheetViews>
    <sheetView topLeftCell="T46" workbookViewId="0">
      <selection sqref="A1:AN65"/>
    </sheetView>
  </sheetViews>
  <sheetFormatPr defaultRowHeight="15.6" x14ac:dyDescent="0.3"/>
  <sheetData>
    <row r="1" spans="1:40" x14ac:dyDescent="0.3">
      <c r="A1" t="str">
        <f>_xlfn.CONCAT("log_",Table1_1__2[[#Headers],[PFBA]])</f>
        <v>log_PFBA</v>
      </c>
      <c r="B1" t="str">
        <f>_xlfn.CONCAT("log_",Table1_1__2[[#Headers],[PFPeA]])</f>
        <v>log_PFPeA</v>
      </c>
      <c r="C1" t="str">
        <f>_xlfn.CONCAT("log_",Table1_1__2[[#Headers],[PFHxA]])</f>
        <v>log_PFHxA</v>
      </c>
      <c r="D1" t="str">
        <f>_xlfn.CONCAT("log_",Table1_1__2[[#Headers],[PFHpA]])</f>
        <v>log_PFHpA</v>
      </c>
      <c r="E1" t="str">
        <f>_xlfn.CONCAT("log_",Table1_1__2[[#Headers],[PFOA]])</f>
        <v>log_PFOA</v>
      </c>
      <c r="F1" t="str">
        <f>_xlfn.CONCAT("log_",Table1_1__2[[#Headers],[PFNA]])</f>
        <v>log_PFNA</v>
      </c>
      <c r="G1" t="str">
        <f>_xlfn.CONCAT("log_",Table1_1__2[[#Headers],[PFDA]])</f>
        <v>log_PFDA</v>
      </c>
      <c r="H1" t="str">
        <f>_xlfn.CONCAT("log_",Table1_1__2[[#Headers],[PFUnA]])</f>
        <v>log_PFUnA</v>
      </c>
      <c r="I1" t="str">
        <f>_xlfn.CONCAT("log_",Table1_1__2[[#Headers],[PFDoA]])</f>
        <v>log_PFDoA</v>
      </c>
      <c r="J1" t="str">
        <f>_xlfn.CONCAT("log_",Table1_1__2[[#Headers],[PFTrDA]])</f>
        <v>log_PFTrDA</v>
      </c>
      <c r="K1" t="str">
        <f>_xlfn.CONCAT("log_",Table1_1__2[[#Headers],[PFTeDA]])</f>
        <v>log_PFTeDA</v>
      </c>
      <c r="L1" t="str">
        <f>_xlfn.CONCAT("log_",Table1_1__2[[#Headers],[PFBS]])</f>
        <v>log_PFBS</v>
      </c>
      <c r="M1" t="str">
        <f>_xlfn.CONCAT("log_",Table1_1__2[[#Headers],[PFPeS]])</f>
        <v>log_PFPeS</v>
      </c>
      <c r="N1" t="str">
        <f>_xlfn.CONCAT("log_",Table1_1__2[[#Headers],[PFHxS]])</f>
        <v>log_PFHxS</v>
      </c>
      <c r="O1" t="str">
        <f>_xlfn.CONCAT("log_",Table1_1__2[[#Headers],[PFHpS]])</f>
        <v>log_PFHpS</v>
      </c>
      <c r="P1" t="str">
        <f>_xlfn.CONCAT("log_",Table1_1__2[[#Headers],[PFOS]])</f>
        <v>log_PFOS</v>
      </c>
      <c r="Q1" t="str">
        <f>_xlfn.CONCAT("log_",Table1_1__2[[#Headers],[PFNS]])</f>
        <v>log_PFNS</v>
      </c>
      <c r="R1" t="str">
        <f>_xlfn.CONCAT("log_",Table1_1__2[[#Headers],[PFDS]])</f>
        <v>log_PFDS</v>
      </c>
      <c r="S1" t="str">
        <f>_xlfn.CONCAT("log_",Table1_1__2[[#Headers],[PFDoS]])</f>
        <v>log_PFDoS</v>
      </c>
      <c r="T1" t="str">
        <f>_xlfn.CONCAT("log_",Table1_1__2[[#Headers],[4:2 FTS]])</f>
        <v>log_4:2 FTS</v>
      </c>
      <c r="U1" t="str">
        <f>_xlfn.CONCAT("log_",Table1_1__2[[#Headers],[6:2 FTS]])</f>
        <v>log_6:2 FTS</v>
      </c>
      <c r="V1" t="str">
        <f>_xlfn.CONCAT("log_",Table1_1__2[[#Headers],[8:2 FTS]])</f>
        <v>log_8:2 FTS</v>
      </c>
      <c r="W1" t="str">
        <f>_xlfn.CONCAT("log_",Table1_1__2[[#Headers],[FOSA]])</f>
        <v>log_FOSA</v>
      </c>
      <c r="X1" t="str">
        <f>_xlfn.CONCAT("log_",Table1_1__2[[#Headers],[N-MeFOSA]])</f>
        <v>log_N-MeFOSA</v>
      </c>
      <c r="Y1" t="str">
        <f>_xlfn.CONCAT("log_",Table1_1__2[[#Headers],[N-MeFOSAA]])</f>
        <v>log_N-MeFOSAA</v>
      </c>
      <c r="Z1" t="str">
        <f>_xlfn.CONCAT("log_",Table1_1__2[[#Headers],[N-EtFOSAA]])</f>
        <v>log_N-EtFOSAA</v>
      </c>
      <c r="AA1" t="str">
        <f>_xlfn.CONCAT("log_",Table1_1__2[[#Headers],[ADONA]])</f>
        <v>log_ADONA</v>
      </c>
      <c r="AB1" t="str">
        <f>_xlfn.CONCAT("log_",Table1_1__2[[#Headers],[3:3 FTCA]])</f>
        <v>log_3:3 FTCA</v>
      </c>
      <c r="AC1" t="str">
        <f>_xlfn.CONCAT("log_",Table1_1__2[[#Headers],[5:3 FTCA]])</f>
        <v>log_5:3 FTCA</v>
      </c>
      <c r="AD1" t="str">
        <f>_xlfn.CONCAT("log_",Table1_1__2[[#Headers],[7:3 FTCA]])</f>
        <v>log_7:3 FTCA</v>
      </c>
      <c r="AE1" t="str">
        <f>_xlfn.CONCAT("log_",Table1_1__2[[#Headers],[N-EtFOSA]])</f>
        <v>log_N-EtFOSA</v>
      </c>
      <c r="AF1" t="str">
        <f>_xlfn.CONCAT("log_",Table1_1__2[[#Headers],[N-MeFOSE]])</f>
        <v>log_N-MeFOSE</v>
      </c>
      <c r="AG1" t="str">
        <f>_xlfn.CONCAT("log_",Table1_1__2[[#Headers],[N-EtFOSE]])</f>
        <v>log_N-EtFOSE</v>
      </c>
      <c r="AH1" t="str">
        <f>_xlfn.CONCAT("log_",Table1_1__2[[#Headers],[HFPO-DA]])</f>
        <v>log_HFPO-DA</v>
      </c>
      <c r="AI1" t="str">
        <f>_xlfn.CONCAT("log_",Table1_1__2[[#Headers],[PFMBA]])</f>
        <v>log_PFMBA</v>
      </c>
      <c r="AJ1" t="str">
        <f>_xlfn.CONCAT("log_",Table1_1__2[[#Headers],[NFDHA]])</f>
        <v>log_NFDHA</v>
      </c>
      <c r="AK1" t="str">
        <f>_xlfn.CONCAT("log_",Table1_1__2[[#Headers],[9Cl-PF3ONS]])</f>
        <v>log_9Cl-PF3ONS</v>
      </c>
      <c r="AL1" t="str">
        <f>_xlfn.CONCAT("log_",Table1_1__2[[#Headers],[11Cl-PF3OUdS]])</f>
        <v>log_11Cl-PF3OUdS</v>
      </c>
      <c r="AM1" t="str">
        <f>_xlfn.CONCAT("log_",Table1_1__2[[#Headers],[PFEESA]])</f>
        <v>log_PFEESA</v>
      </c>
      <c r="AN1" t="str">
        <f>_xlfn.CONCAT("log_",Table1_1__2[[#Headers],[PFMPA]])</f>
        <v>log_PFMPA</v>
      </c>
    </row>
    <row r="2" spans="1:40" x14ac:dyDescent="0.3">
      <c r="A2">
        <f>LOG(Table1_1__2[[#This Row],[PFBA]])</f>
        <v>-0.69897000433601875</v>
      </c>
      <c r="B2">
        <f>LOG(Table1_1__2[[#This Row],[PFPeA]])</f>
        <v>-1</v>
      </c>
      <c r="C2">
        <f>LOG(Table1_1__2[[#This Row],[PFHxA]])</f>
        <v>-0.79588001734407521</v>
      </c>
      <c r="D2">
        <f>LOG(Table1_1__2[[#This Row],[PFHpA]])</f>
        <v>-1.0457574905606752</v>
      </c>
      <c r="E2">
        <f>LOG(Table1_1__2[[#This Row],[PFOA]])</f>
        <v>-0.3979400086720376</v>
      </c>
      <c r="F2">
        <f>LOG(Table1_1__2[[#This Row],[PFNA]])</f>
        <v>-1.3010299956639813</v>
      </c>
      <c r="G2">
        <f>LOG(Table1_1__2[[#This Row],[PFDA]])</f>
        <v>-1.3010299956639813</v>
      </c>
      <c r="H2">
        <f>LOG(Table1_1__2[[#This Row],[PFUnA]])</f>
        <v>-1.3010299956639813</v>
      </c>
      <c r="I2">
        <f>LOG(Table1_1__2[[#This Row],[PFDoA]])</f>
        <v>-1.3010299956639813</v>
      </c>
      <c r="J2">
        <f>LOG(Table1_1__2[[#This Row],[PFTrDA]])</f>
        <v>-1.3010299956639813</v>
      </c>
      <c r="K2">
        <f>LOG(Table1_1__2[[#This Row],[PFTeDA]])</f>
        <v>-1.3010299956639813</v>
      </c>
      <c r="L2">
        <f>LOG(Table1_1__2[[#This Row],[PFBS]])</f>
        <v>-1.3010299956639813</v>
      </c>
      <c r="M2">
        <f>LOG(Table1_1__2[[#This Row],[PFPeS]])</f>
        <v>-1.3010299956639813</v>
      </c>
      <c r="N2">
        <f>LOG(Table1_1__2[[#This Row],[PFHxS]])</f>
        <v>-0.46852108295774486</v>
      </c>
      <c r="O2">
        <f>LOG(Table1_1__2[[#This Row],[PFHpS]])</f>
        <v>-1.3010299956639813</v>
      </c>
      <c r="P2">
        <f>LOG(Table1_1__2[[#This Row],[PFOS]])</f>
        <v>-2.6872146400301365E-2</v>
      </c>
      <c r="Q2">
        <f>LOG(Table1_1__2[[#This Row],[PFNS]])</f>
        <v>-1.3010299956639813</v>
      </c>
      <c r="R2">
        <f>LOG(Table1_1__2[[#This Row],[PFDS]])</f>
        <v>-1.3010299956639813</v>
      </c>
      <c r="S2">
        <f>LOG(Table1_1__2[[#This Row],[PFDoS]])</f>
        <v>-1.3010299956639813</v>
      </c>
      <c r="T2">
        <f>LOG(Table1_1__2[[#This Row],[4:2 FTS]])</f>
        <v>-0.69897000433601875</v>
      </c>
      <c r="U2">
        <f>LOG(Table1_1__2[[#This Row],[6:2 FTS]])</f>
        <v>-0.3979400086720376</v>
      </c>
      <c r="V2">
        <f>LOG(Table1_1__2[[#This Row],[8:2 FTS]])</f>
        <v>-0.3979400086720376</v>
      </c>
      <c r="W2">
        <f>LOG(Table1_1__2[[#This Row],[FOSA]])</f>
        <v>-1.0457574905606752</v>
      </c>
      <c r="X2">
        <f>LOG(Table1_1__2[[#This Row],[N-MeFOSA]])</f>
        <v>-1.3010299956639813</v>
      </c>
      <c r="Y2">
        <f>LOG(Table1_1__2[[#This Row],[N-MeFOSAA]])</f>
        <v>-1.3010299956639813</v>
      </c>
      <c r="Z2">
        <f>LOG(Table1_1__2[[#This Row],[N-EtFOSAA]])</f>
        <v>-1.3010299956639813</v>
      </c>
      <c r="AA2">
        <f>LOG(Table1_1__2[[#This Row],[ADONA]])</f>
        <v>-0.69897000433601875</v>
      </c>
      <c r="AB2">
        <f>LOG(Table1_1__2[[#This Row],[3:3 FTCA]])</f>
        <v>-0.6020599913279624</v>
      </c>
      <c r="AC2">
        <f>LOG(Table1_1__2[[#This Row],[5:3 FTCA]])</f>
        <v>9.691001300805642E-2</v>
      </c>
      <c r="AD2">
        <f>LOG(Table1_1__2[[#This Row],[7:3 FTCA]])</f>
        <v>9.691001300805642E-2</v>
      </c>
      <c r="AE2">
        <f>LOG(Table1_1__2[[#This Row],[N-EtFOSA]])</f>
        <v>-1.3010299956639813</v>
      </c>
      <c r="AF2">
        <f>LOG(Table1_1__2[[#This Row],[N-MeFOSE]])</f>
        <v>-0.3010299956639812</v>
      </c>
      <c r="AG2">
        <f>LOG(Table1_1__2[[#This Row],[N-EtFOSE]])</f>
        <v>-0.3010299956639812</v>
      </c>
      <c r="AH2">
        <f>LOG(Table1_1__2[[#This Row],[HFPO-DA]])</f>
        <v>-0.52287874528033762</v>
      </c>
      <c r="AI2">
        <f>LOG(Table1_1__2[[#This Row],[PFMBA]])</f>
        <v>-1</v>
      </c>
      <c r="AJ2">
        <f>LOG(Table1_1__2[[#This Row],[NFDHA]])</f>
        <v>-1</v>
      </c>
      <c r="AK2">
        <f>LOG(Table1_1__2[[#This Row],[9Cl-PF3ONS]])</f>
        <v>-0.69897000433601875</v>
      </c>
      <c r="AL2">
        <f>LOG(Table1_1__2[[#This Row],[11Cl-PF3OUdS]])</f>
        <v>-0.69897000433601875</v>
      </c>
      <c r="AM2">
        <f>LOG(Table1_1__2[[#This Row],[PFEESA]])</f>
        <v>-1</v>
      </c>
      <c r="AN2">
        <f>LOG(Table1_1__2[[#This Row],[PFMPA]])</f>
        <v>-1</v>
      </c>
    </row>
    <row r="3" spans="1:40" x14ac:dyDescent="0.3">
      <c r="A3">
        <f>LOG(Table1_1__2[[#This Row],[PFBA]])</f>
        <v>-0.69897000433601875</v>
      </c>
      <c r="B3">
        <f>LOG(Table1_1__2[[#This Row],[PFPeA]])</f>
        <v>-1</v>
      </c>
      <c r="C3">
        <f>LOG(Table1_1__2[[#This Row],[PFHxA]])</f>
        <v>-1.0457574905606752</v>
      </c>
      <c r="D3">
        <f>LOG(Table1_1__2[[#This Row],[PFHpA]])</f>
        <v>-1.0457574905606752</v>
      </c>
      <c r="E3">
        <f>LOG(Table1_1__2[[#This Row],[PFOA]])</f>
        <v>-1.1674910872937636</v>
      </c>
      <c r="F3">
        <f>LOG(Table1_1__2[[#This Row],[PFNA]])</f>
        <v>-1.3053948010664314</v>
      </c>
      <c r="G3">
        <f>LOG(Table1_1__2[[#This Row],[PFDA]])</f>
        <v>-1.3053948010664314</v>
      </c>
      <c r="H3">
        <f>LOG(Table1_1__2[[#This Row],[PFUnA]])</f>
        <v>-1.3053948010664314</v>
      </c>
      <c r="I3">
        <f>LOG(Table1_1__2[[#This Row],[PFDoA]])</f>
        <v>-1.3053948010664314</v>
      </c>
      <c r="J3">
        <f>LOG(Table1_1__2[[#This Row],[PFTrDA]])</f>
        <v>-1.3053948010664314</v>
      </c>
      <c r="K3">
        <f>LOG(Table1_1__2[[#This Row],[PFTeDA]])</f>
        <v>-1.3053948010664314</v>
      </c>
      <c r="L3">
        <f>LOG(Table1_1__2[[#This Row],[PFBS]])</f>
        <v>-1.3053948010664314</v>
      </c>
      <c r="M3">
        <f>LOG(Table1_1__2[[#This Row],[PFPeS]])</f>
        <v>-1.3053948010664314</v>
      </c>
      <c r="N3">
        <f>LOG(Table1_1__2[[#This Row],[PFHxS]])</f>
        <v>-0.6777807052660807</v>
      </c>
      <c r="O3">
        <f>LOG(Table1_1__2[[#This Row],[PFHpS]])</f>
        <v>-1.3053948010664314</v>
      </c>
      <c r="P3">
        <f>LOG(Table1_1__2[[#This Row],[PFOS]])</f>
        <v>7.9181246047624818E-2</v>
      </c>
      <c r="Q3">
        <f>LOG(Table1_1__2[[#This Row],[PFNS]])</f>
        <v>-1.3053948010664314</v>
      </c>
      <c r="R3">
        <f>LOG(Table1_1__2[[#This Row],[PFDS]])</f>
        <v>-1.3053948010664314</v>
      </c>
      <c r="S3">
        <f>LOG(Table1_1__2[[#This Row],[PFDoS]])</f>
        <v>-1.3053948010664314</v>
      </c>
      <c r="T3">
        <f>LOG(Table1_1__2[[#This Row],[4:2 FTS]])</f>
        <v>-0.69897000433601875</v>
      </c>
      <c r="U3">
        <f>LOG(Table1_1__2[[#This Row],[6:2 FTS]])</f>
        <v>-0.40340290437353976</v>
      </c>
      <c r="V3">
        <f>LOG(Table1_1__2[[#This Row],[8:2 FTS]])</f>
        <v>-0.40340290437353976</v>
      </c>
      <c r="W3">
        <f>LOG(Table1_1__2[[#This Row],[FOSA]])</f>
        <v>-0.85387196432176193</v>
      </c>
      <c r="X3">
        <f>LOG(Table1_1__2[[#This Row],[N-MeFOSA]])</f>
        <v>-1.3053948010664314</v>
      </c>
      <c r="Y3">
        <f>LOG(Table1_1__2[[#This Row],[N-MeFOSAA]])</f>
        <v>-1.3053948010664314</v>
      </c>
      <c r="Z3">
        <f>LOG(Table1_1__2[[#This Row],[N-EtFOSAA]])</f>
        <v>-1.3053948010664314</v>
      </c>
      <c r="AA3">
        <f>LOG(Table1_1__2[[#This Row],[ADONA]])</f>
        <v>-0.69897000433601875</v>
      </c>
      <c r="AB3">
        <f>LOG(Table1_1__2[[#This Row],[3:3 FTCA]])</f>
        <v>-0.61083391563546752</v>
      </c>
      <c r="AC3">
        <f>LOG(Table1_1__2[[#This Row],[5:3 FTCA]])</f>
        <v>9.691001300805642E-2</v>
      </c>
      <c r="AD3">
        <f>LOG(Table1_1__2[[#This Row],[7:3 FTCA]])</f>
        <v>9.691001300805642E-2</v>
      </c>
      <c r="AE3">
        <f>LOG(Table1_1__2[[#This Row],[N-EtFOSA]])</f>
        <v>-1.3053948010664314</v>
      </c>
      <c r="AF3">
        <f>LOG(Table1_1__2[[#This Row],[N-MeFOSE]])</f>
        <v>-0.3053948010664313</v>
      </c>
      <c r="AG3">
        <f>LOG(Table1_1__2[[#This Row],[N-EtFOSE]])</f>
        <v>-0.3053948010664313</v>
      </c>
      <c r="AH3">
        <f>LOG(Table1_1__2[[#This Row],[HFPO-DA]])</f>
        <v>-0.53017798402183702</v>
      </c>
      <c r="AI3">
        <f>LOG(Table1_1__2[[#This Row],[PFMBA]])</f>
        <v>-1</v>
      </c>
      <c r="AJ3">
        <f>LOG(Table1_1__2[[#This Row],[NFDHA]])</f>
        <v>-1</v>
      </c>
      <c r="AK3">
        <f>LOG(Table1_1__2[[#This Row],[9Cl-PF3ONS]])</f>
        <v>-0.69897000433601875</v>
      </c>
      <c r="AL3">
        <f>LOG(Table1_1__2[[#This Row],[11Cl-PF3OUdS]])</f>
        <v>-0.69897000433601875</v>
      </c>
      <c r="AM3">
        <f>LOG(Table1_1__2[[#This Row],[PFEESA]])</f>
        <v>-1</v>
      </c>
      <c r="AN3">
        <f>LOG(Table1_1__2[[#This Row],[PFMPA]])</f>
        <v>-1</v>
      </c>
    </row>
    <row r="4" spans="1:40" x14ac:dyDescent="0.3">
      <c r="A4">
        <f>LOG(Table1_1__2[[#This Row],[PFBA]])</f>
        <v>-0.69897000433601875</v>
      </c>
      <c r="B4">
        <f>LOG(Table1_1__2[[#This Row],[PFPeA]])</f>
        <v>-1</v>
      </c>
      <c r="C4">
        <f>LOG(Table1_1__2[[#This Row],[PFHxA]])</f>
        <v>-1.0457574905606752</v>
      </c>
      <c r="D4">
        <f>LOG(Table1_1__2[[#This Row],[PFHpA]])</f>
        <v>-1.0457574905606752</v>
      </c>
      <c r="E4">
        <f>LOG(Table1_1__2[[#This Row],[PFOA]])</f>
        <v>-1</v>
      </c>
      <c r="F4">
        <f>LOG(Table1_1__2[[#This Row],[PFNA]])</f>
        <v>-1.3010299956639813</v>
      </c>
      <c r="G4">
        <f>LOG(Table1_1__2[[#This Row],[PFDA]])</f>
        <v>-1.3010299956639813</v>
      </c>
      <c r="H4">
        <f>LOG(Table1_1__2[[#This Row],[PFUnA]])</f>
        <v>-1.3010299956639813</v>
      </c>
      <c r="I4">
        <f>LOG(Table1_1__2[[#This Row],[PFDoA]])</f>
        <v>-1.3010299956639813</v>
      </c>
      <c r="J4">
        <f>LOG(Table1_1__2[[#This Row],[PFTrDA]])</f>
        <v>-1.3010299956639813</v>
      </c>
      <c r="K4">
        <f>LOG(Table1_1__2[[#This Row],[PFTeDA]])</f>
        <v>-1.3010299956639813</v>
      </c>
      <c r="L4">
        <f>LOG(Table1_1__2[[#This Row],[PFBS]])</f>
        <v>-1.3010299956639813</v>
      </c>
      <c r="M4">
        <f>LOG(Table1_1__2[[#This Row],[PFPeS]])</f>
        <v>-1.3010299956639813</v>
      </c>
      <c r="N4">
        <f>LOG(Table1_1__2[[#This Row],[PFHxS]])</f>
        <v>-0.46852108295774486</v>
      </c>
      <c r="O4">
        <f>LOG(Table1_1__2[[#This Row],[PFHpS]])</f>
        <v>-1.3010299956639813</v>
      </c>
      <c r="P4">
        <f>LOG(Table1_1__2[[#This Row],[PFOS]])</f>
        <v>0.11394335230683679</v>
      </c>
      <c r="Q4">
        <f>LOG(Table1_1__2[[#This Row],[PFNS]])</f>
        <v>-1.3010299956639813</v>
      </c>
      <c r="R4">
        <f>LOG(Table1_1__2[[#This Row],[PFDS]])</f>
        <v>-1.3010299956639813</v>
      </c>
      <c r="S4">
        <f>LOG(Table1_1__2[[#This Row],[PFDoS]])</f>
        <v>-1.3010299956639813</v>
      </c>
      <c r="T4">
        <f>LOG(Table1_1__2[[#This Row],[4:2 FTS]])</f>
        <v>-0.69897000433601875</v>
      </c>
      <c r="U4">
        <f>LOG(Table1_1__2[[#This Row],[6:2 FTS]])</f>
        <v>-0.3979400086720376</v>
      </c>
      <c r="V4">
        <f>LOG(Table1_1__2[[#This Row],[8:2 FTS]])</f>
        <v>-0.3979400086720376</v>
      </c>
      <c r="W4">
        <f>LOG(Table1_1__2[[#This Row],[FOSA]])</f>
        <v>-1.0457574905606752</v>
      </c>
      <c r="X4">
        <f>LOG(Table1_1__2[[#This Row],[N-MeFOSA]])</f>
        <v>-1.3010299956639813</v>
      </c>
      <c r="Y4">
        <f>LOG(Table1_1__2[[#This Row],[N-MeFOSAA]])</f>
        <v>-1.3010299956639813</v>
      </c>
      <c r="Z4">
        <f>LOG(Table1_1__2[[#This Row],[N-EtFOSAA]])</f>
        <v>-1.3010299956639813</v>
      </c>
      <c r="AA4">
        <f>LOG(Table1_1__2[[#This Row],[ADONA]])</f>
        <v>-0.69897000433601875</v>
      </c>
      <c r="AB4">
        <f>LOG(Table1_1__2[[#This Row],[3:3 FTCA]])</f>
        <v>-0.6020599913279624</v>
      </c>
      <c r="AC4">
        <f>LOG(Table1_1__2[[#This Row],[5:3 FTCA]])</f>
        <v>9.691001300805642E-2</v>
      </c>
      <c r="AD4">
        <f>LOG(Table1_1__2[[#This Row],[7:3 FTCA]])</f>
        <v>9.691001300805642E-2</v>
      </c>
      <c r="AE4">
        <f>LOG(Table1_1__2[[#This Row],[N-EtFOSA]])</f>
        <v>-1.3010299956639813</v>
      </c>
      <c r="AF4">
        <f>LOG(Table1_1__2[[#This Row],[N-MeFOSE]])</f>
        <v>-0.3010299956639812</v>
      </c>
      <c r="AG4">
        <f>LOG(Table1_1__2[[#This Row],[N-EtFOSE]])</f>
        <v>-0.3010299956639812</v>
      </c>
      <c r="AH4">
        <f>LOG(Table1_1__2[[#This Row],[HFPO-DA]])</f>
        <v>-0.52287874528033762</v>
      </c>
      <c r="AI4">
        <f>LOG(Table1_1__2[[#This Row],[PFMBA]])</f>
        <v>-1</v>
      </c>
      <c r="AJ4">
        <f>LOG(Table1_1__2[[#This Row],[NFDHA]])</f>
        <v>-1</v>
      </c>
      <c r="AK4">
        <f>LOG(Table1_1__2[[#This Row],[9Cl-PF3ONS]])</f>
        <v>-0.69897000433601875</v>
      </c>
      <c r="AL4">
        <f>LOG(Table1_1__2[[#This Row],[11Cl-PF3OUdS]])</f>
        <v>-0.69897000433601875</v>
      </c>
      <c r="AM4">
        <f>LOG(Table1_1__2[[#This Row],[PFEESA]])</f>
        <v>-1</v>
      </c>
      <c r="AN4">
        <f>LOG(Table1_1__2[[#This Row],[PFMPA]])</f>
        <v>-1</v>
      </c>
    </row>
    <row r="5" spans="1:40" x14ac:dyDescent="0.3">
      <c r="A5">
        <f>LOG(Table1_1__2[[#This Row],[PFBA]])</f>
        <v>-0.69897000433601875</v>
      </c>
      <c r="B5">
        <f>LOG(Table1_1__2[[#This Row],[PFPeA]])</f>
        <v>-1</v>
      </c>
      <c r="C5">
        <f>LOG(Table1_1__2[[#This Row],[PFHxA]])</f>
        <v>-1.0457574905606752</v>
      </c>
      <c r="D5">
        <f>LOG(Table1_1__2[[#This Row],[PFHpA]])</f>
        <v>-1.0457574905606752</v>
      </c>
      <c r="E5">
        <f>LOG(Table1_1__2[[#This Row],[PFOA]])</f>
        <v>-0.85387196432176193</v>
      </c>
      <c r="F5">
        <f>LOG(Table1_1__2[[#This Row],[PFNA]])</f>
        <v>-1.3010299956639813</v>
      </c>
      <c r="G5">
        <f>LOG(Table1_1__2[[#This Row],[PFDA]])</f>
        <v>-1.3010299956639813</v>
      </c>
      <c r="H5">
        <f>LOG(Table1_1__2[[#This Row],[PFUnA]])</f>
        <v>-1.3010299956639813</v>
      </c>
      <c r="I5">
        <f>LOG(Table1_1__2[[#This Row],[PFDoA]])</f>
        <v>-1.3010299956639813</v>
      </c>
      <c r="J5">
        <f>LOG(Table1_1__2[[#This Row],[PFTrDA]])</f>
        <v>-1.3010299956639813</v>
      </c>
      <c r="K5">
        <f>LOG(Table1_1__2[[#This Row],[PFTeDA]])</f>
        <v>-1.3010299956639813</v>
      </c>
      <c r="L5">
        <f>LOG(Table1_1__2[[#This Row],[PFBS]])</f>
        <v>-1.3010299956639813</v>
      </c>
      <c r="M5">
        <f>LOG(Table1_1__2[[#This Row],[PFPeS]])</f>
        <v>-1.3010299956639813</v>
      </c>
      <c r="N5">
        <f>LOG(Table1_1__2[[#This Row],[PFHxS]])</f>
        <v>-0.74472749489669399</v>
      </c>
      <c r="O5">
        <f>LOG(Table1_1__2[[#This Row],[PFHpS]])</f>
        <v>-1.3010299956639813</v>
      </c>
      <c r="P5">
        <f>LOG(Table1_1__2[[#This Row],[PFOS]])</f>
        <v>-0.10790539730951958</v>
      </c>
      <c r="Q5">
        <f>LOG(Table1_1__2[[#This Row],[PFNS]])</f>
        <v>-1.3010299956639813</v>
      </c>
      <c r="R5">
        <f>LOG(Table1_1__2[[#This Row],[PFDS]])</f>
        <v>-1.3010299956639813</v>
      </c>
      <c r="S5">
        <f>LOG(Table1_1__2[[#This Row],[PFDoS]])</f>
        <v>-1.3010299956639813</v>
      </c>
      <c r="T5">
        <f>LOG(Table1_1__2[[#This Row],[4:2 FTS]])</f>
        <v>-0.69897000433601875</v>
      </c>
      <c r="U5">
        <f>LOG(Table1_1__2[[#This Row],[6:2 FTS]])</f>
        <v>-0.3979400086720376</v>
      </c>
      <c r="V5">
        <f>LOG(Table1_1__2[[#This Row],[8:2 FTS]])</f>
        <v>-0.3979400086720376</v>
      </c>
      <c r="W5">
        <f>LOG(Table1_1__2[[#This Row],[FOSA]])</f>
        <v>-1.0457574905606752</v>
      </c>
      <c r="X5">
        <f>LOG(Table1_1__2[[#This Row],[N-MeFOSA]])</f>
        <v>-1.3010299956639813</v>
      </c>
      <c r="Y5">
        <f>LOG(Table1_1__2[[#This Row],[N-MeFOSAA]])</f>
        <v>-1.3010299956639813</v>
      </c>
      <c r="Z5">
        <f>LOG(Table1_1__2[[#This Row],[N-EtFOSAA]])</f>
        <v>-1.3010299956639813</v>
      </c>
      <c r="AA5">
        <f>LOG(Table1_1__2[[#This Row],[ADONA]])</f>
        <v>-0.69897000433601875</v>
      </c>
      <c r="AB5">
        <f>LOG(Table1_1__2[[#This Row],[3:3 FTCA]])</f>
        <v>-0.6020599913279624</v>
      </c>
      <c r="AC5">
        <f>LOG(Table1_1__2[[#This Row],[5:3 FTCA]])</f>
        <v>9.691001300805642E-2</v>
      </c>
      <c r="AD5">
        <f>LOG(Table1_1__2[[#This Row],[7:3 FTCA]])</f>
        <v>9.691001300805642E-2</v>
      </c>
      <c r="AE5">
        <f>LOG(Table1_1__2[[#This Row],[N-EtFOSA]])</f>
        <v>-1.3010299956639813</v>
      </c>
      <c r="AF5">
        <f>LOG(Table1_1__2[[#This Row],[N-MeFOSE]])</f>
        <v>-0.3010299956639812</v>
      </c>
      <c r="AG5">
        <f>LOG(Table1_1__2[[#This Row],[N-EtFOSE]])</f>
        <v>-0.3010299956639812</v>
      </c>
      <c r="AH5">
        <f>LOG(Table1_1__2[[#This Row],[HFPO-DA]])</f>
        <v>-0.52287874528033762</v>
      </c>
      <c r="AI5">
        <f>LOG(Table1_1__2[[#This Row],[PFMBA]])</f>
        <v>-1</v>
      </c>
      <c r="AJ5">
        <f>LOG(Table1_1__2[[#This Row],[NFDHA]])</f>
        <v>-1</v>
      </c>
      <c r="AK5">
        <f>LOG(Table1_1__2[[#This Row],[9Cl-PF3ONS]])</f>
        <v>-0.69897000433601875</v>
      </c>
      <c r="AL5">
        <f>LOG(Table1_1__2[[#This Row],[11Cl-PF3OUdS]])</f>
        <v>-0.69897000433601875</v>
      </c>
      <c r="AM5">
        <f>LOG(Table1_1__2[[#This Row],[PFEESA]])</f>
        <v>-1</v>
      </c>
      <c r="AN5">
        <f>LOG(Table1_1__2[[#This Row],[PFMPA]])</f>
        <v>-1</v>
      </c>
    </row>
    <row r="6" spans="1:40" x14ac:dyDescent="0.3">
      <c r="A6">
        <f>LOG(Table1_1__2[[#This Row],[PFBA]])</f>
        <v>-1.0969100130080565</v>
      </c>
      <c r="B6">
        <f>LOG(Table1_1__2[[#This Row],[PFPeA]])</f>
        <v>-1.3979400086720375</v>
      </c>
      <c r="C6">
        <f>LOG(Table1_1__2[[#This Row],[PFHxA]])</f>
        <v>-0.769551078621726</v>
      </c>
      <c r="D6">
        <f>LOG(Table1_1__2[[#This Row],[PFHpA]])</f>
        <v>-1.6989700043360187</v>
      </c>
      <c r="E6">
        <f>LOG(Table1_1__2[[#This Row],[PFOA]])</f>
        <v>-0.4788619162959637</v>
      </c>
      <c r="F6">
        <f>LOG(Table1_1__2[[#This Row],[PFNA]])</f>
        <v>-1.1804560644581312</v>
      </c>
      <c r="G6">
        <f>LOG(Table1_1__2[[#This Row],[PFDA]])</f>
        <v>-1.6989700043360187</v>
      </c>
      <c r="H6">
        <f>LOG(Table1_1__2[[#This Row],[PFUnA]])</f>
        <v>-1.6989700043360187</v>
      </c>
      <c r="I6">
        <f>LOG(Table1_1__2[[#This Row],[PFDoA]])</f>
        <v>-1.6989700043360187</v>
      </c>
      <c r="J6">
        <f>LOG(Table1_1__2[[#This Row],[PFTrDA]])</f>
        <v>-1.6989700043360187</v>
      </c>
      <c r="K6">
        <f>LOG(Table1_1__2[[#This Row],[PFTeDA]])</f>
        <v>-1.6989700043360187</v>
      </c>
      <c r="L6">
        <f>LOG(Table1_1__2[[#This Row],[PFBS]])</f>
        <v>-1.6989700043360187</v>
      </c>
      <c r="M6">
        <f>LOG(Table1_1__2[[#This Row],[PFPeS]])</f>
        <v>-1.6989700043360187</v>
      </c>
      <c r="N6">
        <f>LOG(Table1_1__2[[#This Row],[PFHxS]])</f>
        <v>-0.48148606012211248</v>
      </c>
      <c r="O6">
        <f>LOG(Table1_1__2[[#This Row],[PFHpS]])</f>
        <v>-1.6989700043360187</v>
      </c>
      <c r="P6">
        <f>LOG(Table1_1__2[[#This Row],[PFOS]])</f>
        <v>-1.2333735073725434E-2</v>
      </c>
      <c r="Q6">
        <f>LOG(Table1_1__2[[#This Row],[PFNS]])</f>
        <v>-1.6989700043360187</v>
      </c>
      <c r="R6">
        <f>LOG(Table1_1__2[[#This Row],[PFDS]])</f>
        <v>-1.6989700043360187</v>
      </c>
      <c r="S6">
        <f>LOG(Table1_1__2[[#This Row],[PFDoS]])</f>
        <v>-1.6989700043360187</v>
      </c>
      <c r="T6">
        <f>LOG(Table1_1__2[[#This Row],[4:2 FTS]])</f>
        <v>-1.0969100130080565</v>
      </c>
      <c r="U6">
        <f>LOG(Table1_1__2[[#This Row],[6:2 FTS]])</f>
        <v>-1.0969100130080565</v>
      </c>
      <c r="V6">
        <f>LOG(Table1_1__2[[#This Row],[8:2 FTS]])</f>
        <v>-1.0969100130080565</v>
      </c>
      <c r="W6">
        <f>LOG(Table1_1__2[[#This Row],[FOSA]])</f>
        <v>-1.6989700043360187</v>
      </c>
      <c r="X6">
        <f>LOG(Table1_1__2[[#This Row],[N-MeFOSA]])</f>
        <v>-1.6989700043360187</v>
      </c>
      <c r="Y6">
        <f>LOG(Table1_1__2[[#This Row],[N-MeFOSAA]])</f>
        <v>-1.6989700043360187</v>
      </c>
      <c r="Z6">
        <f>LOG(Table1_1__2[[#This Row],[N-EtFOSAA]])</f>
        <v>-1.6989700043360187</v>
      </c>
      <c r="AA6">
        <f>LOG(Table1_1__2[[#This Row],[ADONA]])</f>
        <v>-1.0969100130080565</v>
      </c>
      <c r="AB6">
        <f>LOG(Table1_1__2[[#This Row],[3:3 FTCA]])</f>
        <v>-1.0969100130080565</v>
      </c>
      <c r="AC6">
        <f>LOG(Table1_1__2[[#This Row],[5:3 FTCA]])</f>
        <v>-0.3010299956639812</v>
      </c>
      <c r="AD6">
        <f>LOG(Table1_1__2[[#This Row],[7:3 FTCA]])</f>
        <v>-0.3010299956639812</v>
      </c>
      <c r="AE6" t="e">
        <f>LOG(Table1_1__2[[#This Row],[N-EtFOSA]])</f>
        <v>#NUM!</v>
      </c>
      <c r="AF6" t="e">
        <f>LOG(Table1_1__2[[#This Row],[N-MeFOSE]])</f>
        <v>#NUM!</v>
      </c>
      <c r="AG6" t="e">
        <f>LOG(Table1_1__2[[#This Row],[N-EtFOSE]])</f>
        <v>#NUM!</v>
      </c>
      <c r="AH6" t="e">
        <f>LOG(Table1_1__2[[#This Row],[HFPO-DA]])</f>
        <v>#NUM!</v>
      </c>
      <c r="AI6" t="e">
        <f>LOG(Table1_1__2[[#This Row],[PFMBA]])</f>
        <v>#NUM!</v>
      </c>
      <c r="AJ6" t="e">
        <f>LOG(Table1_1__2[[#This Row],[NFDHA]])</f>
        <v>#NUM!</v>
      </c>
      <c r="AK6" t="e">
        <f>LOG(Table1_1__2[[#This Row],[9Cl-PF3ONS]])</f>
        <v>#NUM!</v>
      </c>
      <c r="AL6" t="e">
        <f>LOG(Table1_1__2[[#This Row],[11Cl-PF3OUdS]])</f>
        <v>#NUM!</v>
      </c>
      <c r="AM6" t="e">
        <f>LOG(Table1_1__2[[#This Row],[PFEESA]])</f>
        <v>#NUM!</v>
      </c>
      <c r="AN6" t="e">
        <f>LOG(Table1_1__2[[#This Row],[PFMPA]])</f>
        <v>#NUM!</v>
      </c>
    </row>
    <row r="7" spans="1:40" x14ac:dyDescent="0.3">
      <c r="A7">
        <f>LOG(Table1_1__2[[#This Row],[PFBA]])</f>
        <v>-1.0969100130080565</v>
      </c>
      <c r="B7">
        <f>LOG(Table1_1__2[[#This Row],[PFPeA]])</f>
        <v>-0.97469413473522981</v>
      </c>
      <c r="C7">
        <f>LOG(Table1_1__2[[#This Row],[PFHxA]])</f>
        <v>-0.4934949675951279</v>
      </c>
      <c r="D7">
        <f>LOG(Table1_1__2[[#This Row],[PFHpA]])</f>
        <v>-1.4202164033831899</v>
      </c>
      <c r="E7">
        <f>LOG(Table1_1__2[[#This Row],[PFOA]])</f>
        <v>-1.0362121726544447</v>
      </c>
      <c r="F7">
        <f>LOG(Table1_1__2[[#This Row],[PFNA]])</f>
        <v>-1.3010299956639813</v>
      </c>
      <c r="G7">
        <f>LOG(Table1_1__2[[#This Row],[PFDA]])</f>
        <v>-1.6989700043360187</v>
      </c>
      <c r="H7">
        <f>LOG(Table1_1__2[[#This Row],[PFUnA]])</f>
        <v>-1.431798275933005</v>
      </c>
      <c r="I7">
        <f>LOG(Table1_1__2[[#This Row],[PFDoA]])</f>
        <v>-1.4814860601221125</v>
      </c>
      <c r="J7">
        <f>LOG(Table1_1__2[[#This Row],[PFTrDA]])</f>
        <v>-1.6989700043360187</v>
      </c>
      <c r="K7">
        <f>LOG(Table1_1__2[[#This Row],[PFTeDA]])</f>
        <v>-1.6989700043360187</v>
      </c>
      <c r="L7">
        <f>LOG(Table1_1__2[[#This Row],[PFBS]])</f>
        <v>-1.6989700043360187</v>
      </c>
      <c r="M7">
        <f>LOG(Table1_1__2[[#This Row],[PFPeS]])</f>
        <v>-1.6989700043360187</v>
      </c>
      <c r="N7">
        <f>LOG(Table1_1__2[[#This Row],[PFHxS]])</f>
        <v>-0.72124639904717103</v>
      </c>
      <c r="O7">
        <f>LOG(Table1_1__2[[#This Row],[PFHpS]])</f>
        <v>-1.6989700043360187</v>
      </c>
      <c r="P7">
        <f>LOG(Table1_1__2[[#This Row],[PFOS]])</f>
        <v>1.703333929878037E-2</v>
      </c>
      <c r="Q7">
        <f>LOG(Table1_1__2[[#This Row],[PFNS]])</f>
        <v>-1.6989700043360187</v>
      </c>
      <c r="R7">
        <f>LOG(Table1_1__2[[#This Row],[PFDS]])</f>
        <v>-1.6989700043360187</v>
      </c>
      <c r="S7">
        <f>LOG(Table1_1__2[[#This Row],[PFDoS]])</f>
        <v>-1.6989700043360187</v>
      </c>
      <c r="T7">
        <f>LOG(Table1_1__2[[#This Row],[4:2 FTS]])</f>
        <v>-1.0969100130080565</v>
      </c>
      <c r="U7">
        <f>LOG(Table1_1__2[[#This Row],[6:2 FTS]])</f>
        <v>-0.82102305270683062</v>
      </c>
      <c r="V7">
        <f>LOG(Table1_1__2[[#This Row],[8:2 FTS]])</f>
        <v>-1.0969100130080565</v>
      </c>
      <c r="W7">
        <f>LOG(Table1_1__2[[#This Row],[FOSA]])</f>
        <v>-0.74472749489669399</v>
      </c>
      <c r="X7">
        <f>LOG(Table1_1__2[[#This Row],[N-MeFOSA]])</f>
        <v>-1.6989700043360187</v>
      </c>
      <c r="Y7">
        <f>LOG(Table1_1__2[[#This Row],[N-MeFOSAA]])</f>
        <v>-1.6989700043360187</v>
      </c>
      <c r="Z7">
        <f>LOG(Table1_1__2[[#This Row],[N-EtFOSAA]])</f>
        <v>-1.6989700043360187</v>
      </c>
      <c r="AA7">
        <f>LOG(Table1_1__2[[#This Row],[ADONA]])</f>
        <v>-1.0969100130080565</v>
      </c>
      <c r="AB7">
        <f>LOG(Table1_1__2[[#This Row],[3:3 FTCA]])</f>
        <v>-1.0969100130080565</v>
      </c>
      <c r="AC7">
        <f>LOG(Table1_1__2[[#This Row],[5:3 FTCA]])</f>
        <v>-0.3010299956639812</v>
      </c>
      <c r="AD7">
        <f>LOG(Table1_1__2[[#This Row],[7:3 FTCA]])</f>
        <v>-0.3010299956639812</v>
      </c>
      <c r="AE7" t="e">
        <f>LOG(Table1_1__2[[#This Row],[N-EtFOSA]])</f>
        <v>#NUM!</v>
      </c>
      <c r="AF7" t="e">
        <f>LOG(Table1_1__2[[#This Row],[N-MeFOSE]])</f>
        <v>#NUM!</v>
      </c>
      <c r="AG7" t="e">
        <f>LOG(Table1_1__2[[#This Row],[N-EtFOSE]])</f>
        <v>#NUM!</v>
      </c>
      <c r="AH7" t="e">
        <f>LOG(Table1_1__2[[#This Row],[HFPO-DA]])</f>
        <v>#NUM!</v>
      </c>
      <c r="AI7" t="e">
        <f>LOG(Table1_1__2[[#This Row],[PFMBA]])</f>
        <v>#NUM!</v>
      </c>
      <c r="AJ7" t="e">
        <f>LOG(Table1_1__2[[#This Row],[NFDHA]])</f>
        <v>#NUM!</v>
      </c>
      <c r="AK7" t="e">
        <f>LOG(Table1_1__2[[#This Row],[9Cl-PF3ONS]])</f>
        <v>#NUM!</v>
      </c>
      <c r="AL7" t="e">
        <f>LOG(Table1_1__2[[#This Row],[11Cl-PF3OUdS]])</f>
        <v>#NUM!</v>
      </c>
      <c r="AM7" t="e">
        <f>LOG(Table1_1__2[[#This Row],[PFEESA]])</f>
        <v>#NUM!</v>
      </c>
      <c r="AN7" t="e">
        <f>LOG(Table1_1__2[[#This Row],[PFMPA]])</f>
        <v>#NUM!</v>
      </c>
    </row>
    <row r="8" spans="1:40" x14ac:dyDescent="0.3">
      <c r="A8">
        <f>LOG(Table1_1__2[[#This Row],[PFBA]])</f>
        <v>-1.0969100130080565</v>
      </c>
      <c r="B8">
        <f>LOG(Table1_1__2[[#This Row],[PFPeA]])</f>
        <v>-1.0409586076789064</v>
      </c>
      <c r="C8">
        <f>LOG(Table1_1__2[[#This Row],[PFHxA]])</f>
        <v>-0.55284196865778079</v>
      </c>
      <c r="D8">
        <f>LOG(Table1_1__2[[#This Row],[PFHpA]])</f>
        <v>-1.4089353929735009</v>
      </c>
      <c r="E8">
        <f>LOG(Table1_1__2[[#This Row],[PFOA]])</f>
        <v>-0.89619627904404309</v>
      </c>
      <c r="F8">
        <f>LOG(Table1_1__2[[#This Row],[PFNA]])</f>
        <v>-1.2757241303992111</v>
      </c>
      <c r="G8">
        <f>LOG(Table1_1__2[[#This Row],[PFDA]])</f>
        <v>-1.6989700043360187</v>
      </c>
      <c r="H8">
        <f>LOG(Table1_1__2[[#This Row],[PFUnA]])</f>
        <v>-1.6989700043360187</v>
      </c>
      <c r="I8">
        <f>LOG(Table1_1__2[[#This Row],[PFDoA]])</f>
        <v>-1.6989700043360187</v>
      </c>
      <c r="J8">
        <f>LOG(Table1_1__2[[#This Row],[PFTrDA]])</f>
        <v>-1.6989700043360187</v>
      </c>
      <c r="K8">
        <f>LOG(Table1_1__2[[#This Row],[PFTeDA]])</f>
        <v>-1.6989700043360187</v>
      </c>
      <c r="L8">
        <f>LOG(Table1_1__2[[#This Row],[PFBS]])</f>
        <v>-1.6989700043360187</v>
      </c>
      <c r="M8">
        <f>LOG(Table1_1__2[[#This Row],[PFPeS]])</f>
        <v>-1.6989700043360187</v>
      </c>
      <c r="N8">
        <f>LOG(Table1_1__2[[#This Row],[PFHxS]])</f>
        <v>-0.30980391997148632</v>
      </c>
      <c r="O8">
        <f>LOG(Table1_1__2[[#This Row],[PFHpS]])</f>
        <v>-1.6989700043360187</v>
      </c>
      <c r="P8">
        <f>LOG(Table1_1__2[[#This Row],[PFOS]])</f>
        <v>0.23299611039215382</v>
      </c>
      <c r="Q8">
        <f>LOG(Table1_1__2[[#This Row],[PFNS]])</f>
        <v>-1.6989700043360187</v>
      </c>
      <c r="R8">
        <f>LOG(Table1_1__2[[#This Row],[PFDS]])</f>
        <v>-1.6989700043360187</v>
      </c>
      <c r="S8">
        <f>LOG(Table1_1__2[[#This Row],[PFDoS]])</f>
        <v>-1.6989700043360187</v>
      </c>
      <c r="T8">
        <f>LOG(Table1_1__2[[#This Row],[4:2 FTS]])</f>
        <v>-1.0969100130080565</v>
      </c>
      <c r="U8">
        <f>LOG(Table1_1__2[[#This Row],[6:2 FTS]])</f>
        <v>-0.34198860334288755</v>
      </c>
      <c r="V8">
        <f>LOG(Table1_1__2[[#This Row],[8:2 FTS]])</f>
        <v>-0.75448733218585018</v>
      </c>
      <c r="W8">
        <f>LOG(Table1_1__2[[#This Row],[FOSA]])</f>
        <v>-0.8477116556169435</v>
      </c>
      <c r="X8">
        <f>LOG(Table1_1__2[[#This Row],[N-MeFOSA]])</f>
        <v>-1.6989700043360187</v>
      </c>
      <c r="Y8">
        <f>LOG(Table1_1__2[[#This Row],[N-MeFOSAA]])</f>
        <v>-1.6989700043360187</v>
      </c>
      <c r="Z8">
        <f>LOG(Table1_1__2[[#This Row],[N-EtFOSAA]])</f>
        <v>-1.6989700043360187</v>
      </c>
      <c r="AA8">
        <f>LOG(Table1_1__2[[#This Row],[ADONA]])</f>
        <v>-1.0969100130080565</v>
      </c>
      <c r="AB8">
        <f>LOG(Table1_1__2[[#This Row],[3:3 FTCA]])</f>
        <v>-1.0969100130080565</v>
      </c>
      <c r="AC8">
        <f>LOG(Table1_1__2[[#This Row],[5:3 FTCA]])</f>
        <v>-0.3010299956639812</v>
      </c>
      <c r="AD8">
        <f>LOG(Table1_1__2[[#This Row],[7:3 FTCA]])</f>
        <v>-0.3010299956639812</v>
      </c>
      <c r="AE8" t="e">
        <f>LOG(Table1_1__2[[#This Row],[N-EtFOSA]])</f>
        <v>#NUM!</v>
      </c>
      <c r="AF8" t="e">
        <f>LOG(Table1_1__2[[#This Row],[N-MeFOSE]])</f>
        <v>#NUM!</v>
      </c>
      <c r="AG8" t="e">
        <f>LOG(Table1_1__2[[#This Row],[N-EtFOSE]])</f>
        <v>#NUM!</v>
      </c>
      <c r="AH8" t="e">
        <f>LOG(Table1_1__2[[#This Row],[HFPO-DA]])</f>
        <v>#NUM!</v>
      </c>
      <c r="AI8" t="e">
        <f>LOG(Table1_1__2[[#This Row],[PFMBA]])</f>
        <v>#NUM!</v>
      </c>
      <c r="AJ8" t="e">
        <f>LOG(Table1_1__2[[#This Row],[NFDHA]])</f>
        <v>#NUM!</v>
      </c>
      <c r="AK8" t="e">
        <f>LOG(Table1_1__2[[#This Row],[9Cl-PF3ONS]])</f>
        <v>#NUM!</v>
      </c>
      <c r="AL8" t="e">
        <f>LOG(Table1_1__2[[#This Row],[11Cl-PF3OUdS]])</f>
        <v>#NUM!</v>
      </c>
      <c r="AM8" t="e">
        <f>LOG(Table1_1__2[[#This Row],[PFEESA]])</f>
        <v>#NUM!</v>
      </c>
      <c r="AN8" t="e">
        <f>LOG(Table1_1__2[[#This Row],[PFMPA]])</f>
        <v>#NUM!</v>
      </c>
    </row>
    <row r="9" spans="1:40" x14ac:dyDescent="0.3">
      <c r="A9">
        <f>LOG(Table1_1__2[[#This Row],[PFBA]])</f>
        <v>-1.0969100130080565</v>
      </c>
      <c r="B9">
        <f>LOG(Table1_1__2[[#This Row],[PFPeA]])</f>
        <v>-1.3979400086720375</v>
      </c>
      <c r="C9">
        <f>LOG(Table1_1__2[[#This Row],[PFHxA]])</f>
        <v>-1.6989700043360187</v>
      </c>
      <c r="D9">
        <f>LOG(Table1_1__2[[#This Row],[PFHpA]])</f>
        <v>-1.6989700043360187</v>
      </c>
      <c r="E9">
        <f>LOG(Table1_1__2[[#This Row],[PFOA]])</f>
        <v>-1.3565473235138126</v>
      </c>
      <c r="F9">
        <f>LOG(Table1_1__2[[#This Row],[PFNA]])</f>
        <v>-1.6989700043360187</v>
      </c>
      <c r="G9">
        <f>LOG(Table1_1__2[[#This Row],[PFDA]])</f>
        <v>-1.6989700043360187</v>
      </c>
      <c r="H9">
        <f>LOG(Table1_1__2[[#This Row],[PFUnA]])</f>
        <v>-1.6989700043360187</v>
      </c>
      <c r="I9">
        <f>LOG(Table1_1__2[[#This Row],[PFDoA]])</f>
        <v>-1.6989700043360187</v>
      </c>
      <c r="J9">
        <f>LOG(Table1_1__2[[#This Row],[PFTrDA]])</f>
        <v>-1.6989700043360187</v>
      </c>
      <c r="K9">
        <f>LOG(Table1_1__2[[#This Row],[PFTeDA]])</f>
        <v>-1.6989700043360187</v>
      </c>
      <c r="L9">
        <f>LOG(Table1_1__2[[#This Row],[PFBS]])</f>
        <v>-1.6989700043360187</v>
      </c>
      <c r="M9">
        <f>LOG(Table1_1__2[[#This Row],[PFPeS]])</f>
        <v>-1.6989700043360187</v>
      </c>
      <c r="N9">
        <f>LOG(Table1_1__2[[#This Row],[PFHxS]])</f>
        <v>-1.0861861476162833</v>
      </c>
      <c r="O9">
        <f>LOG(Table1_1__2[[#This Row],[PFHpS]])</f>
        <v>-1.6989700043360187</v>
      </c>
      <c r="P9">
        <f>LOG(Table1_1__2[[#This Row],[PFOS]])</f>
        <v>-0.18508681872492605</v>
      </c>
      <c r="Q9">
        <f>LOG(Table1_1__2[[#This Row],[PFNS]])</f>
        <v>-1.6989700043360187</v>
      </c>
      <c r="R9">
        <f>LOG(Table1_1__2[[#This Row],[PFDS]])</f>
        <v>-1.6989700043360187</v>
      </c>
      <c r="S9">
        <f>LOG(Table1_1__2[[#This Row],[PFDoS]])</f>
        <v>-1.6989700043360187</v>
      </c>
      <c r="T9">
        <f>LOG(Table1_1__2[[#This Row],[4:2 FTS]])</f>
        <v>-1.0969100130080565</v>
      </c>
      <c r="U9">
        <f>LOG(Table1_1__2[[#This Row],[6:2 FTS]])</f>
        <v>-1.0969100130080565</v>
      </c>
      <c r="V9">
        <f>LOG(Table1_1__2[[#This Row],[8:2 FTS]])</f>
        <v>-1.0969100130080565</v>
      </c>
      <c r="W9">
        <f>LOG(Table1_1__2[[#This Row],[FOSA]])</f>
        <v>-1.3565473235138126</v>
      </c>
      <c r="X9">
        <f>LOG(Table1_1__2[[#This Row],[N-MeFOSA]])</f>
        <v>-1.6989700043360187</v>
      </c>
      <c r="Y9">
        <f>LOG(Table1_1__2[[#This Row],[N-MeFOSAA]])</f>
        <v>-1.6989700043360187</v>
      </c>
      <c r="Z9">
        <f>LOG(Table1_1__2[[#This Row],[N-EtFOSAA]])</f>
        <v>-1.6989700043360187</v>
      </c>
      <c r="AA9">
        <f>LOG(Table1_1__2[[#This Row],[ADONA]])</f>
        <v>-1.0969100130080565</v>
      </c>
      <c r="AB9">
        <f>LOG(Table1_1__2[[#This Row],[3:3 FTCA]])</f>
        <v>-1.0969100130080565</v>
      </c>
      <c r="AC9">
        <f>LOG(Table1_1__2[[#This Row],[5:3 FTCA]])</f>
        <v>-0.3010299956639812</v>
      </c>
      <c r="AD9">
        <f>LOG(Table1_1__2[[#This Row],[7:3 FTCA]])</f>
        <v>-0.3010299956639812</v>
      </c>
      <c r="AE9" t="e">
        <f>LOG(Table1_1__2[[#This Row],[N-EtFOSA]])</f>
        <v>#NUM!</v>
      </c>
      <c r="AF9" t="e">
        <f>LOG(Table1_1__2[[#This Row],[N-MeFOSE]])</f>
        <v>#NUM!</v>
      </c>
      <c r="AG9" t="e">
        <f>LOG(Table1_1__2[[#This Row],[N-EtFOSE]])</f>
        <v>#NUM!</v>
      </c>
      <c r="AH9" t="e">
        <f>LOG(Table1_1__2[[#This Row],[HFPO-DA]])</f>
        <v>#NUM!</v>
      </c>
      <c r="AI9" t="e">
        <f>LOG(Table1_1__2[[#This Row],[PFMBA]])</f>
        <v>#NUM!</v>
      </c>
      <c r="AJ9" t="e">
        <f>LOG(Table1_1__2[[#This Row],[NFDHA]])</f>
        <v>#NUM!</v>
      </c>
      <c r="AK9" t="e">
        <f>LOG(Table1_1__2[[#This Row],[9Cl-PF3ONS]])</f>
        <v>#NUM!</v>
      </c>
      <c r="AL9" t="e">
        <f>LOG(Table1_1__2[[#This Row],[11Cl-PF3OUdS]])</f>
        <v>#NUM!</v>
      </c>
      <c r="AM9" t="e">
        <f>LOG(Table1_1__2[[#This Row],[PFEESA]])</f>
        <v>#NUM!</v>
      </c>
      <c r="AN9" t="e">
        <f>LOG(Table1_1__2[[#This Row],[PFMPA]])</f>
        <v>#NUM!</v>
      </c>
    </row>
    <row r="10" spans="1:40" x14ac:dyDescent="0.3">
      <c r="A10">
        <f>LOG(Table1_1__2[[#This Row],[PFBA]])</f>
        <v>-0.70996538863748193</v>
      </c>
      <c r="B10">
        <f>LOG(Table1_1__2[[#This Row],[PFPeA]])</f>
        <v>-1</v>
      </c>
      <c r="C10">
        <f>LOG(Table1_1__2[[#This Row],[PFHxA]])</f>
        <v>-0.769551078621726</v>
      </c>
      <c r="D10">
        <f>LOG(Table1_1__2[[#This Row],[PFHpA]])</f>
        <v>-1.0457574905606752</v>
      </c>
      <c r="E10">
        <f>LOG(Table1_1__2[[#This Row],[PFOA]])</f>
        <v>-0.38721614328026455</v>
      </c>
      <c r="F10">
        <f>LOG(Table1_1__2[[#This Row],[PFNA]])</f>
        <v>-1.3098039199714864</v>
      </c>
      <c r="G10">
        <f>LOG(Table1_1__2[[#This Row],[PFDA]])</f>
        <v>-1.3098039199714864</v>
      </c>
      <c r="H10">
        <f>LOG(Table1_1__2[[#This Row],[PFUnA]])</f>
        <v>-1.3098039199714864</v>
      </c>
      <c r="I10">
        <f>LOG(Table1_1__2[[#This Row],[PFDoA]])</f>
        <v>-1.3098039199714864</v>
      </c>
      <c r="J10">
        <f>LOG(Table1_1__2[[#This Row],[PFTrDA]])</f>
        <v>-1.3098039199714864</v>
      </c>
      <c r="K10">
        <f>LOG(Table1_1__2[[#This Row],[PFTeDA]])</f>
        <v>-1.3098039199714864</v>
      </c>
      <c r="L10">
        <f>LOG(Table1_1__2[[#This Row],[PFBS]])</f>
        <v>-1.3098039199714864</v>
      </c>
      <c r="M10">
        <f>LOG(Table1_1__2[[#This Row],[PFPeS]])</f>
        <v>-1.3098039199714864</v>
      </c>
      <c r="N10">
        <f>LOG(Table1_1__2[[#This Row],[PFHxS]])</f>
        <v>-0.36653154442041347</v>
      </c>
      <c r="O10">
        <f>LOG(Table1_1__2[[#This Row],[PFHpS]])</f>
        <v>-1.3098039199714864</v>
      </c>
      <c r="P10">
        <f>LOG(Table1_1__2[[#This Row],[PFOS]])</f>
        <v>7.9181246047624818E-2</v>
      </c>
      <c r="Q10">
        <f>LOG(Table1_1__2[[#This Row],[PFNS]])</f>
        <v>-1.3098039199714864</v>
      </c>
      <c r="R10">
        <f>LOG(Table1_1__2[[#This Row],[PFDS]])</f>
        <v>-1.3098039199714864</v>
      </c>
      <c r="S10">
        <f>LOG(Table1_1__2[[#This Row],[PFDoS]])</f>
        <v>-1.3098039199714864</v>
      </c>
      <c r="T10">
        <f>LOG(Table1_1__2[[#This Row],[4:2 FTS]])</f>
        <v>-0.70996538863748193</v>
      </c>
      <c r="U10">
        <f>LOG(Table1_1__2[[#This Row],[6:2 FTS]])</f>
        <v>-0.40340290437353976</v>
      </c>
      <c r="V10">
        <f>LOG(Table1_1__2[[#This Row],[8:2 FTS]])</f>
        <v>-0.40340290437353976</v>
      </c>
      <c r="W10">
        <f>LOG(Table1_1__2[[#This Row],[FOSA]])</f>
        <v>-1.0457574905606752</v>
      </c>
      <c r="X10">
        <f>LOG(Table1_1__2[[#This Row],[N-MeFOSA]])</f>
        <v>-1.3098039199714864</v>
      </c>
      <c r="Y10">
        <f>LOG(Table1_1__2[[#This Row],[N-MeFOSAA]])</f>
        <v>-1.3098039199714864</v>
      </c>
      <c r="Z10">
        <f>LOG(Table1_1__2[[#This Row],[N-EtFOSAA]])</f>
        <v>-1.3098039199714864</v>
      </c>
      <c r="AA10">
        <f>LOG(Table1_1__2[[#This Row],[ADONA]])</f>
        <v>-0.70996538863748193</v>
      </c>
      <c r="AB10">
        <f>LOG(Table1_1__2[[#This Row],[3:3 FTCA]])</f>
        <v>-0.61083391563546752</v>
      </c>
      <c r="AC10">
        <f>LOG(Table1_1__2[[#This Row],[5:3 FTCA]])</f>
        <v>9.691001300805642E-2</v>
      </c>
      <c r="AD10">
        <f>LOG(Table1_1__2[[#This Row],[7:3 FTCA]])</f>
        <v>9.691001300805642E-2</v>
      </c>
      <c r="AE10">
        <f>LOG(Table1_1__2[[#This Row],[N-EtFOSA]])</f>
        <v>-1.3098039199714864</v>
      </c>
      <c r="AF10">
        <f>LOG(Table1_1__2[[#This Row],[N-MeFOSE]])</f>
        <v>-0.30980391997148632</v>
      </c>
      <c r="AG10">
        <f>LOG(Table1_1__2[[#This Row],[N-EtFOSE]])</f>
        <v>-0.30980391997148632</v>
      </c>
      <c r="AH10">
        <f>LOG(Table1_1__2[[#This Row],[HFPO-DA]])</f>
        <v>-0.53017798402183702</v>
      </c>
      <c r="AI10">
        <f>LOG(Table1_1__2[[#This Row],[PFMBA]])</f>
        <v>-1</v>
      </c>
      <c r="AJ10">
        <f>LOG(Table1_1__2[[#This Row],[NFDHA]])</f>
        <v>-1</v>
      </c>
      <c r="AK10">
        <f>LOG(Table1_1__2[[#This Row],[9Cl-PF3ONS]])</f>
        <v>-0.70996538863748193</v>
      </c>
      <c r="AL10">
        <f>LOG(Table1_1__2[[#This Row],[11Cl-PF3OUdS]])</f>
        <v>-0.70996538863748193</v>
      </c>
      <c r="AM10">
        <f>LOG(Table1_1__2[[#This Row],[PFEESA]])</f>
        <v>-1</v>
      </c>
      <c r="AN10">
        <f>LOG(Table1_1__2[[#This Row],[PFMPA]])</f>
        <v>-1</v>
      </c>
    </row>
    <row r="11" spans="1:40" x14ac:dyDescent="0.3">
      <c r="A11">
        <f>LOG(Table1_1__2[[#This Row],[PFBA]])</f>
        <v>-0.69897000433601875</v>
      </c>
      <c r="B11">
        <f>LOG(Table1_1__2[[#This Row],[PFPeA]])</f>
        <v>-1</v>
      </c>
      <c r="C11">
        <f>LOG(Table1_1__2[[#This Row],[PFHxA]])</f>
        <v>-1.0457574905606752</v>
      </c>
      <c r="D11">
        <f>LOG(Table1_1__2[[#This Row],[PFHpA]])</f>
        <v>-1.0457574905606752</v>
      </c>
      <c r="E11">
        <f>LOG(Table1_1__2[[#This Row],[PFOA]])</f>
        <v>-0.95860731484177497</v>
      </c>
      <c r="F11">
        <f>LOG(Table1_1__2[[#This Row],[PFNA]])</f>
        <v>-1.3010299956639813</v>
      </c>
      <c r="G11">
        <f>LOG(Table1_1__2[[#This Row],[PFDA]])</f>
        <v>-1.3010299956639813</v>
      </c>
      <c r="H11">
        <f>LOG(Table1_1__2[[#This Row],[PFUnA]])</f>
        <v>-1.3010299956639813</v>
      </c>
      <c r="I11">
        <f>LOG(Table1_1__2[[#This Row],[PFDoA]])</f>
        <v>-1.3010299956639813</v>
      </c>
      <c r="J11">
        <f>LOG(Table1_1__2[[#This Row],[PFTrDA]])</f>
        <v>-1.3010299956639813</v>
      </c>
      <c r="K11">
        <f>LOG(Table1_1__2[[#This Row],[PFTeDA]])</f>
        <v>-1.3010299956639813</v>
      </c>
      <c r="L11">
        <f>LOG(Table1_1__2[[#This Row],[PFBS]])</f>
        <v>-1.3010299956639813</v>
      </c>
      <c r="M11">
        <f>LOG(Table1_1__2[[#This Row],[PFPeS]])</f>
        <v>-1.3010299956639813</v>
      </c>
      <c r="N11">
        <f>LOG(Table1_1__2[[#This Row],[PFHxS]])</f>
        <v>-0.65757731917779372</v>
      </c>
      <c r="O11">
        <f>LOG(Table1_1__2[[#This Row],[PFHpS]])</f>
        <v>-1.3010299956639813</v>
      </c>
      <c r="P11">
        <f>LOG(Table1_1__2[[#This Row],[PFOS]])</f>
        <v>0.11394335230683679</v>
      </c>
      <c r="Q11">
        <f>LOG(Table1_1__2[[#This Row],[PFNS]])</f>
        <v>-1.3010299956639813</v>
      </c>
      <c r="R11">
        <f>LOG(Table1_1__2[[#This Row],[PFDS]])</f>
        <v>-1.3010299956639813</v>
      </c>
      <c r="S11">
        <f>LOG(Table1_1__2[[#This Row],[PFDoS]])</f>
        <v>-1.3010299956639813</v>
      </c>
      <c r="T11">
        <f>LOG(Table1_1__2[[#This Row],[4:2 FTS]])</f>
        <v>-0.69897000433601875</v>
      </c>
      <c r="U11">
        <f>LOG(Table1_1__2[[#This Row],[6:2 FTS]])</f>
        <v>-0.3979400086720376</v>
      </c>
      <c r="V11">
        <f>LOG(Table1_1__2[[#This Row],[8:2 FTS]])</f>
        <v>-0.3979400086720376</v>
      </c>
      <c r="W11">
        <f>LOG(Table1_1__2[[#This Row],[FOSA]])</f>
        <v>-1.0457574905606752</v>
      </c>
      <c r="X11">
        <f>LOG(Table1_1__2[[#This Row],[N-MeFOSA]])</f>
        <v>-1.3010299956639813</v>
      </c>
      <c r="Y11">
        <f>LOG(Table1_1__2[[#This Row],[N-MeFOSAA]])</f>
        <v>-1.3010299956639813</v>
      </c>
      <c r="Z11">
        <f>LOG(Table1_1__2[[#This Row],[N-EtFOSAA]])</f>
        <v>-1.3010299956639813</v>
      </c>
      <c r="AA11">
        <f>LOG(Table1_1__2[[#This Row],[ADONA]])</f>
        <v>-0.69897000433601875</v>
      </c>
      <c r="AB11">
        <f>LOG(Table1_1__2[[#This Row],[3:3 FTCA]])</f>
        <v>-0.6020599913279624</v>
      </c>
      <c r="AC11">
        <f>LOG(Table1_1__2[[#This Row],[5:3 FTCA]])</f>
        <v>9.691001300805642E-2</v>
      </c>
      <c r="AD11">
        <f>LOG(Table1_1__2[[#This Row],[7:3 FTCA]])</f>
        <v>9.691001300805642E-2</v>
      </c>
      <c r="AE11">
        <f>LOG(Table1_1__2[[#This Row],[N-EtFOSA]])</f>
        <v>-1.3010299956639813</v>
      </c>
      <c r="AF11">
        <f>LOG(Table1_1__2[[#This Row],[N-MeFOSE]])</f>
        <v>-0.3010299956639812</v>
      </c>
      <c r="AG11">
        <f>LOG(Table1_1__2[[#This Row],[N-EtFOSE]])</f>
        <v>-0.3010299956639812</v>
      </c>
      <c r="AH11">
        <f>LOG(Table1_1__2[[#This Row],[HFPO-DA]])</f>
        <v>-0.52287874528033762</v>
      </c>
      <c r="AI11">
        <f>LOG(Table1_1__2[[#This Row],[PFMBA]])</f>
        <v>-1</v>
      </c>
      <c r="AJ11">
        <f>LOG(Table1_1__2[[#This Row],[NFDHA]])</f>
        <v>-1</v>
      </c>
      <c r="AK11">
        <f>LOG(Table1_1__2[[#This Row],[9Cl-PF3ONS]])</f>
        <v>-0.69897000433601875</v>
      </c>
      <c r="AL11">
        <f>LOG(Table1_1__2[[#This Row],[11Cl-PF3OUdS]])</f>
        <v>-0.69897000433601875</v>
      </c>
      <c r="AM11">
        <f>LOG(Table1_1__2[[#This Row],[PFEESA]])</f>
        <v>-1</v>
      </c>
      <c r="AN11">
        <f>LOG(Table1_1__2[[#This Row],[PFMPA]])</f>
        <v>-1</v>
      </c>
    </row>
    <row r="12" spans="1:40" x14ac:dyDescent="0.3">
      <c r="A12">
        <f>LOG(Table1_1__2[[#This Row],[PFBA]])</f>
        <v>-0.69897000433601875</v>
      </c>
      <c r="B12">
        <f>LOG(Table1_1__2[[#This Row],[PFPeA]])</f>
        <v>-1</v>
      </c>
      <c r="C12">
        <f>LOG(Table1_1__2[[#This Row],[PFHxA]])</f>
        <v>-1.0457574905606752</v>
      </c>
      <c r="D12">
        <f>LOG(Table1_1__2[[#This Row],[PFHpA]])</f>
        <v>-1.0457574905606752</v>
      </c>
      <c r="E12">
        <f>LOG(Table1_1__2[[#This Row],[PFOA]])</f>
        <v>-1.1739251972991736</v>
      </c>
      <c r="F12">
        <f>LOG(Table1_1__2[[#This Row],[PFNA]])</f>
        <v>-1.3053948010664314</v>
      </c>
      <c r="G12">
        <f>LOG(Table1_1__2[[#This Row],[PFDA]])</f>
        <v>-1.3053948010664314</v>
      </c>
      <c r="H12">
        <f>LOG(Table1_1__2[[#This Row],[PFUnA]])</f>
        <v>-1.3053948010664314</v>
      </c>
      <c r="I12">
        <f>LOG(Table1_1__2[[#This Row],[PFDoA]])</f>
        <v>-1.3053948010664314</v>
      </c>
      <c r="J12">
        <f>LOG(Table1_1__2[[#This Row],[PFTrDA]])</f>
        <v>-1.3053948010664314</v>
      </c>
      <c r="K12">
        <f>LOG(Table1_1__2[[#This Row],[PFTeDA]])</f>
        <v>-1.3053948010664314</v>
      </c>
      <c r="L12">
        <f>LOG(Table1_1__2[[#This Row],[PFBS]])</f>
        <v>-1.3053948010664314</v>
      </c>
      <c r="M12">
        <f>LOG(Table1_1__2[[#This Row],[PFPeS]])</f>
        <v>-1.3053948010664314</v>
      </c>
      <c r="N12">
        <f>LOG(Table1_1__2[[#This Row],[PFHxS]])</f>
        <v>-0.53760200210104392</v>
      </c>
      <c r="O12">
        <f>LOG(Table1_1__2[[#This Row],[PFHpS]])</f>
        <v>-1.3053948010664314</v>
      </c>
      <c r="P12">
        <f>LOG(Table1_1__2[[#This Row],[PFOS]])</f>
        <v>0</v>
      </c>
      <c r="Q12">
        <f>LOG(Table1_1__2[[#This Row],[PFNS]])</f>
        <v>-1.3053948010664314</v>
      </c>
      <c r="R12">
        <f>LOG(Table1_1__2[[#This Row],[PFDS]])</f>
        <v>-1.3053948010664314</v>
      </c>
      <c r="S12">
        <f>LOG(Table1_1__2[[#This Row],[PFDoS]])</f>
        <v>-1.3053948010664314</v>
      </c>
      <c r="T12">
        <f>LOG(Table1_1__2[[#This Row],[4:2 FTS]])</f>
        <v>-0.69897000433601875</v>
      </c>
      <c r="U12">
        <f>LOG(Table1_1__2[[#This Row],[6:2 FTS]])</f>
        <v>-0.40340290437353976</v>
      </c>
      <c r="V12">
        <f>LOG(Table1_1__2[[#This Row],[8:2 FTS]])</f>
        <v>-0.40340290437353976</v>
      </c>
      <c r="W12">
        <f>LOG(Table1_1__2[[#This Row],[FOSA]])</f>
        <v>-1.0457574905606752</v>
      </c>
      <c r="X12">
        <f>LOG(Table1_1__2[[#This Row],[N-MeFOSA]])</f>
        <v>-1.3053948010664314</v>
      </c>
      <c r="Y12">
        <f>LOG(Table1_1__2[[#This Row],[N-MeFOSAA]])</f>
        <v>-1.3053948010664314</v>
      </c>
      <c r="Z12">
        <f>LOG(Table1_1__2[[#This Row],[N-EtFOSAA]])</f>
        <v>-1.3053948010664314</v>
      </c>
      <c r="AA12">
        <f>LOG(Table1_1__2[[#This Row],[ADONA]])</f>
        <v>-0.69897000433601875</v>
      </c>
      <c r="AB12">
        <f>LOG(Table1_1__2[[#This Row],[3:3 FTCA]])</f>
        <v>-0.61083391563546752</v>
      </c>
      <c r="AC12">
        <f>LOG(Table1_1__2[[#This Row],[5:3 FTCA]])</f>
        <v>9.691001300805642E-2</v>
      </c>
      <c r="AD12">
        <f>LOG(Table1_1__2[[#This Row],[7:3 FTCA]])</f>
        <v>9.691001300805642E-2</v>
      </c>
      <c r="AE12">
        <f>LOG(Table1_1__2[[#This Row],[N-EtFOSA]])</f>
        <v>-1.3053948010664314</v>
      </c>
      <c r="AF12">
        <f>LOG(Table1_1__2[[#This Row],[N-MeFOSE]])</f>
        <v>-0.3053948010664313</v>
      </c>
      <c r="AG12">
        <f>LOG(Table1_1__2[[#This Row],[N-EtFOSE]])</f>
        <v>-0.3053948010664313</v>
      </c>
      <c r="AH12">
        <f>LOG(Table1_1__2[[#This Row],[HFPO-DA]])</f>
        <v>-0.53017798402183702</v>
      </c>
      <c r="AI12">
        <f>LOG(Table1_1__2[[#This Row],[PFMBA]])</f>
        <v>-1</v>
      </c>
      <c r="AJ12">
        <f>LOG(Table1_1__2[[#This Row],[NFDHA]])</f>
        <v>-1</v>
      </c>
      <c r="AK12">
        <f>LOG(Table1_1__2[[#This Row],[9Cl-PF3ONS]])</f>
        <v>-0.69897000433601875</v>
      </c>
      <c r="AL12">
        <f>LOG(Table1_1__2[[#This Row],[11Cl-PF3OUdS]])</f>
        <v>-0.69897000433601875</v>
      </c>
      <c r="AM12">
        <f>LOG(Table1_1__2[[#This Row],[PFEESA]])</f>
        <v>-1</v>
      </c>
      <c r="AN12">
        <f>LOG(Table1_1__2[[#This Row],[PFMPA]])</f>
        <v>-1</v>
      </c>
    </row>
    <row r="13" spans="1:40" x14ac:dyDescent="0.3">
      <c r="A13">
        <f>LOG(Table1_1__2[[#This Row],[PFBA]])</f>
        <v>-0.69897000433601875</v>
      </c>
      <c r="B13">
        <f>LOG(Table1_1__2[[#This Row],[PFPeA]])</f>
        <v>-1</v>
      </c>
      <c r="C13">
        <f>LOG(Table1_1__2[[#This Row],[PFHxA]])</f>
        <v>-1.0457574905606752</v>
      </c>
      <c r="D13">
        <f>LOG(Table1_1__2[[#This Row],[PFHpA]])</f>
        <v>-1.0457574905606752</v>
      </c>
      <c r="E13">
        <f>LOG(Table1_1__2[[#This Row],[PFOA]])</f>
        <v>-1.0861861476162833</v>
      </c>
      <c r="F13">
        <f>LOG(Table1_1__2[[#This Row],[PFNA]])</f>
        <v>-1.3053948010664314</v>
      </c>
      <c r="G13">
        <f>LOG(Table1_1__2[[#This Row],[PFDA]])</f>
        <v>-1.3053948010664314</v>
      </c>
      <c r="H13">
        <f>LOG(Table1_1__2[[#This Row],[PFUnA]])</f>
        <v>-1.3053948010664314</v>
      </c>
      <c r="I13">
        <f>LOG(Table1_1__2[[#This Row],[PFDoA]])</f>
        <v>-1.3053948010664314</v>
      </c>
      <c r="J13">
        <f>LOG(Table1_1__2[[#This Row],[PFTrDA]])</f>
        <v>-1.3053948010664314</v>
      </c>
      <c r="K13">
        <f>LOG(Table1_1__2[[#This Row],[PFTeDA]])</f>
        <v>-1.3053948010664314</v>
      </c>
      <c r="L13">
        <f>LOG(Table1_1__2[[#This Row],[PFBS]])</f>
        <v>-1.3053948010664314</v>
      </c>
      <c r="M13">
        <f>LOG(Table1_1__2[[#This Row],[PFPeS]])</f>
        <v>-1.3053948010664314</v>
      </c>
      <c r="N13">
        <f>LOG(Table1_1__2[[#This Row],[PFHxS]])</f>
        <v>-0.65757731917779372</v>
      </c>
      <c r="O13">
        <f>LOG(Table1_1__2[[#This Row],[PFHpS]])</f>
        <v>-1.3053948010664314</v>
      </c>
      <c r="P13">
        <f>LOG(Table1_1__2[[#This Row],[PFOS]])</f>
        <v>-0.16115090926274472</v>
      </c>
      <c r="Q13">
        <f>LOG(Table1_1__2[[#This Row],[PFNS]])</f>
        <v>-1.3053948010664314</v>
      </c>
      <c r="R13">
        <f>LOG(Table1_1__2[[#This Row],[PFDS]])</f>
        <v>-1.3053948010664314</v>
      </c>
      <c r="S13">
        <f>LOG(Table1_1__2[[#This Row],[PFDoS]])</f>
        <v>-1.3053948010664314</v>
      </c>
      <c r="T13">
        <f>LOG(Table1_1__2[[#This Row],[4:2 FTS]])</f>
        <v>-0.69897000433601875</v>
      </c>
      <c r="U13">
        <f>LOG(Table1_1__2[[#This Row],[6:2 FTS]])</f>
        <v>-0.40340290437353976</v>
      </c>
      <c r="V13">
        <f>LOG(Table1_1__2[[#This Row],[8:2 FTS]])</f>
        <v>-0.40340290437353976</v>
      </c>
      <c r="W13">
        <f>LOG(Table1_1__2[[#This Row],[FOSA]])</f>
        <v>-1.0457574905606752</v>
      </c>
      <c r="X13">
        <f>LOG(Table1_1__2[[#This Row],[N-MeFOSA]])</f>
        <v>-1.3053948010664314</v>
      </c>
      <c r="Y13">
        <f>LOG(Table1_1__2[[#This Row],[N-MeFOSAA]])</f>
        <v>-1.3053948010664314</v>
      </c>
      <c r="Z13">
        <f>LOG(Table1_1__2[[#This Row],[N-EtFOSAA]])</f>
        <v>-1.3053948010664314</v>
      </c>
      <c r="AA13">
        <f>LOG(Table1_1__2[[#This Row],[ADONA]])</f>
        <v>-0.69897000433601875</v>
      </c>
      <c r="AB13">
        <f>LOG(Table1_1__2[[#This Row],[3:3 FTCA]])</f>
        <v>-0.6020599913279624</v>
      </c>
      <c r="AC13">
        <f>LOG(Table1_1__2[[#This Row],[5:3 FTCA]])</f>
        <v>9.691001300805642E-2</v>
      </c>
      <c r="AD13">
        <f>LOG(Table1_1__2[[#This Row],[7:3 FTCA]])</f>
        <v>9.691001300805642E-2</v>
      </c>
      <c r="AE13">
        <f>LOG(Table1_1__2[[#This Row],[N-EtFOSA]])</f>
        <v>-1.3053948010664314</v>
      </c>
      <c r="AF13">
        <f>LOG(Table1_1__2[[#This Row],[N-MeFOSE]])</f>
        <v>-0.3053948010664313</v>
      </c>
      <c r="AG13">
        <f>LOG(Table1_1__2[[#This Row],[N-EtFOSE]])</f>
        <v>-0.3053948010664313</v>
      </c>
      <c r="AH13">
        <f>LOG(Table1_1__2[[#This Row],[HFPO-DA]])</f>
        <v>-0.52287874528033762</v>
      </c>
      <c r="AI13">
        <f>LOG(Table1_1__2[[#This Row],[PFMBA]])</f>
        <v>-1</v>
      </c>
      <c r="AJ13">
        <f>LOG(Table1_1__2[[#This Row],[NFDHA]])</f>
        <v>-1</v>
      </c>
      <c r="AK13">
        <f>LOG(Table1_1__2[[#This Row],[9Cl-PF3ONS]])</f>
        <v>-0.69897000433601875</v>
      </c>
      <c r="AL13">
        <f>LOG(Table1_1__2[[#This Row],[11Cl-PF3OUdS]])</f>
        <v>-0.69897000433601875</v>
      </c>
      <c r="AM13">
        <f>LOG(Table1_1__2[[#This Row],[PFEESA]])</f>
        <v>-1</v>
      </c>
      <c r="AN13">
        <f>LOG(Table1_1__2[[#This Row],[PFMPA]])</f>
        <v>-1</v>
      </c>
    </row>
    <row r="14" spans="1:40" x14ac:dyDescent="0.3">
      <c r="A14">
        <f>LOG(Table1_1__2[[#This Row],[PFBA]])</f>
        <v>-0.69897000433601875</v>
      </c>
      <c r="B14">
        <f>LOG(Table1_1__2[[#This Row],[PFPeA]])</f>
        <v>-1</v>
      </c>
      <c r="C14">
        <f>LOG(Table1_1__2[[#This Row],[PFHxA]])</f>
        <v>-0.72124639904717103</v>
      </c>
      <c r="D14">
        <f>LOG(Table1_1__2[[#This Row],[PFHpA]])</f>
        <v>-1.0457574905606752</v>
      </c>
      <c r="E14">
        <f>LOG(Table1_1__2[[#This Row],[PFOA]])</f>
        <v>-0.43179827593300502</v>
      </c>
      <c r="F14">
        <f>LOG(Table1_1__2[[#This Row],[PFNA]])</f>
        <v>-1.3053948010664314</v>
      </c>
      <c r="G14">
        <f>LOG(Table1_1__2[[#This Row],[PFDA]])</f>
        <v>-1.3053948010664314</v>
      </c>
      <c r="H14">
        <f>LOG(Table1_1__2[[#This Row],[PFUnA]])</f>
        <v>-1.3053948010664314</v>
      </c>
      <c r="I14">
        <f>LOG(Table1_1__2[[#This Row],[PFDoA]])</f>
        <v>-1.3053948010664314</v>
      </c>
      <c r="J14">
        <f>LOG(Table1_1__2[[#This Row],[PFTrDA]])</f>
        <v>-1.3053948010664314</v>
      </c>
      <c r="K14">
        <f>LOG(Table1_1__2[[#This Row],[PFTeDA]])</f>
        <v>-1.3053948010664314</v>
      </c>
      <c r="L14">
        <f>LOG(Table1_1__2[[#This Row],[PFBS]])</f>
        <v>-1.3053948010664314</v>
      </c>
      <c r="M14">
        <f>LOG(Table1_1__2[[#This Row],[PFPeS]])</f>
        <v>-1.3053948010664314</v>
      </c>
      <c r="N14">
        <f>LOG(Table1_1__2[[#This Row],[PFHxS]])</f>
        <v>-0.3010299956639812</v>
      </c>
      <c r="O14">
        <f>LOG(Table1_1__2[[#This Row],[PFHpS]])</f>
        <v>-1.3053948010664314</v>
      </c>
      <c r="P14">
        <f>LOG(Table1_1__2[[#This Row],[PFOS]])</f>
        <v>4.1392685158225077E-2</v>
      </c>
      <c r="Q14">
        <f>LOG(Table1_1__2[[#This Row],[PFNS]])</f>
        <v>-1.3053948010664314</v>
      </c>
      <c r="R14">
        <f>LOG(Table1_1__2[[#This Row],[PFDS]])</f>
        <v>-1.3053948010664314</v>
      </c>
      <c r="S14">
        <f>LOG(Table1_1__2[[#This Row],[PFDoS]])</f>
        <v>-1.3053948010664314</v>
      </c>
      <c r="T14">
        <f>LOG(Table1_1__2[[#This Row],[4:2 FTS]])</f>
        <v>-0.69897000433601875</v>
      </c>
      <c r="U14">
        <f>LOG(Table1_1__2[[#This Row],[6:2 FTS]])</f>
        <v>-0.3979400086720376</v>
      </c>
      <c r="V14">
        <f>LOG(Table1_1__2[[#This Row],[8:2 FTS]])</f>
        <v>-0.3979400086720376</v>
      </c>
      <c r="W14">
        <f>LOG(Table1_1__2[[#This Row],[FOSA]])</f>
        <v>-1.0457574905606752</v>
      </c>
      <c r="X14">
        <f>LOG(Table1_1__2[[#This Row],[N-MeFOSA]])</f>
        <v>-1.3053948010664314</v>
      </c>
      <c r="Y14">
        <f>LOG(Table1_1__2[[#This Row],[N-MeFOSAA]])</f>
        <v>-1.3053948010664314</v>
      </c>
      <c r="Z14">
        <f>LOG(Table1_1__2[[#This Row],[N-EtFOSAA]])</f>
        <v>-1.3053948010664314</v>
      </c>
      <c r="AA14">
        <f>LOG(Table1_1__2[[#This Row],[ADONA]])</f>
        <v>-0.69897000433601875</v>
      </c>
      <c r="AB14">
        <f>LOG(Table1_1__2[[#This Row],[3:3 FTCA]])</f>
        <v>-0.6020599913279624</v>
      </c>
      <c r="AC14">
        <f>LOG(Table1_1__2[[#This Row],[5:3 FTCA]])</f>
        <v>9.691001300805642E-2</v>
      </c>
      <c r="AD14">
        <f>LOG(Table1_1__2[[#This Row],[7:3 FTCA]])</f>
        <v>9.691001300805642E-2</v>
      </c>
      <c r="AE14">
        <f>LOG(Table1_1__2[[#This Row],[N-EtFOSA]])</f>
        <v>-1.3053948010664314</v>
      </c>
      <c r="AF14">
        <f>LOG(Table1_1__2[[#This Row],[N-MeFOSE]])</f>
        <v>-0.3053948010664313</v>
      </c>
      <c r="AG14">
        <f>LOG(Table1_1__2[[#This Row],[N-EtFOSE]])</f>
        <v>-0.3053948010664313</v>
      </c>
      <c r="AH14">
        <f>LOG(Table1_1__2[[#This Row],[HFPO-DA]])</f>
        <v>-0.52287874528033762</v>
      </c>
      <c r="AI14">
        <f>LOG(Table1_1__2[[#This Row],[PFMBA]])</f>
        <v>-1</v>
      </c>
      <c r="AJ14">
        <f>LOG(Table1_1__2[[#This Row],[NFDHA]])</f>
        <v>-1</v>
      </c>
      <c r="AK14">
        <f>LOG(Table1_1__2[[#This Row],[9Cl-PF3ONS]])</f>
        <v>-0.69897000433601875</v>
      </c>
      <c r="AL14">
        <f>LOG(Table1_1__2[[#This Row],[11Cl-PF3OUdS]])</f>
        <v>-0.69897000433601875</v>
      </c>
      <c r="AM14">
        <f>LOG(Table1_1__2[[#This Row],[PFEESA]])</f>
        <v>-1</v>
      </c>
      <c r="AN14">
        <f>LOG(Table1_1__2[[#This Row],[PFMPA]])</f>
        <v>-1</v>
      </c>
    </row>
    <row r="15" spans="1:40" x14ac:dyDescent="0.3">
      <c r="A15">
        <f>LOG(Table1_1__2[[#This Row],[PFBA]])</f>
        <v>-0.70996538863748193</v>
      </c>
      <c r="B15">
        <f>LOG(Table1_1__2[[#This Row],[PFPeA]])</f>
        <v>-1</v>
      </c>
      <c r="C15">
        <f>LOG(Table1_1__2[[#This Row],[PFHxA]])</f>
        <v>-1.0268721464003014</v>
      </c>
      <c r="D15">
        <f>LOG(Table1_1__2[[#This Row],[PFHpA]])</f>
        <v>-1.0457574905606752</v>
      </c>
      <c r="E15">
        <f>LOG(Table1_1__2[[#This Row],[PFOA]])</f>
        <v>-1</v>
      </c>
      <c r="F15">
        <f>LOG(Table1_1__2[[#This Row],[PFNA]])</f>
        <v>-1.3098039199714864</v>
      </c>
      <c r="G15">
        <f>LOG(Table1_1__2[[#This Row],[PFDA]])</f>
        <v>-1.3098039199714864</v>
      </c>
      <c r="H15">
        <f>LOG(Table1_1__2[[#This Row],[PFUnA]])</f>
        <v>-1.3098039199714864</v>
      </c>
      <c r="I15">
        <f>LOG(Table1_1__2[[#This Row],[PFDoA]])</f>
        <v>-1.3098039199714864</v>
      </c>
      <c r="J15">
        <f>LOG(Table1_1__2[[#This Row],[PFTrDA]])</f>
        <v>-1.3098039199714864</v>
      </c>
      <c r="K15">
        <f>LOG(Table1_1__2[[#This Row],[PFTeDA]])</f>
        <v>-1.3098039199714864</v>
      </c>
      <c r="L15">
        <f>LOG(Table1_1__2[[#This Row],[PFBS]])</f>
        <v>-1.3098039199714864</v>
      </c>
      <c r="M15">
        <f>LOG(Table1_1__2[[#This Row],[PFPeS]])</f>
        <v>-1.3098039199714864</v>
      </c>
      <c r="N15">
        <f>LOG(Table1_1__2[[#This Row],[PFHxS]])</f>
        <v>-0.61978875828839397</v>
      </c>
      <c r="O15">
        <f>LOG(Table1_1__2[[#This Row],[PFHpS]])</f>
        <v>-1.3098039199714864</v>
      </c>
      <c r="P15">
        <f>LOG(Table1_1__2[[#This Row],[PFOS]])</f>
        <v>0.11394335230683679</v>
      </c>
      <c r="Q15">
        <f>LOG(Table1_1__2[[#This Row],[PFNS]])</f>
        <v>-1.3098039199714864</v>
      </c>
      <c r="R15">
        <f>LOG(Table1_1__2[[#This Row],[PFDS]])</f>
        <v>-1.3098039199714864</v>
      </c>
      <c r="S15">
        <f>LOG(Table1_1__2[[#This Row],[PFDoS]])</f>
        <v>-1.3098039199714864</v>
      </c>
      <c r="T15">
        <f>LOG(Table1_1__2[[#This Row],[4:2 FTS]])</f>
        <v>-0.70996538863748193</v>
      </c>
      <c r="U15">
        <f>LOG(Table1_1__2[[#This Row],[6:2 FTS]])</f>
        <v>-0.40340290437353976</v>
      </c>
      <c r="V15">
        <f>LOG(Table1_1__2[[#This Row],[8:2 FTS]])</f>
        <v>-0.40340290437353976</v>
      </c>
      <c r="W15">
        <f>LOG(Table1_1__2[[#This Row],[FOSA]])</f>
        <v>-0.95860731484177497</v>
      </c>
      <c r="X15">
        <f>LOG(Table1_1__2[[#This Row],[N-MeFOSA]])</f>
        <v>-1.3098039199714864</v>
      </c>
      <c r="Y15">
        <f>LOG(Table1_1__2[[#This Row],[N-MeFOSAA]])</f>
        <v>-1.3098039199714864</v>
      </c>
      <c r="Z15">
        <f>LOG(Table1_1__2[[#This Row],[N-EtFOSAA]])</f>
        <v>-1.3098039199714864</v>
      </c>
      <c r="AA15">
        <f>LOG(Table1_1__2[[#This Row],[ADONA]])</f>
        <v>-0.70996538863748193</v>
      </c>
      <c r="AB15">
        <f>LOG(Table1_1__2[[#This Row],[3:3 FTCA]])</f>
        <v>-0.61083391563546752</v>
      </c>
      <c r="AC15">
        <f>LOG(Table1_1__2[[#This Row],[5:3 FTCA]])</f>
        <v>9.691001300805642E-2</v>
      </c>
      <c r="AD15">
        <f>LOG(Table1_1__2[[#This Row],[7:3 FTCA]])</f>
        <v>9.691001300805642E-2</v>
      </c>
      <c r="AE15">
        <f>LOG(Table1_1__2[[#This Row],[N-EtFOSA]])</f>
        <v>-1.3098039199714864</v>
      </c>
      <c r="AF15">
        <f>LOG(Table1_1__2[[#This Row],[N-MeFOSE]])</f>
        <v>-0.30980391997148632</v>
      </c>
      <c r="AG15">
        <f>LOG(Table1_1__2[[#This Row],[N-EtFOSE]])</f>
        <v>-0.30980391997148632</v>
      </c>
      <c r="AH15">
        <f>LOG(Table1_1__2[[#This Row],[HFPO-DA]])</f>
        <v>-0.53017798402183702</v>
      </c>
      <c r="AI15">
        <f>LOG(Table1_1__2[[#This Row],[PFMBA]])</f>
        <v>-1</v>
      </c>
      <c r="AJ15">
        <f>LOG(Table1_1__2[[#This Row],[NFDHA]])</f>
        <v>-1</v>
      </c>
      <c r="AK15">
        <f>LOG(Table1_1__2[[#This Row],[9Cl-PF3ONS]])</f>
        <v>-0.70996538863748193</v>
      </c>
      <c r="AL15">
        <f>LOG(Table1_1__2[[#This Row],[11Cl-PF3OUdS]])</f>
        <v>-0.70996538863748193</v>
      </c>
      <c r="AM15">
        <f>LOG(Table1_1__2[[#This Row],[PFEESA]])</f>
        <v>-1</v>
      </c>
      <c r="AN15">
        <f>LOG(Table1_1__2[[#This Row],[PFMPA]])</f>
        <v>-1</v>
      </c>
    </row>
    <row r="16" spans="1:40" x14ac:dyDescent="0.3">
      <c r="A16">
        <f>LOG(Table1_1__2[[#This Row],[PFBA]])</f>
        <v>-0.70996538863748193</v>
      </c>
      <c r="B16">
        <f>LOG(Table1_1__2[[#This Row],[PFPeA]])</f>
        <v>-1</v>
      </c>
      <c r="C16">
        <f>LOG(Table1_1__2[[#This Row],[PFHxA]])</f>
        <v>-1.0457574905606752</v>
      </c>
      <c r="D16">
        <f>LOG(Table1_1__2[[#This Row],[PFHpA]])</f>
        <v>-1.0457574905606752</v>
      </c>
      <c r="E16">
        <f>LOG(Table1_1__2[[#This Row],[PFOA]])</f>
        <v>-1.0969100130080565</v>
      </c>
      <c r="F16">
        <f>LOG(Table1_1__2[[#This Row],[PFNA]])</f>
        <v>-1.3053948010664314</v>
      </c>
      <c r="G16">
        <f>LOG(Table1_1__2[[#This Row],[PFDA]])</f>
        <v>-1.3053948010664314</v>
      </c>
      <c r="H16">
        <f>LOG(Table1_1__2[[#This Row],[PFUnA]])</f>
        <v>-1.3053948010664314</v>
      </c>
      <c r="I16">
        <f>LOG(Table1_1__2[[#This Row],[PFDoA]])</f>
        <v>-1.3053948010664314</v>
      </c>
      <c r="J16">
        <f>LOG(Table1_1__2[[#This Row],[PFTrDA]])</f>
        <v>-1.3053948010664314</v>
      </c>
      <c r="K16">
        <f>LOG(Table1_1__2[[#This Row],[PFTeDA]])</f>
        <v>-1.3053948010664314</v>
      </c>
      <c r="L16">
        <f>LOG(Table1_1__2[[#This Row],[PFBS]])</f>
        <v>-1.3053948010664314</v>
      </c>
      <c r="M16">
        <f>LOG(Table1_1__2[[#This Row],[PFPeS]])</f>
        <v>-1.3053948010664314</v>
      </c>
      <c r="N16">
        <f>LOG(Table1_1__2[[#This Row],[PFHxS]])</f>
        <v>-0.65757731917779372</v>
      </c>
      <c r="O16">
        <f>LOG(Table1_1__2[[#This Row],[PFHpS]])</f>
        <v>-1.3053948010664314</v>
      </c>
      <c r="P16">
        <f>LOG(Table1_1__2[[#This Row],[PFOS]])</f>
        <v>7.9181246047624818E-2</v>
      </c>
      <c r="Q16">
        <f>LOG(Table1_1__2[[#This Row],[PFNS]])</f>
        <v>-1.3053948010664314</v>
      </c>
      <c r="R16">
        <f>LOG(Table1_1__2[[#This Row],[PFDS]])</f>
        <v>-1.3053948010664314</v>
      </c>
      <c r="S16">
        <f>LOG(Table1_1__2[[#This Row],[PFDoS]])</f>
        <v>-1.3053948010664314</v>
      </c>
      <c r="T16">
        <f>LOG(Table1_1__2[[#This Row],[4:2 FTS]])</f>
        <v>-0.70996538863748193</v>
      </c>
      <c r="U16">
        <f>LOG(Table1_1__2[[#This Row],[6:2 FTS]])</f>
        <v>-0.40340290437353976</v>
      </c>
      <c r="V16">
        <f>LOG(Table1_1__2[[#This Row],[8:2 FTS]])</f>
        <v>-0.40340290437353976</v>
      </c>
      <c r="W16">
        <f>LOG(Table1_1__2[[#This Row],[FOSA]])</f>
        <v>-1.0457574905606752</v>
      </c>
      <c r="X16">
        <f>LOG(Table1_1__2[[#This Row],[N-MeFOSA]])</f>
        <v>-1.3053948010664314</v>
      </c>
      <c r="Y16">
        <f>LOG(Table1_1__2[[#This Row],[N-MeFOSAA]])</f>
        <v>-1.3053948010664314</v>
      </c>
      <c r="Z16">
        <f>LOG(Table1_1__2[[#This Row],[N-EtFOSAA]])</f>
        <v>-1.3053948010664314</v>
      </c>
      <c r="AA16">
        <f>LOG(Table1_1__2[[#This Row],[ADONA]])</f>
        <v>-0.70996538863748193</v>
      </c>
      <c r="AB16">
        <f>LOG(Table1_1__2[[#This Row],[3:3 FTCA]])</f>
        <v>-0.61083391563546752</v>
      </c>
      <c r="AC16">
        <f>LOG(Table1_1__2[[#This Row],[5:3 FTCA]])</f>
        <v>9.691001300805642E-2</v>
      </c>
      <c r="AD16">
        <f>LOG(Table1_1__2[[#This Row],[7:3 FTCA]])</f>
        <v>9.691001300805642E-2</v>
      </c>
      <c r="AE16">
        <f>LOG(Table1_1__2[[#This Row],[N-EtFOSA]])</f>
        <v>-1.3053948010664314</v>
      </c>
      <c r="AF16">
        <f>LOG(Table1_1__2[[#This Row],[N-MeFOSE]])</f>
        <v>-0.3053948010664313</v>
      </c>
      <c r="AG16">
        <f>LOG(Table1_1__2[[#This Row],[N-EtFOSE]])</f>
        <v>-0.3053948010664313</v>
      </c>
      <c r="AH16">
        <f>LOG(Table1_1__2[[#This Row],[HFPO-DA]])</f>
        <v>-0.53017798402183702</v>
      </c>
      <c r="AI16">
        <f>LOG(Table1_1__2[[#This Row],[PFMBA]])</f>
        <v>-1</v>
      </c>
      <c r="AJ16">
        <f>LOG(Table1_1__2[[#This Row],[NFDHA]])</f>
        <v>-1</v>
      </c>
      <c r="AK16">
        <f>LOG(Table1_1__2[[#This Row],[9Cl-PF3ONS]])</f>
        <v>-0.70996538863748193</v>
      </c>
      <c r="AL16">
        <f>LOG(Table1_1__2[[#This Row],[11Cl-PF3OUdS]])</f>
        <v>-0.70996538863748193</v>
      </c>
      <c r="AM16">
        <f>LOG(Table1_1__2[[#This Row],[PFEESA]])</f>
        <v>-1</v>
      </c>
      <c r="AN16">
        <f>LOG(Table1_1__2[[#This Row],[PFMPA]])</f>
        <v>-1</v>
      </c>
    </row>
    <row r="17" spans="1:40" x14ac:dyDescent="0.3">
      <c r="A17">
        <f>LOG(Table1_1__2[[#This Row],[PFBA]])</f>
        <v>-0.69897000433601875</v>
      </c>
      <c r="B17">
        <f>LOG(Table1_1__2[[#This Row],[PFPeA]])</f>
        <v>-1</v>
      </c>
      <c r="C17">
        <f>LOG(Table1_1__2[[#This Row],[PFHxA]])</f>
        <v>-1.0457574905606752</v>
      </c>
      <c r="D17">
        <f>LOG(Table1_1__2[[#This Row],[PFHpA]])</f>
        <v>-1.0457574905606752</v>
      </c>
      <c r="E17">
        <f>LOG(Table1_1__2[[#This Row],[PFOA]])</f>
        <v>-1.0409586076789064</v>
      </c>
      <c r="F17">
        <f>LOG(Table1_1__2[[#This Row],[PFNA]])</f>
        <v>-1.3053948010664314</v>
      </c>
      <c r="G17">
        <f>LOG(Table1_1__2[[#This Row],[PFDA]])</f>
        <v>-1.3053948010664314</v>
      </c>
      <c r="H17">
        <f>LOG(Table1_1__2[[#This Row],[PFUnA]])</f>
        <v>-1.3053948010664314</v>
      </c>
      <c r="I17">
        <f>LOG(Table1_1__2[[#This Row],[PFDoA]])</f>
        <v>-1.3053948010664314</v>
      </c>
      <c r="J17">
        <f>LOG(Table1_1__2[[#This Row],[PFTrDA]])</f>
        <v>-1.3053948010664314</v>
      </c>
      <c r="K17">
        <f>LOG(Table1_1__2[[#This Row],[PFTeDA]])</f>
        <v>-1.3053948010664314</v>
      </c>
      <c r="L17">
        <f>LOG(Table1_1__2[[#This Row],[PFBS]])</f>
        <v>-1.3053948010664314</v>
      </c>
      <c r="M17">
        <f>LOG(Table1_1__2[[#This Row],[PFPeS]])</f>
        <v>-1.3053948010664314</v>
      </c>
      <c r="N17">
        <f>LOG(Table1_1__2[[#This Row],[PFHxS]])</f>
        <v>-0.74472749489669399</v>
      </c>
      <c r="O17">
        <f>LOG(Table1_1__2[[#This Row],[PFHpS]])</f>
        <v>-1.3053948010664314</v>
      </c>
      <c r="P17">
        <f>LOG(Table1_1__2[[#This Row],[PFOS]])</f>
        <v>-0.22184874961635639</v>
      </c>
      <c r="Q17">
        <f>LOG(Table1_1__2[[#This Row],[PFNS]])</f>
        <v>-1.3053948010664314</v>
      </c>
      <c r="R17">
        <f>LOG(Table1_1__2[[#This Row],[PFDS]])</f>
        <v>-1.3053948010664314</v>
      </c>
      <c r="S17">
        <f>LOG(Table1_1__2[[#This Row],[PFDoS]])</f>
        <v>-1.3053948010664314</v>
      </c>
      <c r="T17">
        <f>LOG(Table1_1__2[[#This Row],[4:2 FTS]])</f>
        <v>-0.69897000433601875</v>
      </c>
      <c r="U17">
        <f>LOG(Table1_1__2[[#This Row],[6:2 FTS]])</f>
        <v>-0.40340290437353976</v>
      </c>
      <c r="V17">
        <f>LOG(Table1_1__2[[#This Row],[8:2 FTS]])</f>
        <v>-0.40340290437353976</v>
      </c>
      <c r="W17">
        <f>LOG(Table1_1__2[[#This Row],[FOSA]])</f>
        <v>-1.0457574905606752</v>
      </c>
      <c r="X17">
        <f>LOG(Table1_1__2[[#This Row],[N-MeFOSA]])</f>
        <v>-1.3053948010664314</v>
      </c>
      <c r="Y17">
        <f>LOG(Table1_1__2[[#This Row],[N-MeFOSAA]])</f>
        <v>-1.3053948010664314</v>
      </c>
      <c r="Z17">
        <f>LOG(Table1_1__2[[#This Row],[N-EtFOSAA]])</f>
        <v>-1.3053948010664314</v>
      </c>
      <c r="AA17">
        <f>LOG(Table1_1__2[[#This Row],[ADONA]])</f>
        <v>-0.69897000433601875</v>
      </c>
      <c r="AB17">
        <f>LOG(Table1_1__2[[#This Row],[3:3 FTCA]])</f>
        <v>-0.6020599913279624</v>
      </c>
      <c r="AC17">
        <f>LOG(Table1_1__2[[#This Row],[5:3 FTCA]])</f>
        <v>9.691001300805642E-2</v>
      </c>
      <c r="AD17">
        <f>LOG(Table1_1__2[[#This Row],[7:3 FTCA]])</f>
        <v>9.691001300805642E-2</v>
      </c>
      <c r="AE17">
        <f>LOG(Table1_1__2[[#This Row],[N-EtFOSA]])</f>
        <v>-1.3053948010664314</v>
      </c>
      <c r="AF17">
        <f>LOG(Table1_1__2[[#This Row],[N-MeFOSE]])</f>
        <v>-0.3053948010664313</v>
      </c>
      <c r="AG17">
        <f>LOG(Table1_1__2[[#This Row],[N-EtFOSE]])</f>
        <v>-0.3053948010664313</v>
      </c>
      <c r="AH17">
        <f>LOG(Table1_1__2[[#This Row],[HFPO-DA]])</f>
        <v>-0.53017798402183702</v>
      </c>
      <c r="AI17">
        <f>LOG(Table1_1__2[[#This Row],[PFMBA]])</f>
        <v>-1</v>
      </c>
      <c r="AJ17">
        <f>LOG(Table1_1__2[[#This Row],[NFDHA]])</f>
        <v>-1</v>
      </c>
      <c r="AK17">
        <f>LOG(Table1_1__2[[#This Row],[9Cl-PF3ONS]])</f>
        <v>-0.69897000433601875</v>
      </c>
      <c r="AL17">
        <f>LOG(Table1_1__2[[#This Row],[11Cl-PF3OUdS]])</f>
        <v>-0.69897000433601875</v>
      </c>
      <c r="AM17">
        <f>LOG(Table1_1__2[[#This Row],[PFEESA]])</f>
        <v>-1</v>
      </c>
      <c r="AN17">
        <f>LOG(Table1_1__2[[#This Row],[PFMPA]])</f>
        <v>-1</v>
      </c>
    </row>
    <row r="18" spans="1:40" x14ac:dyDescent="0.3">
      <c r="A18">
        <f>LOG(Table1_1__2[[#This Row],[PFBA]])</f>
        <v>-0.70996538863748193</v>
      </c>
      <c r="B18">
        <f>LOG(Table1_1__2[[#This Row],[PFPeA]])</f>
        <v>-1</v>
      </c>
      <c r="C18">
        <f>LOG(Table1_1__2[[#This Row],[PFHxA]])</f>
        <v>-0.88605664769316317</v>
      </c>
      <c r="D18">
        <f>LOG(Table1_1__2[[#This Row],[PFHpA]])</f>
        <v>-1.0457574905606752</v>
      </c>
      <c r="E18">
        <f>LOG(Table1_1__2[[#This Row],[PFOA]])</f>
        <v>-0.58502665202918203</v>
      </c>
      <c r="F18">
        <f>LOG(Table1_1__2[[#This Row],[PFNA]])</f>
        <v>-1.3098039199714864</v>
      </c>
      <c r="G18">
        <f>LOG(Table1_1__2[[#This Row],[PFDA]])</f>
        <v>-1.3098039199714864</v>
      </c>
      <c r="H18">
        <f>LOG(Table1_1__2[[#This Row],[PFUnA]])</f>
        <v>-1.3098039199714864</v>
      </c>
      <c r="I18">
        <f>LOG(Table1_1__2[[#This Row],[PFDoA]])</f>
        <v>-1.3098039199714864</v>
      </c>
      <c r="J18">
        <f>LOG(Table1_1__2[[#This Row],[PFTrDA]])</f>
        <v>-1.3098039199714864</v>
      </c>
      <c r="K18">
        <f>LOG(Table1_1__2[[#This Row],[PFTeDA]])</f>
        <v>-1.3098039199714864</v>
      </c>
      <c r="L18">
        <f>LOG(Table1_1__2[[#This Row],[PFBS]])</f>
        <v>-1.3098039199714864</v>
      </c>
      <c r="M18">
        <f>LOG(Table1_1__2[[#This Row],[PFPeS]])</f>
        <v>-1.3098039199714864</v>
      </c>
      <c r="N18">
        <f>LOG(Table1_1__2[[#This Row],[PFHxS]])</f>
        <v>-0.55284196865778079</v>
      </c>
      <c r="O18">
        <f>LOG(Table1_1__2[[#This Row],[PFHpS]])</f>
        <v>-1.3098039199714864</v>
      </c>
      <c r="P18">
        <f>LOG(Table1_1__2[[#This Row],[PFOS]])</f>
        <v>-0.10237290870955855</v>
      </c>
      <c r="Q18">
        <f>LOG(Table1_1__2[[#This Row],[PFNS]])</f>
        <v>-1.3098039199714864</v>
      </c>
      <c r="R18">
        <f>LOG(Table1_1__2[[#This Row],[PFDS]])</f>
        <v>-1.3098039199714864</v>
      </c>
      <c r="S18">
        <f>LOG(Table1_1__2[[#This Row],[PFDoS]])</f>
        <v>-1.3098039199714864</v>
      </c>
      <c r="T18">
        <f>LOG(Table1_1__2[[#This Row],[4:2 FTS]])</f>
        <v>-0.70996538863748193</v>
      </c>
      <c r="U18">
        <f>LOG(Table1_1__2[[#This Row],[6:2 FTS]])</f>
        <v>-0.40340290437353976</v>
      </c>
      <c r="V18">
        <f>LOG(Table1_1__2[[#This Row],[8:2 FTS]])</f>
        <v>-0.40340290437353976</v>
      </c>
      <c r="W18">
        <f>LOG(Table1_1__2[[#This Row],[FOSA]])</f>
        <v>-1.0457574905606752</v>
      </c>
      <c r="X18">
        <f>LOG(Table1_1__2[[#This Row],[N-MeFOSA]])</f>
        <v>-1.3098039199714864</v>
      </c>
      <c r="Y18">
        <f>LOG(Table1_1__2[[#This Row],[N-MeFOSAA]])</f>
        <v>-1.3098039199714864</v>
      </c>
      <c r="Z18">
        <f>LOG(Table1_1__2[[#This Row],[N-EtFOSAA]])</f>
        <v>-1.3098039199714864</v>
      </c>
      <c r="AA18">
        <f>LOG(Table1_1__2[[#This Row],[ADONA]])</f>
        <v>-0.70996538863748193</v>
      </c>
      <c r="AB18">
        <f>LOG(Table1_1__2[[#This Row],[3:3 FTCA]])</f>
        <v>-0.61083391563546752</v>
      </c>
      <c r="AC18">
        <f>LOG(Table1_1__2[[#This Row],[5:3 FTCA]])</f>
        <v>9.691001300805642E-2</v>
      </c>
      <c r="AD18">
        <f>LOG(Table1_1__2[[#This Row],[7:3 FTCA]])</f>
        <v>9.691001300805642E-2</v>
      </c>
      <c r="AE18">
        <f>LOG(Table1_1__2[[#This Row],[N-EtFOSA]])</f>
        <v>-1.3098039199714864</v>
      </c>
      <c r="AF18">
        <f>LOG(Table1_1__2[[#This Row],[N-MeFOSE]])</f>
        <v>-0.30980391997148632</v>
      </c>
      <c r="AG18">
        <f>LOG(Table1_1__2[[#This Row],[N-EtFOSE]])</f>
        <v>-0.30980391997148632</v>
      </c>
      <c r="AH18">
        <f>LOG(Table1_1__2[[#This Row],[HFPO-DA]])</f>
        <v>-0.53017798402183702</v>
      </c>
      <c r="AI18">
        <f>LOG(Table1_1__2[[#This Row],[PFMBA]])</f>
        <v>-1</v>
      </c>
      <c r="AJ18">
        <f>LOG(Table1_1__2[[#This Row],[NFDHA]])</f>
        <v>-1</v>
      </c>
      <c r="AK18">
        <f>LOG(Table1_1__2[[#This Row],[9Cl-PF3ONS]])</f>
        <v>-0.70996538863748193</v>
      </c>
      <c r="AL18">
        <f>LOG(Table1_1__2[[#This Row],[11Cl-PF3OUdS]])</f>
        <v>-0.70996538863748193</v>
      </c>
      <c r="AM18">
        <f>LOG(Table1_1__2[[#This Row],[PFEESA]])</f>
        <v>-1</v>
      </c>
      <c r="AN18">
        <f>LOG(Table1_1__2[[#This Row],[PFMPA]])</f>
        <v>-1</v>
      </c>
    </row>
    <row r="19" spans="1:40" x14ac:dyDescent="0.3">
      <c r="A19">
        <f>LOG(Table1_1__2[[#This Row],[PFBA]])</f>
        <v>-0.69897000433601875</v>
      </c>
      <c r="B19">
        <f>LOG(Table1_1__2[[#This Row],[PFPeA]])</f>
        <v>-1</v>
      </c>
      <c r="C19">
        <f>LOG(Table1_1__2[[#This Row],[PFHxA]])</f>
        <v>-1.0362121726544447</v>
      </c>
      <c r="D19">
        <f>LOG(Table1_1__2[[#This Row],[PFHpA]])</f>
        <v>-1.0457574905606752</v>
      </c>
      <c r="E19">
        <f>LOG(Table1_1__2[[#This Row],[PFOA]])</f>
        <v>-1</v>
      </c>
      <c r="F19">
        <f>LOG(Table1_1__2[[#This Row],[PFNA]])</f>
        <v>-1.3053948010664314</v>
      </c>
      <c r="G19">
        <f>LOG(Table1_1__2[[#This Row],[PFDA]])</f>
        <v>-1.3053948010664314</v>
      </c>
      <c r="H19">
        <f>LOG(Table1_1__2[[#This Row],[PFUnA]])</f>
        <v>-1.3053948010664314</v>
      </c>
      <c r="I19">
        <f>LOG(Table1_1__2[[#This Row],[PFDoA]])</f>
        <v>-1.3053948010664314</v>
      </c>
      <c r="J19">
        <f>LOG(Table1_1__2[[#This Row],[PFTrDA]])</f>
        <v>-0.42021640338318983</v>
      </c>
      <c r="K19">
        <f>LOG(Table1_1__2[[#This Row],[PFTeDA]])</f>
        <v>-1.3053948010664314</v>
      </c>
      <c r="L19">
        <f>LOG(Table1_1__2[[#This Row],[PFBS]])</f>
        <v>-1.3053948010664314</v>
      </c>
      <c r="M19">
        <f>LOG(Table1_1__2[[#This Row],[PFPeS]])</f>
        <v>-1.3053948010664314</v>
      </c>
      <c r="N19">
        <f>LOG(Table1_1__2[[#This Row],[PFHxS]])</f>
        <v>-0.45593195564972439</v>
      </c>
      <c r="O19">
        <f>LOG(Table1_1__2[[#This Row],[PFHpS]])</f>
        <v>-1.3053948010664314</v>
      </c>
      <c r="P19">
        <f>LOG(Table1_1__2[[#This Row],[PFOS]])</f>
        <v>0.34242268082220628</v>
      </c>
      <c r="Q19">
        <f>LOG(Table1_1__2[[#This Row],[PFNS]])</f>
        <v>-1.3053948010664314</v>
      </c>
      <c r="R19">
        <f>LOG(Table1_1__2[[#This Row],[PFDS]])</f>
        <v>-1.3053948010664314</v>
      </c>
      <c r="S19">
        <f>LOG(Table1_1__2[[#This Row],[PFDoS]])</f>
        <v>-1.3053948010664314</v>
      </c>
      <c r="T19">
        <f>LOG(Table1_1__2[[#This Row],[4:2 FTS]])</f>
        <v>-0.69897000433601875</v>
      </c>
      <c r="U19">
        <f>LOG(Table1_1__2[[#This Row],[6:2 FTS]])</f>
        <v>-0.40340290437353976</v>
      </c>
      <c r="V19">
        <f>LOG(Table1_1__2[[#This Row],[8:2 FTS]])</f>
        <v>-0.40340290437353976</v>
      </c>
      <c r="W19">
        <f>LOG(Table1_1__2[[#This Row],[FOSA]])</f>
        <v>-0.88605664769316317</v>
      </c>
      <c r="X19">
        <f>LOG(Table1_1__2[[#This Row],[N-MeFOSA]])</f>
        <v>-1.3053948010664314</v>
      </c>
      <c r="Y19">
        <f>LOG(Table1_1__2[[#This Row],[N-MeFOSAA]])</f>
        <v>-1.3053948010664314</v>
      </c>
      <c r="Z19">
        <f>LOG(Table1_1__2[[#This Row],[N-EtFOSAA]])</f>
        <v>-1.3053948010664314</v>
      </c>
      <c r="AA19">
        <f>LOG(Table1_1__2[[#This Row],[ADONA]])</f>
        <v>-0.69897000433601875</v>
      </c>
      <c r="AB19">
        <f>LOG(Table1_1__2[[#This Row],[3:3 FTCA]])</f>
        <v>-0.61083391563546752</v>
      </c>
      <c r="AC19">
        <f>LOG(Table1_1__2[[#This Row],[5:3 FTCA]])</f>
        <v>9.691001300805642E-2</v>
      </c>
      <c r="AD19">
        <f>LOG(Table1_1__2[[#This Row],[7:3 FTCA]])</f>
        <v>9.691001300805642E-2</v>
      </c>
      <c r="AE19">
        <f>LOG(Table1_1__2[[#This Row],[N-EtFOSA]])</f>
        <v>-1.3053948010664314</v>
      </c>
      <c r="AF19">
        <f>LOG(Table1_1__2[[#This Row],[N-MeFOSE]])</f>
        <v>-0.3053948010664313</v>
      </c>
      <c r="AG19">
        <f>LOG(Table1_1__2[[#This Row],[N-EtFOSE]])</f>
        <v>-0.3053948010664313</v>
      </c>
      <c r="AH19">
        <f>LOG(Table1_1__2[[#This Row],[HFPO-DA]])</f>
        <v>-0.53017798402183702</v>
      </c>
      <c r="AI19">
        <f>LOG(Table1_1__2[[#This Row],[PFMBA]])</f>
        <v>-1</v>
      </c>
      <c r="AJ19">
        <f>LOG(Table1_1__2[[#This Row],[NFDHA]])</f>
        <v>-1</v>
      </c>
      <c r="AK19">
        <f>LOG(Table1_1__2[[#This Row],[9Cl-PF3ONS]])</f>
        <v>-0.69897000433601875</v>
      </c>
      <c r="AL19">
        <f>LOG(Table1_1__2[[#This Row],[11Cl-PF3OUdS]])</f>
        <v>-0.69897000433601875</v>
      </c>
      <c r="AM19">
        <f>LOG(Table1_1__2[[#This Row],[PFEESA]])</f>
        <v>-1</v>
      </c>
      <c r="AN19">
        <f>LOG(Table1_1__2[[#This Row],[PFMPA]])</f>
        <v>-1</v>
      </c>
    </row>
    <row r="20" spans="1:40" x14ac:dyDescent="0.3">
      <c r="A20">
        <f>LOG(Table1_1__2[[#This Row],[PFBA]])</f>
        <v>-0.69897000433601875</v>
      </c>
      <c r="B20">
        <f>LOG(Table1_1__2[[#This Row],[PFPeA]])</f>
        <v>-1</v>
      </c>
      <c r="C20">
        <f>LOG(Table1_1__2[[#This Row],[PFHxA]])</f>
        <v>-1.0457574905606752</v>
      </c>
      <c r="D20">
        <f>LOG(Table1_1__2[[#This Row],[PFHpA]])</f>
        <v>-1.0457574905606752</v>
      </c>
      <c r="E20">
        <f>LOG(Table1_1__2[[#This Row],[PFOA]])</f>
        <v>-0.92081875395237522</v>
      </c>
      <c r="F20">
        <f>LOG(Table1_1__2[[#This Row],[PFNA]])</f>
        <v>-1.3053948010664314</v>
      </c>
      <c r="G20">
        <f>LOG(Table1_1__2[[#This Row],[PFDA]])</f>
        <v>-1.3053948010664314</v>
      </c>
      <c r="H20">
        <f>LOG(Table1_1__2[[#This Row],[PFUnA]])</f>
        <v>-1.3053948010664314</v>
      </c>
      <c r="I20">
        <f>LOG(Table1_1__2[[#This Row],[PFDoA]])</f>
        <v>-1.3053948010664314</v>
      </c>
      <c r="J20">
        <f>LOG(Table1_1__2[[#This Row],[PFTrDA]])</f>
        <v>-1.3053948010664314</v>
      </c>
      <c r="K20">
        <f>LOG(Table1_1__2[[#This Row],[PFTeDA]])</f>
        <v>-1.3053948010664314</v>
      </c>
      <c r="L20">
        <f>LOG(Table1_1__2[[#This Row],[PFBS]])</f>
        <v>-1.3053948010664314</v>
      </c>
      <c r="M20">
        <f>LOG(Table1_1__2[[#This Row],[PFPeS]])</f>
        <v>-1.3053948010664314</v>
      </c>
      <c r="N20">
        <f>LOG(Table1_1__2[[#This Row],[PFHxS]])</f>
        <v>-0.65757731917779372</v>
      </c>
      <c r="O20">
        <f>LOG(Table1_1__2[[#This Row],[PFHpS]])</f>
        <v>-1.3053948010664314</v>
      </c>
      <c r="P20">
        <f>LOG(Table1_1__2[[#This Row],[PFOS]])</f>
        <v>7.9181246047624818E-2</v>
      </c>
      <c r="Q20">
        <f>LOG(Table1_1__2[[#This Row],[PFNS]])</f>
        <v>-1.3053948010664314</v>
      </c>
      <c r="R20">
        <f>LOG(Table1_1__2[[#This Row],[PFDS]])</f>
        <v>-1.3053948010664314</v>
      </c>
      <c r="S20">
        <f>LOG(Table1_1__2[[#This Row],[PFDoS]])</f>
        <v>-1.3053948010664314</v>
      </c>
      <c r="T20">
        <f>LOG(Table1_1__2[[#This Row],[4:2 FTS]])</f>
        <v>-0.69897000433601875</v>
      </c>
      <c r="U20">
        <f>LOG(Table1_1__2[[#This Row],[6:2 FTS]])</f>
        <v>-0.40340290437353976</v>
      </c>
      <c r="V20">
        <f>LOG(Table1_1__2[[#This Row],[8:2 FTS]])</f>
        <v>-0.40340290437353976</v>
      </c>
      <c r="W20">
        <f>LOG(Table1_1__2[[#This Row],[FOSA]])</f>
        <v>-1.0457574905606752</v>
      </c>
      <c r="X20">
        <f>LOG(Table1_1__2[[#This Row],[N-MeFOSA]])</f>
        <v>-1.3053948010664314</v>
      </c>
      <c r="Y20">
        <f>LOG(Table1_1__2[[#This Row],[N-MeFOSAA]])</f>
        <v>-1.3053948010664314</v>
      </c>
      <c r="Z20">
        <f>LOG(Table1_1__2[[#This Row],[N-EtFOSAA]])</f>
        <v>-1.3053948010664314</v>
      </c>
      <c r="AA20">
        <f>LOG(Table1_1__2[[#This Row],[ADONA]])</f>
        <v>-0.69897000433601875</v>
      </c>
      <c r="AB20">
        <f>LOG(Table1_1__2[[#This Row],[3:3 FTCA]])</f>
        <v>-0.6020599913279624</v>
      </c>
      <c r="AC20">
        <f>LOG(Table1_1__2[[#This Row],[5:3 FTCA]])</f>
        <v>9.691001300805642E-2</v>
      </c>
      <c r="AD20">
        <f>LOG(Table1_1__2[[#This Row],[7:3 FTCA]])</f>
        <v>9.691001300805642E-2</v>
      </c>
      <c r="AE20">
        <f>LOG(Table1_1__2[[#This Row],[N-EtFOSA]])</f>
        <v>-1.3053948010664314</v>
      </c>
      <c r="AF20">
        <f>LOG(Table1_1__2[[#This Row],[N-MeFOSE]])</f>
        <v>-0.3053948010664313</v>
      </c>
      <c r="AG20">
        <f>LOG(Table1_1__2[[#This Row],[N-EtFOSE]])</f>
        <v>-0.3053948010664313</v>
      </c>
      <c r="AH20">
        <f>LOG(Table1_1__2[[#This Row],[HFPO-DA]])</f>
        <v>-0.52287874528033762</v>
      </c>
      <c r="AI20">
        <f>LOG(Table1_1__2[[#This Row],[PFMBA]])</f>
        <v>-1</v>
      </c>
      <c r="AJ20">
        <f>LOG(Table1_1__2[[#This Row],[NFDHA]])</f>
        <v>-1</v>
      </c>
      <c r="AK20">
        <f>LOG(Table1_1__2[[#This Row],[9Cl-PF3ONS]])</f>
        <v>-0.69897000433601875</v>
      </c>
      <c r="AL20">
        <f>LOG(Table1_1__2[[#This Row],[11Cl-PF3OUdS]])</f>
        <v>-0.69897000433601875</v>
      </c>
      <c r="AM20">
        <f>LOG(Table1_1__2[[#This Row],[PFEESA]])</f>
        <v>-1</v>
      </c>
      <c r="AN20">
        <f>LOG(Table1_1__2[[#This Row],[PFMPA]])</f>
        <v>-1</v>
      </c>
    </row>
    <row r="21" spans="1:40" x14ac:dyDescent="0.3">
      <c r="A21">
        <f>LOG(Table1_1__2[[#This Row],[PFBA]])</f>
        <v>-0.69897000433601875</v>
      </c>
      <c r="B21">
        <f>LOG(Table1_1__2[[#This Row],[PFPeA]])</f>
        <v>-1</v>
      </c>
      <c r="C21">
        <f>LOG(Table1_1__2[[#This Row],[PFHxA]])</f>
        <v>-1.0457574905606752</v>
      </c>
      <c r="D21">
        <f>LOG(Table1_1__2[[#This Row],[PFHpA]])</f>
        <v>-1.0457574905606752</v>
      </c>
      <c r="E21">
        <f>LOG(Table1_1__2[[#This Row],[PFOA]])</f>
        <v>-0.92081875395237522</v>
      </c>
      <c r="F21">
        <f>LOG(Table1_1__2[[#This Row],[PFNA]])</f>
        <v>-1.3010299956639813</v>
      </c>
      <c r="G21">
        <f>LOG(Table1_1__2[[#This Row],[PFDA]])</f>
        <v>-1.3010299956639813</v>
      </c>
      <c r="H21">
        <f>LOG(Table1_1__2[[#This Row],[PFUnA]])</f>
        <v>-1.3010299956639813</v>
      </c>
      <c r="I21">
        <f>LOG(Table1_1__2[[#This Row],[PFDoA]])</f>
        <v>-1.3010299956639813</v>
      </c>
      <c r="J21">
        <f>LOG(Table1_1__2[[#This Row],[PFTrDA]])</f>
        <v>-1.3010299956639813</v>
      </c>
      <c r="K21">
        <f>LOG(Table1_1__2[[#This Row],[PFTeDA]])</f>
        <v>-1.3010299956639813</v>
      </c>
      <c r="L21">
        <f>LOG(Table1_1__2[[#This Row],[PFBS]])</f>
        <v>-1.3010299956639813</v>
      </c>
      <c r="M21">
        <f>LOG(Table1_1__2[[#This Row],[PFPeS]])</f>
        <v>-1.3010299956639813</v>
      </c>
      <c r="N21">
        <f>LOG(Table1_1__2[[#This Row],[PFHxS]])</f>
        <v>-0.55284196865778079</v>
      </c>
      <c r="O21">
        <f>LOG(Table1_1__2[[#This Row],[PFHpS]])</f>
        <v>-1.3010299956639813</v>
      </c>
      <c r="P21">
        <f>LOG(Table1_1__2[[#This Row],[PFOS]])</f>
        <v>-1.7728766960431602E-2</v>
      </c>
      <c r="Q21">
        <f>LOG(Table1_1__2[[#This Row],[PFNS]])</f>
        <v>-1.3010299956639813</v>
      </c>
      <c r="R21">
        <f>LOG(Table1_1__2[[#This Row],[PFDS]])</f>
        <v>-1.3010299956639813</v>
      </c>
      <c r="S21">
        <f>LOG(Table1_1__2[[#This Row],[PFDoS]])</f>
        <v>-1.3010299956639813</v>
      </c>
      <c r="T21">
        <f>LOG(Table1_1__2[[#This Row],[4:2 FTS]])</f>
        <v>-0.69897000433601875</v>
      </c>
      <c r="U21">
        <f>LOG(Table1_1__2[[#This Row],[6:2 FTS]])</f>
        <v>-0.3979400086720376</v>
      </c>
      <c r="V21">
        <f>LOG(Table1_1__2[[#This Row],[8:2 FTS]])</f>
        <v>-0.3979400086720376</v>
      </c>
      <c r="W21">
        <f>LOG(Table1_1__2[[#This Row],[FOSA]])</f>
        <v>-1.0457574905606752</v>
      </c>
      <c r="X21">
        <f>LOG(Table1_1__2[[#This Row],[N-MeFOSA]])</f>
        <v>-1.3010299956639813</v>
      </c>
      <c r="Y21">
        <f>LOG(Table1_1__2[[#This Row],[N-MeFOSAA]])</f>
        <v>-1.3010299956639813</v>
      </c>
      <c r="Z21">
        <f>LOG(Table1_1__2[[#This Row],[N-EtFOSAA]])</f>
        <v>-1.3010299956639813</v>
      </c>
      <c r="AA21">
        <f>LOG(Table1_1__2[[#This Row],[ADONA]])</f>
        <v>-0.69897000433601875</v>
      </c>
      <c r="AB21">
        <f>LOG(Table1_1__2[[#This Row],[3:3 FTCA]])</f>
        <v>-0.6020599913279624</v>
      </c>
      <c r="AC21">
        <f>LOG(Table1_1__2[[#This Row],[5:3 FTCA]])</f>
        <v>9.691001300805642E-2</v>
      </c>
      <c r="AD21">
        <f>LOG(Table1_1__2[[#This Row],[7:3 FTCA]])</f>
        <v>9.691001300805642E-2</v>
      </c>
      <c r="AE21">
        <f>LOG(Table1_1__2[[#This Row],[N-EtFOSA]])</f>
        <v>-1.3010299956639813</v>
      </c>
      <c r="AF21">
        <f>LOG(Table1_1__2[[#This Row],[N-MeFOSE]])</f>
        <v>-0.3010299956639812</v>
      </c>
      <c r="AG21">
        <f>LOG(Table1_1__2[[#This Row],[N-EtFOSE]])</f>
        <v>-0.3010299956639812</v>
      </c>
      <c r="AH21">
        <f>LOG(Table1_1__2[[#This Row],[HFPO-DA]])</f>
        <v>-0.52287874528033762</v>
      </c>
      <c r="AI21">
        <f>LOG(Table1_1__2[[#This Row],[PFMBA]])</f>
        <v>-1</v>
      </c>
      <c r="AJ21">
        <f>LOG(Table1_1__2[[#This Row],[NFDHA]])</f>
        <v>-1</v>
      </c>
      <c r="AK21">
        <f>LOG(Table1_1__2[[#This Row],[9Cl-PF3ONS]])</f>
        <v>-0.69897000433601875</v>
      </c>
      <c r="AL21">
        <f>LOG(Table1_1__2[[#This Row],[11Cl-PF3OUdS]])</f>
        <v>-0.69897000433601875</v>
      </c>
      <c r="AM21">
        <f>LOG(Table1_1__2[[#This Row],[PFEESA]])</f>
        <v>-1</v>
      </c>
      <c r="AN21">
        <f>LOG(Table1_1__2[[#This Row],[PFMPA]])</f>
        <v>-1</v>
      </c>
    </row>
    <row r="22" spans="1:40" x14ac:dyDescent="0.3">
      <c r="A22">
        <f>LOG(Table1_1__2[[#This Row],[PFBA]])</f>
        <v>-0.70996538863748193</v>
      </c>
      <c r="B22">
        <f>LOG(Table1_1__2[[#This Row],[PFPeA]])</f>
        <v>-1</v>
      </c>
      <c r="C22">
        <f>LOG(Table1_1__2[[#This Row],[PFHxA]])</f>
        <v>-0.88605664769316317</v>
      </c>
      <c r="D22">
        <f>LOG(Table1_1__2[[#This Row],[PFHpA]])</f>
        <v>-1.0457574905606752</v>
      </c>
      <c r="E22">
        <f>LOG(Table1_1__2[[#This Row],[PFOA]])</f>
        <v>-0.48148606012211248</v>
      </c>
      <c r="F22">
        <f>LOG(Table1_1__2[[#This Row],[PFNA]])</f>
        <v>-1.3053948010664314</v>
      </c>
      <c r="G22">
        <f>LOG(Table1_1__2[[#This Row],[PFDA]])</f>
        <v>-1.3053948010664314</v>
      </c>
      <c r="H22">
        <f>LOG(Table1_1__2[[#This Row],[PFUnA]])</f>
        <v>-1.3053948010664314</v>
      </c>
      <c r="I22">
        <f>LOG(Table1_1__2[[#This Row],[PFDoA]])</f>
        <v>-1.3053948010664314</v>
      </c>
      <c r="J22">
        <f>LOG(Table1_1__2[[#This Row],[PFTrDA]])</f>
        <v>-1.3053948010664314</v>
      </c>
      <c r="K22">
        <f>LOG(Table1_1__2[[#This Row],[PFTeDA]])</f>
        <v>-1.3053948010664314</v>
      </c>
      <c r="L22">
        <f>LOG(Table1_1__2[[#This Row],[PFBS]])</f>
        <v>-1.3053948010664314</v>
      </c>
      <c r="M22">
        <f>LOG(Table1_1__2[[#This Row],[PFPeS]])</f>
        <v>-1.3053948010664314</v>
      </c>
      <c r="N22">
        <f>LOG(Table1_1__2[[#This Row],[PFHxS]])</f>
        <v>-0.43179827593300502</v>
      </c>
      <c r="O22">
        <f>LOG(Table1_1__2[[#This Row],[PFHpS]])</f>
        <v>-1.3053948010664314</v>
      </c>
      <c r="P22">
        <f>LOG(Table1_1__2[[#This Row],[PFOS]])</f>
        <v>7.9181246047624818E-2</v>
      </c>
      <c r="Q22">
        <f>LOG(Table1_1__2[[#This Row],[PFNS]])</f>
        <v>-1.3053948010664314</v>
      </c>
      <c r="R22">
        <f>LOG(Table1_1__2[[#This Row],[PFDS]])</f>
        <v>-1.3053948010664314</v>
      </c>
      <c r="S22">
        <f>LOG(Table1_1__2[[#This Row],[PFDoS]])</f>
        <v>-1.3053948010664314</v>
      </c>
      <c r="T22">
        <f>LOG(Table1_1__2[[#This Row],[4:2 FTS]])</f>
        <v>-0.70996538863748193</v>
      </c>
      <c r="U22">
        <f>LOG(Table1_1__2[[#This Row],[6:2 FTS]])</f>
        <v>-0.40340290437353976</v>
      </c>
      <c r="V22">
        <f>LOG(Table1_1__2[[#This Row],[8:2 FTS]])</f>
        <v>-0.40340290437353976</v>
      </c>
      <c r="W22">
        <f>LOG(Table1_1__2[[#This Row],[FOSA]])</f>
        <v>-1.0457574905606752</v>
      </c>
      <c r="X22">
        <f>LOG(Table1_1__2[[#This Row],[N-MeFOSA]])</f>
        <v>-1.3053948010664314</v>
      </c>
      <c r="Y22">
        <f>LOG(Table1_1__2[[#This Row],[N-MeFOSAA]])</f>
        <v>-1.3053948010664314</v>
      </c>
      <c r="Z22">
        <f>LOG(Table1_1__2[[#This Row],[N-EtFOSAA]])</f>
        <v>-1.3053948010664314</v>
      </c>
      <c r="AA22">
        <f>LOG(Table1_1__2[[#This Row],[ADONA]])</f>
        <v>-0.70996538863748193</v>
      </c>
      <c r="AB22">
        <f>LOG(Table1_1__2[[#This Row],[3:3 FTCA]])</f>
        <v>-0.61083391563546752</v>
      </c>
      <c r="AC22">
        <f>LOG(Table1_1__2[[#This Row],[5:3 FTCA]])</f>
        <v>9.691001300805642E-2</v>
      </c>
      <c r="AD22">
        <f>LOG(Table1_1__2[[#This Row],[7:3 FTCA]])</f>
        <v>9.691001300805642E-2</v>
      </c>
      <c r="AE22">
        <f>LOG(Table1_1__2[[#This Row],[N-EtFOSA]])</f>
        <v>-1.3053948010664314</v>
      </c>
      <c r="AF22">
        <f>LOG(Table1_1__2[[#This Row],[N-MeFOSE]])</f>
        <v>-0.3053948010664313</v>
      </c>
      <c r="AG22">
        <f>LOG(Table1_1__2[[#This Row],[N-EtFOSE]])</f>
        <v>-0.3053948010664313</v>
      </c>
      <c r="AH22">
        <f>LOG(Table1_1__2[[#This Row],[HFPO-DA]])</f>
        <v>-0.53017798402183702</v>
      </c>
      <c r="AI22">
        <f>LOG(Table1_1__2[[#This Row],[PFMBA]])</f>
        <v>-1</v>
      </c>
      <c r="AJ22">
        <f>LOG(Table1_1__2[[#This Row],[NFDHA]])</f>
        <v>-1</v>
      </c>
      <c r="AK22">
        <f>LOG(Table1_1__2[[#This Row],[9Cl-PF3ONS]])</f>
        <v>-0.70996538863748193</v>
      </c>
      <c r="AL22">
        <f>LOG(Table1_1__2[[#This Row],[11Cl-PF3OUdS]])</f>
        <v>-0.70996538863748193</v>
      </c>
      <c r="AM22">
        <f>LOG(Table1_1__2[[#This Row],[PFEESA]])</f>
        <v>-1</v>
      </c>
      <c r="AN22">
        <f>LOG(Table1_1__2[[#This Row],[PFMPA]])</f>
        <v>-1</v>
      </c>
    </row>
    <row r="23" spans="1:40" x14ac:dyDescent="0.3">
      <c r="A23">
        <f>LOG(Table1_1__2[[#This Row],[PFBA]])</f>
        <v>-0.70996538863748193</v>
      </c>
      <c r="B23">
        <f>LOG(Table1_1__2[[#This Row],[PFPeA]])</f>
        <v>-1</v>
      </c>
      <c r="C23">
        <f>LOG(Table1_1__2[[#This Row],[PFHxA]])</f>
        <v>-1.0457574905606752</v>
      </c>
      <c r="D23">
        <f>LOG(Table1_1__2[[#This Row],[PFHpA]])</f>
        <v>-1.0457574905606752</v>
      </c>
      <c r="E23">
        <f>LOG(Table1_1__2[[#This Row],[PFOA]])</f>
        <v>-0.95860731484177497</v>
      </c>
      <c r="F23">
        <f>LOG(Table1_1__2[[#This Row],[PFNA]])</f>
        <v>-1.3098039199714864</v>
      </c>
      <c r="G23">
        <f>LOG(Table1_1__2[[#This Row],[PFDA]])</f>
        <v>-1.3098039199714864</v>
      </c>
      <c r="H23">
        <f>LOG(Table1_1__2[[#This Row],[PFUnA]])</f>
        <v>-1.3098039199714864</v>
      </c>
      <c r="I23">
        <f>LOG(Table1_1__2[[#This Row],[PFDoA]])</f>
        <v>-1.3098039199714864</v>
      </c>
      <c r="J23">
        <f>LOG(Table1_1__2[[#This Row],[PFTrDA]])</f>
        <v>-1.3098039199714864</v>
      </c>
      <c r="K23">
        <f>LOG(Table1_1__2[[#This Row],[PFTeDA]])</f>
        <v>-1.3098039199714864</v>
      </c>
      <c r="L23">
        <f>LOG(Table1_1__2[[#This Row],[PFBS]])</f>
        <v>-1.3098039199714864</v>
      </c>
      <c r="M23">
        <f>LOG(Table1_1__2[[#This Row],[PFPeS]])</f>
        <v>-1.3098039199714864</v>
      </c>
      <c r="N23">
        <f>LOG(Table1_1__2[[#This Row],[PFHxS]])</f>
        <v>-0.29242982390206362</v>
      </c>
      <c r="O23">
        <f>LOG(Table1_1__2[[#This Row],[PFHpS]])</f>
        <v>-1.3098039199714864</v>
      </c>
      <c r="P23">
        <f>LOG(Table1_1__2[[#This Row],[PFOS]])</f>
        <v>0.53147891704225514</v>
      </c>
      <c r="Q23">
        <f>LOG(Table1_1__2[[#This Row],[PFNS]])</f>
        <v>-1.3098039199714864</v>
      </c>
      <c r="R23">
        <f>LOG(Table1_1__2[[#This Row],[PFDS]])</f>
        <v>-1.3098039199714864</v>
      </c>
      <c r="S23">
        <f>LOG(Table1_1__2[[#This Row],[PFDoS]])</f>
        <v>-1.3098039199714864</v>
      </c>
      <c r="T23">
        <f>LOG(Table1_1__2[[#This Row],[4:2 FTS]])</f>
        <v>-0.70996538863748193</v>
      </c>
      <c r="U23">
        <f>LOG(Table1_1__2[[#This Row],[6:2 FTS]])</f>
        <v>-0.40340290437353976</v>
      </c>
      <c r="V23">
        <f>LOG(Table1_1__2[[#This Row],[8:2 FTS]])</f>
        <v>-0.40340290437353976</v>
      </c>
      <c r="W23">
        <f>LOG(Table1_1__2[[#This Row],[FOSA]])</f>
        <v>-1.031517051446065</v>
      </c>
      <c r="X23">
        <f>LOG(Table1_1__2[[#This Row],[N-MeFOSA]])</f>
        <v>-1.3098039199714864</v>
      </c>
      <c r="Y23">
        <f>LOG(Table1_1__2[[#This Row],[N-MeFOSAA]])</f>
        <v>-1.3098039199714864</v>
      </c>
      <c r="Z23">
        <f>LOG(Table1_1__2[[#This Row],[N-EtFOSAA]])</f>
        <v>-1.3098039199714864</v>
      </c>
      <c r="AA23">
        <f>LOG(Table1_1__2[[#This Row],[ADONA]])</f>
        <v>-0.70996538863748193</v>
      </c>
      <c r="AB23">
        <f>LOG(Table1_1__2[[#This Row],[3:3 FTCA]])</f>
        <v>-0.61083391563546752</v>
      </c>
      <c r="AC23">
        <f>LOG(Table1_1__2[[#This Row],[5:3 FTCA]])</f>
        <v>9.691001300805642E-2</v>
      </c>
      <c r="AD23">
        <f>LOG(Table1_1__2[[#This Row],[7:3 FTCA]])</f>
        <v>9.691001300805642E-2</v>
      </c>
      <c r="AE23">
        <f>LOG(Table1_1__2[[#This Row],[N-EtFOSA]])</f>
        <v>-1.3098039199714864</v>
      </c>
      <c r="AF23">
        <f>LOG(Table1_1__2[[#This Row],[N-MeFOSE]])</f>
        <v>-0.30980391997148632</v>
      </c>
      <c r="AG23">
        <f>LOG(Table1_1__2[[#This Row],[N-EtFOSE]])</f>
        <v>-0.30980391997148632</v>
      </c>
      <c r="AH23">
        <f>LOG(Table1_1__2[[#This Row],[HFPO-DA]])</f>
        <v>-0.53017798402183702</v>
      </c>
      <c r="AI23">
        <f>LOG(Table1_1__2[[#This Row],[PFMBA]])</f>
        <v>-1</v>
      </c>
      <c r="AJ23">
        <f>LOG(Table1_1__2[[#This Row],[NFDHA]])</f>
        <v>-1</v>
      </c>
      <c r="AK23">
        <f>LOG(Table1_1__2[[#This Row],[9Cl-PF3ONS]])</f>
        <v>-0.70996538863748193</v>
      </c>
      <c r="AL23">
        <f>LOG(Table1_1__2[[#This Row],[11Cl-PF3OUdS]])</f>
        <v>-0.70996538863748193</v>
      </c>
      <c r="AM23">
        <f>LOG(Table1_1__2[[#This Row],[PFEESA]])</f>
        <v>-1</v>
      </c>
      <c r="AN23">
        <f>LOG(Table1_1__2[[#This Row],[PFMPA]])</f>
        <v>-1</v>
      </c>
    </row>
    <row r="24" spans="1:40" x14ac:dyDescent="0.3">
      <c r="A24">
        <f>LOG(Table1_1__2[[#This Row],[PFBA]])</f>
        <v>-0.69897000433601875</v>
      </c>
      <c r="B24">
        <f>LOG(Table1_1__2[[#This Row],[PFPeA]])</f>
        <v>-1</v>
      </c>
      <c r="C24">
        <f>LOG(Table1_1__2[[#This Row],[PFHxA]])</f>
        <v>-1.0457574905606752</v>
      </c>
      <c r="D24">
        <f>LOG(Table1_1__2[[#This Row],[PFHpA]])</f>
        <v>-1.0457574905606752</v>
      </c>
      <c r="E24">
        <f>LOG(Table1_1__2[[#This Row],[PFOA]])</f>
        <v>-0.79588001734407521</v>
      </c>
      <c r="F24">
        <f>LOG(Table1_1__2[[#This Row],[PFNA]])</f>
        <v>-1.3010299956639813</v>
      </c>
      <c r="G24">
        <f>LOG(Table1_1__2[[#This Row],[PFDA]])</f>
        <v>-1.3010299956639813</v>
      </c>
      <c r="H24">
        <f>LOG(Table1_1__2[[#This Row],[PFUnA]])</f>
        <v>-1.3010299956639813</v>
      </c>
      <c r="I24">
        <f>LOG(Table1_1__2[[#This Row],[PFDoA]])</f>
        <v>-1.3010299956639813</v>
      </c>
      <c r="J24">
        <f>LOG(Table1_1__2[[#This Row],[PFTrDA]])</f>
        <v>-1.3010299956639813</v>
      </c>
      <c r="K24">
        <f>LOG(Table1_1__2[[#This Row],[PFTeDA]])</f>
        <v>-1.3010299956639813</v>
      </c>
      <c r="L24">
        <f>LOG(Table1_1__2[[#This Row],[PFBS]])</f>
        <v>-1.3010299956639813</v>
      </c>
      <c r="M24">
        <f>LOG(Table1_1__2[[#This Row],[PFPeS]])</f>
        <v>-1.3010299956639813</v>
      </c>
      <c r="N24">
        <f>LOG(Table1_1__2[[#This Row],[PFHxS]])</f>
        <v>-0.48148606012211248</v>
      </c>
      <c r="O24">
        <f>LOG(Table1_1__2[[#This Row],[PFHpS]])</f>
        <v>-1.3010299956639813</v>
      </c>
      <c r="P24">
        <f>LOG(Table1_1__2[[#This Row],[PFOS]])</f>
        <v>0.14612803567823801</v>
      </c>
      <c r="Q24">
        <f>LOG(Table1_1__2[[#This Row],[PFNS]])</f>
        <v>-1.3010299956639813</v>
      </c>
      <c r="R24">
        <f>LOG(Table1_1__2[[#This Row],[PFDS]])</f>
        <v>-1.3010299956639813</v>
      </c>
      <c r="S24">
        <f>LOG(Table1_1__2[[#This Row],[PFDoS]])</f>
        <v>-1.3010299956639813</v>
      </c>
      <c r="T24">
        <f>LOG(Table1_1__2[[#This Row],[4:2 FTS]])</f>
        <v>-0.69897000433601875</v>
      </c>
      <c r="U24">
        <f>LOG(Table1_1__2[[#This Row],[6:2 FTS]])</f>
        <v>-0.3979400086720376</v>
      </c>
      <c r="V24">
        <f>LOG(Table1_1__2[[#This Row],[8:2 FTS]])</f>
        <v>-0.3979400086720376</v>
      </c>
      <c r="W24">
        <f>LOG(Table1_1__2[[#This Row],[FOSA]])</f>
        <v>-1.0087739243075051</v>
      </c>
      <c r="X24">
        <f>LOG(Table1_1__2[[#This Row],[N-MeFOSA]])</f>
        <v>-1.3010299956639813</v>
      </c>
      <c r="Y24">
        <f>LOG(Table1_1__2[[#This Row],[N-MeFOSAA]])</f>
        <v>-1.3010299956639813</v>
      </c>
      <c r="Z24">
        <f>LOG(Table1_1__2[[#This Row],[N-EtFOSAA]])</f>
        <v>-1.3010299956639813</v>
      </c>
      <c r="AA24">
        <f>LOG(Table1_1__2[[#This Row],[ADONA]])</f>
        <v>-0.69897000433601875</v>
      </c>
      <c r="AB24">
        <f>LOG(Table1_1__2[[#This Row],[3:3 FTCA]])</f>
        <v>-0.6020599913279624</v>
      </c>
      <c r="AC24">
        <f>LOG(Table1_1__2[[#This Row],[5:3 FTCA]])</f>
        <v>9.691001300805642E-2</v>
      </c>
      <c r="AD24">
        <f>LOG(Table1_1__2[[#This Row],[7:3 FTCA]])</f>
        <v>9.691001300805642E-2</v>
      </c>
      <c r="AE24">
        <f>LOG(Table1_1__2[[#This Row],[N-EtFOSA]])</f>
        <v>-1.3010299956639813</v>
      </c>
      <c r="AF24">
        <f>LOG(Table1_1__2[[#This Row],[N-MeFOSE]])</f>
        <v>-0.3010299956639812</v>
      </c>
      <c r="AG24">
        <f>LOG(Table1_1__2[[#This Row],[N-EtFOSE]])</f>
        <v>-0.3010299956639812</v>
      </c>
      <c r="AH24">
        <f>LOG(Table1_1__2[[#This Row],[HFPO-DA]])</f>
        <v>-0.52287874528033762</v>
      </c>
      <c r="AI24">
        <f>LOG(Table1_1__2[[#This Row],[PFMBA]])</f>
        <v>-1</v>
      </c>
      <c r="AJ24">
        <f>LOG(Table1_1__2[[#This Row],[NFDHA]])</f>
        <v>-1</v>
      </c>
      <c r="AK24">
        <f>LOG(Table1_1__2[[#This Row],[9Cl-PF3ONS]])</f>
        <v>-0.69897000433601875</v>
      </c>
      <c r="AL24">
        <f>LOG(Table1_1__2[[#This Row],[11Cl-PF3OUdS]])</f>
        <v>-0.69897000433601875</v>
      </c>
      <c r="AM24">
        <f>LOG(Table1_1__2[[#This Row],[PFEESA]])</f>
        <v>-1</v>
      </c>
      <c r="AN24">
        <f>LOG(Table1_1__2[[#This Row],[PFMPA]])</f>
        <v>-1</v>
      </c>
    </row>
    <row r="25" spans="1:40" x14ac:dyDescent="0.3">
      <c r="A25">
        <f>LOG(Table1_1__2[[#This Row],[PFBA]])</f>
        <v>-0.69897000433601875</v>
      </c>
      <c r="B25">
        <f>LOG(Table1_1__2[[#This Row],[PFPeA]])</f>
        <v>-1</v>
      </c>
      <c r="C25">
        <f>LOG(Table1_1__2[[#This Row],[PFHxA]])</f>
        <v>-1.0457574905606752</v>
      </c>
      <c r="D25">
        <f>LOG(Table1_1__2[[#This Row],[PFHpA]])</f>
        <v>-1.0457574905606752</v>
      </c>
      <c r="E25">
        <f>LOG(Table1_1__2[[#This Row],[PFOA]])</f>
        <v>-0.82390874094431876</v>
      </c>
      <c r="F25">
        <f>LOG(Table1_1__2[[#This Row],[PFNA]])</f>
        <v>-1.3010299956639813</v>
      </c>
      <c r="G25">
        <f>LOG(Table1_1__2[[#This Row],[PFDA]])</f>
        <v>-1.3010299956639813</v>
      </c>
      <c r="H25">
        <f>LOG(Table1_1__2[[#This Row],[PFUnA]])</f>
        <v>-1.3010299956639813</v>
      </c>
      <c r="I25">
        <f>LOG(Table1_1__2[[#This Row],[PFDoA]])</f>
        <v>-1.3010299956639813</v>
      </c>
      <c r="J25">
        <f>LOG(Table1_1__2[[#This Row],[PFTrDA]])</f>
        <v>-1.3010299956639813</v>
      </c>
      <c r="K25">
        <f>LOG(Table1_1__2[[#This Row],[PFTeDA]])</f>
        <v>-1.3010299956639813</v>
      </c>
      <c r="L25">
        <f>LOG(Table1_1__2[[#This Row],[PFBS]])</f>
        <v>-1.3010299956639813</v>
      </c>
      <c r="M25">
        <f>LOG(Table1_1__2[[#This Row],[PFPeS]])</f>
        <v>-1.3010299956639813</v>
      </c>
      <c r="N25">
        <f>LOG(Table1_1__2[[#This Row],[PFHxS]])</f>
        <v>-0.52287874528033762</v>
      </c>
      <c r="O25">
        <f>LOG(Table1_1__2[[#This Row],[PFHpS]])</f>
        <v>-1.3010299956639813</v>
      </c>
      <c r="P25">
        <f>LOG(Table1_1__2[[#This Row],[PFOS]])</f>
        <v>0</v>
      </c>
      <c r="Q25">
        <f>LOG(Table1_1__2[[#This Row],[PFNS]])</f>
        <v>-1.3010299956639813</v>
      </c>
      <c r="R25">
        <f>LOG(Table1_1__2[[#This Row],[PFDS]])</f>
        <v>-1.3010299956639813</v>
      </c>
      <c r="S25">
        <f>LOG(Table1_1__2[[#This Row],[PFDoS]])</f>
        <v>-1.3010299956639813</v>
      </c>
      <c r="T25">
        <f>LOG(Table1_1__2[[#This Row],[4:2 FTS]])</f>
        <v>-0.69897000433601875</v>
      </c>
      <c r="U25">
        <f>LOG(Table1_1__2[[#This Row],[6:2 FTS]])</f>
        <v>-0.3979400086720376</v>
      </c>
      <c r="V25">
        <f>LOG(Table1_1__2[[#This Row],[8:2 FTS]])</f>
        <v>-0.3979400086720376</v>
      </c>
      <c r="W25">
        <f>LOG(Table1_1__2[[#This Row],[FOSA]])</f>
        <v>-1.0457574905606752</v>
      </c>
      <c r="X25">
        <f>LOG(Table1_1__2[[#This Row],[N-MeFOSA]])</f>
        <v>-1.3010299956639813</v>
      </c>
      <c r="Y25">
        <f>LOG(Table1_1__2[[#This Row],[N-MeFOSAA]])</f>
        <v>-1.3010299956639813</v>
      </c>
      <c r="Z25">
        <f>LOG(Table1_1__2[[#This Row],[N-EtFOSAA]])</f>
        <v>-1.3010299956639813</v>
      </c>
      <c r="AA25">
        <f>LOG(Table1_1__2[[#This Row],[ADONA]])</f>
        <v>-0.69897000433601875</v>
      </c>
      <c r="AB25">
        <f>LOG(Table1_1__2[[#This Row],[3:3 FTCA]])</f>
        <v>-0.6020599913279624</v>
      </c>
      <c r="AC25">
        <f>LOG(Table1_1__2[[#This Row],[5:3 FTCA]])</f>
        <v>9.691001300805642E-2</v>
      </c>
      <c r="AD25">
        <f>LOG(Table1_1__2[[#This Row],[7:3 FTCA]])</f>
        <v>9.691001300805642E-2</v>
      </c>
      <c r="AE25">
        <f>LOG(Table1_1__2[[#This Row],[N-EtFOSA]])</f>
        <v>-1.3010299956639813</v>
      </c>
      <c r="AF25">
        <f>LOG(Table1_1__2[[#This Row],[N-MeFOSE]])</f>
        <v>-0.3010299956639812</v>
      </c>
      <c r="AG25">
        <f>LOG(Table1_1__2[[#This Row],[N-EtFOSE]])</f>
        <v>-0.3010299956639812</v>
      </c>
      <c r="AH25">
        <f>LOG(Table1_1__2[[#This Row],[HFPO-DA]])</f>
        <v>-0.52287874528033762</v>
      </c>
      <c r="AI25">
        <f>LOG(Table1_1__2[[#This Row],[PFMBA]])</f>
        <v>-1</v>
      </c>
      <c r="AJ25">
        <f>LOG(Table1_1__2[[#This Row],[NFDHA]])</f>
        <v>-1</v>
      </c>
      <c r="AK25">
        <f>LOG(Table1_1__2[[#This Row],[9Cl-PF3ONS]])</f>
        <v>-0.69897000433601875</v>
      </c>
      <c r="AL25">
        <f>LOG(Table1_1__2[[#This Row],[11Cl-PF3OUdS]])</f>
        <v>-0.69897000433601875</v>
      </c>
      <c r="AM25">
        <f>LOG(Table1_1__2[[#This Row],[PFEESA]])</f>
        <v>-1</v>
      </c>
      <c r="AN25">
        <f>LOG(Table1_1__2[[#This Row],[PFMPA]])</f>
        <v>-1</v>
      </c>
    </row>
    <row r="26" spans="1:40" x14ac:dyDescent="0.3">
      <c r="A26">
        <f>LOG(Table1_1__2[[#This Row],[PFBA]])</f>
        <v>-0.69897000433601875</v>
      </c>
      <c r="B26">
        <f>LOG(Table1_1__2[[#This Row],[PFPeA]])</f>
        <v>-1</v>
      </c>
      <c r="C26">
        <f>LOG(Table1_1__2[[#This Row],[PFHxA]])</f>
        <v>-1.0362121726544447</v>
      </c>
      <c r="D26">
        <f>LOG(Table1_1__2[[#This Row],[PFHpA]])</f>
        <v>-1.0457574905606752</v>
      </c>
      <c r="E26">
        <f>LOG(Table1_1__2[[#This Row],[PFOA]])</f>
        <v>-0.34678748622465633</v>
      </c>
      <c r="F26">
        <f>LOG(Table1_1__2[[#This Row],[PFNA]])</f>
        <v>-1.3010299956639813</v>
      </c>
      <c r="G26">
        <f>LOG(Table1_1__2[[#This Row],[PFDA]])</f>
        <v>-1.3010299956639813</v>
      </c>
      <c r="H26">
        <f>LOG(Table1_1__2[[#This Row],[PFUnA]])</f>
        <v>-1.3010299956639813</v>
      </c>
      <c r="I26">
        <f>LOG(Table1_1__2[[#This Row],[PFDoA]])</f>
        <v>-1.3010299956639813</v>
      </c>
      <c r="J26">
        <f>LOG(Table1_1__2[[#This Row],[PFTrDA]])</f>
        <v>-1.3010299956639813</v>
      </c>
      <c r="K26">
        <f>LOG(Table1_1__2[[#This Row],[PFTeDA]])</f>
        <v>-1.3010299956639813</v>
      </c>
      <c r="L26">
        <f>LOG(Table1_1__2[[#This Row],[PFBS]])</f>
        <v>-1.3010299956639813</v>
      </c>
      <c r="M26">
        <f>LOG(Table1_1__2[[#This Row],[PFPeS]])</f>
        <v>-1.3010299956639813</v>
      </c>
      <c r="N26">
        <f>LOG(Table1_1__2[[#This Row],[PFHxS]])</f>
        <v>-0.6020599913279624</v>
      </c>
      <c r="O26">
        <f>LOG(Table1_1__2[[#This Row],[PFHpS]])</f>
        <v>-1.3010299956639813</v>
      </c>
      <c r="P26">
        <f>LOG(Table1_1__2[[#This Row],[PFOS]])</f>
        <v>-5.551732784983137E-2</v>
      </c>
      <c r="Q26">
        <f>LOG(Table1_1__2[[#This Row],[PFNS]])</f>
        <v>-1.3010299956639813</v>
      </c>
      <c r="R26">
        <f>LOG(Table1_1__2[[#This Row],[PFDS]])</f>
        <v>-1.3010299956639813</v>
      </c>
      <c r="S26">
        <f>LOG(Table1_1__2[[#This Row],[PFDoS]])</f>
        <v>-1.3010299956639813</v>
      </c>
      <c r="T26">
        <f>LOG(Table1_1__2[[#This Row],[4:2 FTS]])</f>
        <v>-0.69897000433601875</v>
      </c>
      <c r="U26">
        <f>LOG(Table1_1__2[[#This Row],[6:2 FTS]])</f>
        <v>-0.3979400086720376</v>
      </c>
      <c r="V26">
        <f>LOG(Table1_1__2[[#This Row],[8:2 FTS]])</f>
        <v>-0.3979400086720376</v>
      </c>
      <c r="W26">
        <f>LOG(Table1_1__2[[#This Row],[FOSA]])</f>
        <v>-1.0457574905606752</v>
      </c>
      <c r="X26">
        <f>LOG(Table1_1__2[[#This Row],[N-MeFOSA]])</f>
        <v>-1.3010299956639813</v>
      </c>
      <c r="Y26">
        <f>LOG(Table1_1__2[[#This Row],[N-MeFOSAA]])</f>
        <v>-1.3010299956639813</v>
      </c>
      <c r="Z26">
        <f>LOG(Table1_1__2[[#This Row],[N-EtFOSAA]])</f>
        <v>-1.3010299956639813</v>
      </c>
      <c r="AA26">
        <f>LOG(Table1_1__2[[#This Row],[ADONA]])</f>
        <v>-0.69897000433601875</v>
      </c>
      <c r="AB26">
        <f>LOG(Table1_1__2[[#This Row],[3:3 FTCA]])</f>
        <v>-0.6020599913279624</v>
      </c>
      <c r="AC26">
        <f>LOG(Table1_1__2[[#This Row],[5:3 FTCA]])</f>
        <v>9.691001300805642E-2</v>
      </c>
      <c r="AD26">
        <f>LOG(Table1_1__2[[#This Row],[7:3 FTCA]])</f>
        <v>9.691001300805642E-2</v>
      </c>
      <c r="AE26">
        <f>LOG(Table1_1__2[[#This Row],[N-EtFOSA]])</f>
        <v>-1.3010299956639813</v>
      </c>
      <c r="AF26">
        <f>LOG(Table1_1__2[[#This Row],[N-MeFOSE]])</f>
        <v>-0.3010299956639812</v>
      </c>
      <c r="AG26">
        <f>LOG(Table1_1__2[[#This Row],[N-EtFOSE]])</f>
        <v>-0.3010299956639812</v>
      </c>
      <c r="AH26">
        <f>LOG(Table1_1__2[[#This Row],[HFPO-DA]])</f>
        <v>-0.52287874528033762</v>
      </c>
      <c r="AI26">
        <f>LOG(Table1_1__2[[#This Row],[PFMBA]])</f>
        <v>-1</v>
      </c>
      <c r="AJ26">
        <f>LOG(Table1_1__2[[#This Row],[NFDHA]])</f>
        <v>-1</v>
      </c>
      <c r="AK26">
        <f>LOG(Table1_1__2[[#This Row],[9Cl-PF3ONS]])</f>
        <v>-0.69897000433601875</v>
      </c>
      <c r="AL26">
        <f>LOG(Table1_1__2[[#This Row],[11Cl-PF3OUdS]])</f>
        <v>-0.69897000433601875</v>
      </c>
      <c r="AM26">
        <f>LOG(Table1_1__2[[#This Row],[PFEESA]])</f>
        <v>-1</v>
      </c>
      <c r="AN26">
        <f>LOG(Table1_1__2[[#This Row],[PFMPA]])</f>
        <v>-1</v>
      </c>
    </row>
    <row r="27" spans="1:40" x14ac:dyDescent="0.3">
      <c r="A27">
        <f>LOG(Table1_1__2[[#This Row],[PFBA]])</f>
        <v>-0.69897000433601875</v>
      </c>
      <c r="B27">
        <f>LOG(Table1_1__2[[#This Row],[PFPeA]])</f>
        <v>-1</v>
      </c>
      <c r="C27">
        <f>LOG(Table1_1__2[[#This Row],[PFHxA]])</f>
        <v>-1.0457574905606752</v>
      </c>
      <c r="D27">
        <f>LOG(Table1_1__2[[#This Row],[PFHpA]])</f>
        <v>-1.0457574905606752</v>
      </c>
      <c r="E27">
        <f>LOG(Table1_1__2[[#This Row],[PFOA]])</f>
        <v>-0.92081875395237522</v>
      </c>
      <c r="F27">
        <f>LOG(Table1_1__2[[#This Row],[PFNA]])</f>
        <v>-1.3010299956639813</v>
      </c>
      <c r="G27">
        <f>LOG(Table1_1__2[[#This Row],[PFDA]])</f>
        <v>-1.3010299956639813</v>
      </c>
      <c r="H27">
        <f>LOG(Table1_1__2[[#This Row],[PFUnA]])</f>
        <v>-1.3010299956639813</v>
      </c>
      <c r="I27">
        <f>LOG(Table1_1__2[[#This Row],[PFDoA]])</f>
        <v>-1.2676062401770316</v>
      </c>
      <c r="J27">
        <f>LOG(Table1_1__2[[#This Row],[PFTrDA]])</f>
        <v>-1.3010299956639813</v>
      </c>
      <c r="K27">
        <f>LOG(Table1_1__2[[#This Row],[PFTeDA]])</f>
        <v>-1.3010299956639813</v>
      </c>
      <c r="L27">
        <f>LOG(Table1_1__2[[#This Row],[PFBS]])</f>
        <v>-1.3010299956639813</v>
      </c>
      <c r="M27">
        <f>LOG(Table1_1__2[[#This Row],[PFPeS]])</f>
        <v>-1.3010299956639813</v>
      </c>
      <c r="N27">
        <f>LOG(Table1_1__2[[#This Row],[PFHxS]])</f>
        <v>-0.53760200210104392</v>
      </c>
      <c r="O27">
        <f>LOG(Table1_1__2[[#This Row],[PFHpS]])</f>
        <v>-1.3010299956639813</v>
      </c>
      <c r="P27">
        <f>LOG(Table1_1__2[[#This Row],[PFOS]])</f>
        <v>0.27875360095282892</v>
      </c>
      <c r="Q27">
        <f>LOG(Table1_1__2[[#This Row],[PFNS]])</f>
        <v>-1.3010299956639813</v>
      </c>
      <c r="R27">
        <f>LOG(Table1_1__2[[#This Row],[PFDS]])</f>
        <v>-1.3010299956639813</v>
      </c>
      <c r="S27">
        <f>LOG(Table1_1__2[[#This Row],[PFDoS]])</f>
        <v>-1.3010299956639813</v>
      </c>
      <c r="T27">
        <f>LOG(Table1_1__2[[#This Row],[4:2 FTS]])</f>
        <v>-0.69897000433601875</v>
      </c>
      <c r="U27">
        <f>LOG(Table1_1__2[[#This Row],[6:2 FTS]])</f>
        <v>-0.3979400086720376</v>
      </c>
      <c r="V27">
        <f>LOG(Table1_1__2[[#This Row],[8:2 FTS]])</f>
        <v>-0.3979400086720376</v>
      </c>
      <c r="W27">
        <f>LOG(Table1_1__2[[#This Row],[FOSA]])</f>
        <v>-0.88605664769316317</v>
      </c>
      <c r="X27">
        <f>LOG(Table1_1__2[[#This Row],[N-MeFOSA]])</f>
        <v>-1.3010299956639813</v>
      </c>
      <c r="Y27">
        <f>LOG(Table1_1__2[[#This Row],[N-MeFOSAA]])</f>
        <v>-1.3010299956639813</v>
      </c>
      <c r="Z27">
        <f>LOG(Table1_1__2[[#This Row],[N-EtFOSAA]])</f>
        <v>-1.3010299956639813</v>
      </c>
      <c r="AA27">
        <f>LOG(Table1_1__2[[#This Row],[ADONA]])</f>
        <v>-0.69897000433601875</v>
      </c>
      <c r="AB27">
        <f>LOG(Table1_1__2[[#This Row],[3:3 FTCA]])</f>
        <v>-0.6020599913279624</v>
      </c>
      <c r="AC27">
        <f>LOG(Table1_1__2[[#This Row],[5:3 FTCA]])</f>
        <v>9.691001300805642E-2</v>
      </c>
      <c r="AD27">
        <f>LOG(Table1_1__2[[#This Row],[7:3 FTCA]])</f>
        <v>9.691001300805642E-2</v>
      </c>
      <c r="AE27">
        <f>LOG(Table1_1__2[[#This Row],[N-EtFOSA]])</f>
        <v>-1.3010299956639813</v>
      </c>
      <c r="AF27">
        <f>LOG(Table1_1__2[[#This Row],[N-MeFOSE]])</f>
        <v>-0.3010299956639812</v>
      </c>
      <c r="AG27">
        <f>LOG(Table1_1__2[[#This Row],[N-EtFOSE]])</f>
        <v>-0.3010299956639812</v>
      </c>
      <c r="AH27">
        <f>LOG(Table1_1__2[[#This Row],[HFPO-DA]])</f>
        <v>-0.52287874528033762</v>
      </c>
      <c r="AI27">
        <f>LOG(Table1_1__2[[#This Row],[PFMBA]])</f>
        <v>-1</v>
      </c>
      <c r="AJ27">
        <f>LOG(Table1_1__2[[#This Row],[NFDHA]])</f>
        <v>-1</v>
      </c>
      <c r="AK27">
        <f>LOG(Table1_1__2[[#This Row],[9Cl-PF3ONS]])</f>
        <v>-0.69897000433601875</v>
      </c>
      <c r="AL27">
        <f>LOG(Table1_1__2[[#This Row],[11Cl-PF3OUdS]])</f>
        <v>-0.69897000433601875</v>
      </c>
      <c r="AM27">
        <f>LOG(Table1_1__2[[#This Row],[PFEESA]])</f>
        <v>-1</v>
      </c>
      <c r="AN27">
        <f>LOG(Table1_1__2[[#This Row],[PFMPA]])</f>
        <v>-1</v>
      </c>
    </row>
    <row r="28" spans="1:40" x14ac:dyDescent="0.3">
      <c r="A28">
        <f>LOG(Table1_1__2[[#This Row],[PFBA]])</f>
        <v>-0.69897000433601875</v>
      </c>
      <c r="B28">
        <f>LOG(Table1_1__2[[#This Row],[PFPeA]])</f>
        <v>-1</v>
      </c>
      <c r="C28">
        <f>LOG(Table1_1__2[[#This Row],[PFHxA]])</f>
        <v>-1.0457574905606752</v>
      </c>
      <c r="D28">
        <f>LOG(Table1_1__2[[#This Row],[PFHpA]])</f>
        <v>-1.0457574905606752</v>
      </c>
      <c r="E28">
        <f>LOG(Table1_1__2[[#This Row],[PFOA]])</f>
        <v>-0.82390874094431876</v>
      </c>
      <c r="F28">
        <f>LOG(Table1_1__2[[#This Row],[PFNA]])</f>
        <v>-1.3010299956639813</v>
      </c>
      <c r="G28">
        <f>LOG(Table1_1__2[[#This Row],[PFDA]])</f>
        <v>-1.3010299956639813</v>
      </c>
      <c r="H28">
        <f>LOG(Table1_1__2[[#This Row],[PFUnA]])</f>
        <v>-1.3010299956639813</v>
      </c>
      <c r="I28">
        <f>LOG(Table1_1__2[[#This Row],[PFDoA]])</f>
        <v>-1.3010299956639813</v>
      </c>
      <c r="J28">
        <f>LOG(Table1_1__2[[#This Row],[PFTrDA]])</f>
        <v>-1.3010299956639813</v>
      </c>
      <c r="K28">
        <f>LOG(Table1_1__2[[#This Row],[PFTeDA]])</f>
        <v>-1.3010299956639813</v>
      </c>
      <c r="L28">
        <f>LOG(Table1_1__2[[#This Row],[PFBS]])</f>
        <v>-1.3010299956639813</v>
      </c>
      <c r="M28">
        <f>LOG(Table1_1__2[[#This Row],[PFPeS]])</f>
        <v>-1.3010299956639813</v>
      </c>
      <c r="N28">
        <f>LOG(Table1_1__2[[#This Row],[PFHxS]])</f>
        <v>-0.56863623584101264</v>
      </c>
      <c r="O28">
        <f>LOG(Table1_1__2[[#This Row],[PFHpS]])</f>
        <v>-1.3010299956639813</v>
      </c>
      <c r="P28">
        <f>LOG(Table1_1__2[[#This Row],[PFOS]])</f>
        <v>0.14612803567823801</v>
      </c>
      <c r="Q28">
        <f>LOG(Table1_1__2[[#This Row],[PFNS]])</f>
        <v>-1.3010299956639813</v>
      </c>
      <c r="R28">
        <f>LOG(Table1_1__2[[#This Row],[PFDS]])</f>
        <v>-1.3010299956639813</v>
      </c>
      <c r="S28">
        <f>LOG(Table1_1__2[[#This Row],[PFDoS]])</f>
        <v>-1.3010299956639813</v>
      </c>
      <c r="T28">
        <f>LOG(Table1_1__2[[#This Row],[4:2 FTS]])</f>
        <v>-0.69897000433601875</v>
      </c>
      <c r="U28">
        <f>LOG(Table1_1__2[[#This Row],[6:2 FTS]])</f>
        <v>-0.3979400086720376</v>
      </c>
      <c r="V28">
        <f>LOG(Table1_1__2[[#This Row],[8:2 FTS]])</f>
        <v>-0.3979400086720376</v>
      </c>
      <c r="W28">
        <f>LOG(Table1_1__2[[#This Row],[FOSA]])</f>
        <v>-1.031517051446065</v>
      </c>
      <c r="X28">
        <f>LOG(Table1_1__2[[#This Row],[N-MeFOSA]])</f>
        <v>-1.3010299956639813</v>
      </c>
      <c r="Y28">
        <f>LOG(Table1_1__2[[#This Row],[N-MeFOSAA]])</f>
        <v>-1.3010299956639813</v>
      </c>
      <c r="Z28">
        <f>LOG(Table1_1__2[[#This Row],[N-EtFOSAA]])</f>
        <v>-1.3010299956639813</v>
      </c>
      <c r="AA28">
        <f>LOG(Table1_1__2[[#This Row],[ADONA]])</f>
        <v>-0.69897000433601875</v>
      </c>
      <c r="AB28">
        <f>LOG(Table1_1__2[[#This Row],[3:3 FTCA]])</f>
        <v>-0.6020599913279624</v>
      </c>
      <c r="AC28">
        <f>LOG(Table1_1__2[[#This Row],[5:3 FTCA]])</f>
        <v>9.691001300805642E-2</v>
      </c>
      <c r="AD28">
        <f>LOG(Table1_1__2[[#This Row],[7:3 FTCA]])</f>
        <v>9.691001300805642E-2</v>
      </c>
      <c r="AE28">
        <f>LOG(Table1_1__2[[#This Row],[N-EtFOSA]])</f>
        <v>-1.3010299956639813</v>
      </c>
      <c r="AF28">
        <f>LOG(Table1_1__2[[#This Row],[N-MeFOSE]])</f>
        <v>-0.3010299956639812</v>
      </c>
      <c r="AG28">
        <f>LOG(Table1_1__2[[#This Row],[N-EtFOSE]])</f>
        <v>-0.3010299956639812</v>
      </c>
      <c r="AH28">
        <f>LOG(Table1_1__2[[#This Row],[HFPO-DA]])</f>
        <v>-0.52287874528033762</v>
      </c>
      <c r="AI28">
        <f>LOG(Table1_1__2[[#This Row],[PFMBA]])</f>
        <v>-1</v>
      </c>
      <c r="AJ28">
        <f>LOG(Table1_1__2[[#This Row],[NFDHA]])</f>
        <v>-1</v>
      </c>
      <c r="AK28">
        <f>LOG(Table1_1__2[[#This Row],[9Cl-PF3ONS]])</f>
        <v>-0.69897000433601875</v>
      </c>
      <c r="AL28">
        <f>LOG(Table1_1__2[[#This Row],[11Cl-PF3OUdS]])</f>
        <v>-0.69897000433601875</v>
      </c>
      <c r="AM28">
        <f>LOG(Table1_1__2[[#This Row],[PFEESA]])</f>
        <v>-1</v>
      </c>
      <c r="AN28">
        <f>LOG(Table1_1__2[[#This Row],[PFMPA]])</f>
        <v>-1</v>
      </c>
    </row>
    <row r="29" spans="1:40" x14ac:dyDescent="0.3">
      <c r="A29">
        <f>LOG(Table1_1__2[[#This Row],[PFBA]])</f>
        <v>-0.69897000433601875</v>
      </c>
      <c r="B29">
        <f>LOG(Table1_1__2[[#This Row],[PFPeA]])</f>
        <v>-1</v>
      </c>
      <c r="C29">
        <f>LOG(Table1_1__2[[#This Row],[PFHxA]])</f>
        <v>-1.0457574905606752</v>
      </c>
      <c r="D29">
        <f>LOG(Table1_1__2[[#This Row],[PFHpA]])</f>
        <v>-1.0457574905606752</v>
      </c>
      <c r="E29">
        <f>LOG(Table1_1__2[[#This Row],[PFOA]])</f>
        <v>-0.85387196432176193</v>
      </c>
      <c r="F29">
        <f>LOG(Table1_1__2[[#This Row],[PFNA]])</f>
        <v>-1.3010299956639813</v>
      </c>
      <c r="G29">
        <f>LOG(Table1_1__2[[#This Row],[PFDA]])</f>
        <v>-1.3010299956639813</v>
      </c>
      <c r="H29">
        <f>LOG(Table1_1__2[[#This Row],[PFUnA]])</f>
        <v>-1.3010299956639813</v>
      </c>
      <c r="I29">
        <f>LOG(Table1_1__2[[#This Row],[PFDoA]])</f>
        <v>-0.62893213772826373</v>
      </c>
      <c r="J29">
        <f>LOG(Table1_1__2[[#This Row],[PFTrDA]])</f>
        <v>-0.62893213772826373</v>
      </c>
      <c r="K29">
        <f>LOG(Table1_1__2[[#This Row],[PFTeDA]])</f>
        <v>-0.62893213772826373</v>
      </c>
      <c r="L29">
        <f>LOG(Table1_1__2[[#This Row],[PFBS]])</f>
        <v>-1.3010299956639813</v>
      </c>
      <c r="M29">
        <f>LOG(Table1_1__2[[#This Row],[PFPeS]])</f>
        <v>-1.3010299956639813</v>
      </c>
      <c r="N29">
        <f>LOG(Table1_1__2[[#This Row],[PFHxS]])</f>
        <v>-0.65757731917779372</v>
      </c>
      <c r="O29">
        <f>LOG(Table1_1__2[[#This Row],[PFHpS]])</f>
        <v>-1.3010299956639813</v>
      </c>
      <c r="P29">
        <f>LOG(Table1_1__2[[#This Row],[PFOS]])</f>
        <v>-6.0480747381381476E-2</v>
      </c>
      <c r="Q29">
        <f>LOG(Table1_1__2[[#This Row],[PFNS]])</f>
        <v>-1.3010299956639813</v>
      </c>
      <c r="R29">
        <f>LOG(Table1_1__2[[#This Row],[PFDS]])</f>
        <v>-1.3010299956639813</v>
      </c>
      <c r="S29">
        <f>LOG(Table1_1__2[[#This Row],[PFDoS]])</f>
        <v>-1.3010299956639813</v>
      </c>
      <c r="T29">
        <f>LOG(Table1_1__2[[#This Row],[4:2 FTS]])</f>
        <v>-0.69897000433601875</v>
      </c>
      <c r="U29">
        <f>LOG(Table1_1__2[[#This Row],[6:2 FTS]])</f>
        <v>-0.3979400086720376</v>
      </c>
      <c r="V29">
        <f>LOG(Table1_1__2[[#This Row],[8:2 FTS]])</f>
        <v>-0.3979400086720376</v>
      </c>
      <c r="W29">
        <f>LOG(Table1_1__2[[#This Row],[FOSA]])</f>
        <v>-1.0457574905606752</v>
      </c>
      <c r="X29">
        <f>LOG(Table1_1__2[[#This Row],[N-MeFOSA]])</f>
        <v>-1.3010299956639813</v>
      </c>
      <c r="Y29">
        <f>LOG(Table1_1__2[[#This Row],[N-MeFOSAA]])</f>
        <v>-1.3010299956639813</v>
      </c>
      <c r="Z29">
        <f>LOG(Table1_1__2[[#This Row],[N-EtFOSAA]])</f>
        <v>-1.3010299956639813</v>
      </c>
      <c r="AA29">
        <f>LOG(Table1_1__2[[#This Row],[ADONA]])</f>
        <v>-0.69897000433601875</v>
      </c>
      <c r="AB29">
        <f>LOG(Table1_1__2[[#This Row],[3:3 FTCA]])</f>
        <v>-0.6020599913279624</v>
      </c>
      <c r="AC29">
        <f>LOG(Table1_1__2[[#This Row],[5:3 FTCA]])</f>
        <v>9.691001300805642E-2</v>
      </c>
      <c r="AD29">
        <f>LOG(Table1_1__2[[#This Row],[7:3 FTCA]])</f>
        <v>9.691001300805642E-2</v>
      </c>
      <c r="AE29">
        <f>LOG(Table1_1__2[[#This Row],[N-EtFOSA]])</f>
        <v>-1.3010299956639813</v>
      </c>
      <c r="AF29">
        <f>LOG(Table1_1__2[[#This Row],[N-MeFOSE]])</f>
        <v>-0.3010299956639812</v>
      </c>
      <c r="AG29">
        <f>LOG(Table1_1__2[[#This Row],[N-EtFOSE]])</f>
        <v>-0.3010299956639812</v>
      </c>
      <c r="AH29">
        <f>LOG(Table1_1__2[[#This Row],[HFPO-DA]])</f>
        <v>-0.52287874528033762</v>
      </c>
      <c r="AI29">
        <f>LOG(Table1_1__2[[#This Row],[PFMBA]])</f>
        <v>-1</v>
      </c>
      <c r="AJ29">
        <f>LOG(Table1_1__2[[#This Row],[NFDHA]])</f>
        <v>-1</v>
      </c>
      <c r="AK29">
        <f>LOG(Table1_1__2[[#This Row],[9Cl-PF3ONS]])</f>
        <v>-0.69897000433601875</v>
      </c>
      <c r="AL29">
        <f>LOG(Table1_1__2[[#This Row],[11Cl-PF3OUdS]])</f>
        <v>-0.69897000433601875</v>
      </c>
      <c r="AM29">
        <f>LOG(Table1_1__2[[#This Row],[PFEESA]])</f>
        <v>-1</v>
      </c>
      <c r="AN29">
        <f>LOG(Table1_1__2[[#This Row],[PFMPA]])</f>
        <v>-1</v>
      </c>
    </row>
    <row r="30" spans="1:40" x14ac:dyDescent="0.3">
      <c r="A30">
        <f>LOG(Table1_1__2[[#This Row],[PFBA]])</f>
        <v>-1.0969100130080565</v>
      </c>
      <c r="B30">
        <f>LOG(Table1_1__2[[#This Row],[PFPeA]])</f>
        <v>-1.0409586076789064</v>
      </c>
      <c r="C30">
        <f>LOG(Table1_1__2[[#This Row],[PFHxA]])</f>
        <v>-0.75448733218585018</v>
      </c>
      <c r="D30">
        <f>LOG(Table1_1__2[[#This Row],[PFHpA]])</f>
        <v>-1.3979400086720375</v>
      </c>
      <c r="E30">
        <f>LOG(Table1_1__2[[#This Row],[PFOA]])</f>
        <v>-0.51144928349955576</v>
      </c>
      <c r="F30">
        <f>LOG(Table1_1__2[[#This Row],[PFNA]])</f>
        <v>-1.2596373105057561</v>
      </c>
      <c r="G30">
        <f>LOG(Table1_1__2[[#This Row],[PFDA]])</f>
        <v>-1.6989700043360187</v>
      </c>
      <c r="H30">
        <f>LOG(Table1_1__2[[#This Row],[PFUnA]])</f>
        <v>-1.6989700043360187</v>
      </c>
      <c r="I30">
        <f>LOG(Table1_1__2[[#This Row],[PFDoA]])</f>
        <v>-1.6989700043360187</v>
      </c>
      <c r="J30">
        <f>LOG(Table1_1__2[[#This Row],[PFTrDA]])</f>
        <v>-1.6989700043360187</v>
      </c>
      <c r="K30">
        <f>LOG(Table1_1__2[[#This Row],[PFTeDA]])</f>
        <v>-1.6989700043360187</v>
      </c>
      <c r="L30">
        <f>LOG(Table1_1__2[[#This Row],[PFBS]])</f>
        <v>-1.6989700043360187</v>
      </c>
      <c r="M30">
        <f>LOG(Table1_1__2[[#This Row],[PFPeS]])</f>
        <v>-1.6989700043360187</v>
      </c>
      <c r="N30">
        <f>LOG(Table1_1__2[[#This Row],[PFHxS]])</f>
        <v>-0.62893213772826373</v>
      </c>
      <c r="O30">
        <f>LOG(Table1_1__2[[#This Row],[PFHpS]])</f>
        <v>-1.6989700043360187</v>
      </c>
      <c r="P30">
        <f>LOG(Table1_1__2[[#This Row],[PFOS]])</f>
        <v>0</v>
      </c>
      <c r="Q30">
        <f>LOG(Table1_1__2[[#This Row],[PFNS]])</f>
        <v>-1.6989700043360187</v>
      </c>
      <c r="R30">
        <f>LOG(Table1_1__2[[#This Row],[PFDS]])</f>
        <v>-1.6989700043360187</v>
      </c>
      <c r="S30">
        <f>LOG(Table1_1__2[[#This Row],[PFDoS]])</f>
        <v>-1.6989700043360187</v>
      </c>
      <c r="T30">
        <f>LOG(Table1_1__2[[#This Row],[4:2 FTS]])</f>
        <v>-1.0969100130080565</v>
      </c>
      <c r="U30">
        <f>LOG(Table1_1__2[[#This Row],[6:2 FTS]])</f>
        <v>-1.0969100130080565</v>
      </c>
      <c r="V30">
        <f>LOG(Table1_1__2[[#This Row],[8:2 FTS]])</f>
        <v>-1.0969100130080565</v>
      </c>
      <c r="W30">
        <f>LOG(Table1_1__2[[#This Row],[FOSA]])</f>
        <v>-1.6989700043360187</v>
      </c>
      <c r="X30">
        <f>LOG(Table1_1__2[[#This Row],[N-MeFOSA]])</f>
        <v>-1.6989700043360187</v>
      </c>
      <c r="Y30">
        <f>LOG(Table1_1__2[[#This Row],[N-MeFOSAA]])</f>
        <v>-1.6989700043360187</v>
      </c>
      <c r="Z30">
        <f>LOG(Table1_1__2[[#This Row],[N-EtFOSAA]])</f>
        <v>-1.6989700043360187</v>
      </c>
      <c r="AA30">
        <f>LOG(Table1_1__2[[#This Row],[ADONA]])</f>
        <v>-1.0969100130080565</v>
      </c>
      <c r="AB30">
        <f>LOG(Table1_1__2[[#This Row],[3:3 FTCA]])</f>
        <v>-1.0969100130080565</v>
      </c>
      <c r="AC30">
        <f>LOG(Table1_1__2[[#This Row],[5:3 FTCA]])</f>
        <v>-0.3010299956639812</v>
      </c>
      <c r="AD30">
        <f>LOG(Table1_1__2[[#This Row],[7:3 FTCA]])</f>
        <v>-0.3010299956639812</v>
      </c>
      <c r="AE30" t="e">
        <f>LOG(Table1_1__2[[#This Row],[N-EtFOSA]])</f>
        <v>#NUM!</v>
      </c>
      <c r="AF30" t="e">
        <f>LOG(Table1_1__2[[#This Row],[N-MeFOSE]])</f>
        <v>#NUM!</v>
      </c>
      <c r="AG30" t="e">
        <f>LOG(Table1_1__2[[#This Row],[N-EtFOSE]])</f>
        <v>#NUM!</v>
      </c>
      <c r="AH30" t="e">
        <f>LOG(Table1_1__2[[#This Row],[HFPO-DA]])</f>
        <v>#NUM!</v>
      </c>
      <c r="AI30" t="e">
        <f>LOG(Table1_1__2[[#This Row],[PFMBA]])</f>
        <v>#NUM!</v>
      </c>
      <c r="AJ30" t="e">
        <f>LOG(Table1_1__2[[#This Row],[NFDHA]])</f>
        <v>#NUM!</v>
      </c>
      <c r="AK30" t="e">
        <f>LOG(Table1_1__2[[#This Row],[9Cl-PF3ONS]])</f>
        <v>#NUM!</v>
      </c>
      <c r="AL30" t="e">
        <f>LOG(Table1_1__2[[#This Row],[11Cl-PF3OUdS]])</f>
        <v>#NUM!</v>
      </c>
      <c r="AM30" t="e">
        <f>LOG(Table1_1__2[[#This Row],[PFEESA]])</f>
        <v>#NUM!</v>
      </c>
      <c r="AN30" t="e">
        <f>LOG(Table1_1__2[[#This Row],[PFMPA]])</f>
        <v>#NUM!</v>
      </c>
    </row>
    <row r="31" spans="1:40" x14ac:dyDescent="0.3">
      <c r="A31">
        <f>LOG(Table1_1__2[[#This Row],[PFBA]])</f>
        <v>-1.0969100130080565</v>
      </c>
      <c r="B31">
        <f>LOG(Table1_1__2[[#This Row],[PFPeA]])</f>
        <v>-0.76195389687120463</v>
      </c>
      <c r="C31">
        <f>LOG(Table1_1__2[[#This Row],[PFHxA]])</f>
        <v>-0.1444808443321999</v>
      </c>
      <c r="D31">
        <f>LOG(Table1_1__2[[#This Row],[PFHpA]])</f>
        <v>-1.3467874862246563</v>
      </c>
      <c r="E31">
        <f>LOG(Table1_1__2[[#This Row],[PFOA]])</f>
        <v>-0.69897000433601875</v>
      </c>
      <c r="F31">
        <f>LOG(Table1_1__2[[#This Row],[PFNA]])</f>
        <v>-1.4089353929735009</v>
      </c>
      <c r="G31">
        <f>LOG(Table1_1__2[[#This Row],[PFDA]])</f>
        <v>-1.6989700043360187</v>
      </c>
      <c r="H31">
        <f>LOG(Table1_1__2[[#This Row],[PFUnA]])</f>
        <v>-1.3665315444204136</v>
      </c>
      <c r="I31">
        <f>LOG(Table1_1__2[[#This Row],[PFDoA]])</f>
        <v>-1.0969100130080565</v>
      </c>
      <c r="J31">
        <f>LOG(Table1_1__2[[#This Row],[PFTrDA]])</f>
        <v>-1.3010299956639813</v>
      </c>
      <c r="K31">
        <f>LOG(Table1_1__2[[#This Row],[PFTeDA]])</f>
        <v>-1.6989700043360187</v>
      </c>
      <c r="L31">
        <f>LOG(Table1_1__2[[#This Row],[PFBS]])</f>
        <v>-1.6989700043360187</v>
      </c>
      <c r="M31">
        <f>LOG(Table1_1__2[[#This Row],[PFPeS]])</f>
        <v>-1.6989700043360187</v>
      </c>
      <c r="N31">
        <f>LOG(Table1_1__2[[#This Row],[PFHxS]])</f>
        <v>-0.18045606445813131</v>
      </c>
      <c r="O31">
        <f>LOG(Table1_1__2[[#This Row],[PFHpS]])</f>
        <v>-1.6989700043360187</v>
      </c>
      <c r="P31">
        <f>LOG(Table1_1__2[[#This Row],[PFOS]])</f>
        <v>0.50785587169583091</v>
      </c>
      <c r="Q31">
        <f>LOG(Table1_1__2[[#This Row],[PFNS]])</f>
        <v>-1.6989700043360187</v>
      </c>
      <c r="R31">
        <f>LOG(Table1_1__2[[#This Row],[PFDS]])</f>
        <v>-1.3279021420642825</v>
      </c>
      <c r="S31">
        <f>LOG(Table1_1__2[[#This Row],[PFDoS]])</f>
        <v>-1.6989700043360187</v>
      </c>
      <c r="T31">
        <f>LOG(Table1_1__2[[#This Row],[4:2 FTS]])</f>
        <v>-1.0969100130080565</v>
      </c>
      <c r="U31">
        <f>LOG(Table1_1__2[[#This Row],[6:2 FTS]])</f>
        <v>-0.50031291738159622</v>
      </c>
      <c r="V31">
        <f>LOG(Table1_1__2[[#This Row],[8:2 FTS]])</f>
        <v>-1.0969100130080565</v>
      </c>
      <c r="W31">
        <f>LOG(Table1_1__2[[#This Row],[FOSA]])</f>
        <v>-0.37675070960209955</v>
      </c>
      <c r="X31">
        <f>LOG(Table1_1__2[[#This Row],[N-MeFOSA]])</f>
        <v>-1.6989700043360187</v>
      </c>
      <c r="Y31">
        <f>LOG(Table1_1__2[[#This Row],[N-MeFOSAA]])</f>
        <v>-1.6989700043360187</v>
      </c>
      <c r="Z31">
        <f>LOG(Table1_1__2[[#This Row],[N-EtFOSAA]])</f>
        <v>-1.6989700043360187</v>
      </c>
      <c r="AA31">
        <f>LOG(Table1_1__2[[#This Row],[ADONA]])</f>
        <v>-1.0969100130080565</v>
      </c>
      <c r="AB31">
        <f>LOG(Table1_1__2[[#This Row],[3:3 FTCA]])</f>
        <v>-1.0969100130080565</v>
      </c>
      <c r="AC31">
        <f>LOG(Table1_1__2[[#This Row],[5:3 FTCA]])</f>
        <v>-0.3010299956639812</v>
      </c>
      <c r="AD31">
        <f>LOG(Table1_1__2[[#This Row],[7:3 FTCA]])</f>
        <v>-0.3010299956639812</v>
      </c>
      <c r="AE31" t="e">
        <f>LOG(Table1_1__2[[#This Row],[N-EtFOSA]])</f>
        <v>#NUM!</v>
      </c>
      <c r="AF31" t="e">
        <f>LOG(Table1_1__2[[#This Row],[N-MeFOSE]])</f>
        <v>#NUM!</v>
      </c>
      <c r="AG31" t="e">
        <f>LOG(Table1_1__2[[#This Row],[N-EtFOSE]])</f>
        <v>#NUM!</v>
      </c>
      <c r="AH31" t="e">
        <f>LOG(Table1_1__2[[#This Row],[HFPO-DA]])</f>
        <v>#NUM!</v>
      </c>
      <c r="AI31" t="e">
        <f>LOG(Table1_1__2[[#This Row],[PFMBA]])</f>
        <v>#NUM!</v>
      </c>
      <c r="AJ31" t="e">
        <f>LOG(Table1_1__2[[#This Row],[NFDHA]])</f>
        <v>#NUM!</v>
      </c>
      <c r="AK31" t="e">
        <f>LOG(Table1_1__2[[#This Row],[9Cl-PF3ONS]])</f>
        <v>#NUM!</v>
      </c>
      <c r="AL31" t="e">
        <f>LOG(Table1_1__2[[#This Row],[11Cl-PF3OUdS]])</f>
        <v>#NUM!</v>
      </c>
      <c r="AM31" t="e">
        <f>LOG(Table1_1__2[[#This Row],[PFEESA]])</f>
        <v>#NUM!</v>
      </c>
      <c r="AN31" t="e">
        <f>LOG(Table1_1__2[[#This Row],[PFMPA]])</f>
        <v>#NUM!</v>
      </c>
    </row>
    <row r="32" spans="1:40" x14ac:dyDescent="0.3">
      <c r="A32">
        <f>LOG(Table1_1__2[[#This Row],[PFBA]])</f>
        <v>-1.0969100130080565</v>
      </c>
      <c r="B32">
        <f>LOG(Table1_1__2[[#This Row],[PFPeA]])</f>
        <v>-1.0655015487564323</v>
      </c>
      <c r="C32">
        <f>LOG(Table1_1__2[[#This Row],[PFHxA]])</f>
        <v>-0.63264407897398101</v>
      </c>
      <c r="D32">
        <f>LOG(Table1_1__2[[#This Row],[PFHpA]])</f>
        <v>-1.6989700043360187</v>
      </c>
      <c r="E32">
        <f>LOG(Table1_1__2[[#This Row],[PFOA]])</f>
        <v>-0.94309514866352739</v>
      </c>
      <c r="F32">
        <f>LOG(Table1_1__2[[#This Row],[PFNA]])</f>
        <v>-1.6989700043360187</v>
      </c>
      <c r="G32">
        <f>LOG(Table1_1__2[[#This Row],[PFDA]])</f>
        <v>-1.6989700043360187</v>
      </c>
      <c r="H32">
        <f>LOG(Table1_1__2[[#This Row],[PFUnA]])</f>
        <v>-1.6989700043360187</v>
      </c>
      <c r="I32">
        <f>LOG(Table1_1__2[[#This Row],[PFDoA]])</f>
        <v>-1.4089353929735009</v>
      </c>
      <c r="J32">
        <f>LOG(Table1_1__2[[#This Row],[PFTrDA]])</f>
        <v>-1.6989700043360187</v>
      </c>
      <c r="K32">
        <f>LOG(Table1_1__2[[#This Row],[PFTeDA]])</f>
        <v>-1.6989700043360187</v>
      </c>
      <c r="L32">
        <f>LOG(Table1_1__2[[#This Row],[PFBS]])</f>
        <v>-1.6989700043360187</v>
      </c>
      <c r="M32">
        <f>LOG(Table1_1__2[[#This Row],[PFPeS]])</f>
        <v>-1.6989700043360187</v>
      </c>
      <c r="N32">
        <f>LOG(Table1_1__2[[#This Row],[PFHxS]])</f>
        <v>-0.36754270781527576</v>
      </c>
      <c r="O32">
        <f>LOG(Table1_1__2[[#This Row],[PFHpS]])</f>
        <v>-1.6989700043360187</v>
      </c>
      <c r="P32">
        <f>LOG(Table1_1__2[[#This Row],[PFOS]])</f>
        <v>0.3222192947339193</v>
      </c>
      <c r="Q32">
        <f>LOG(Table1_1__2[[#This Row],[PFNS]])</f>
        <v>-1.6989700043360187</v>
      </c>
      <c r="R32">
        <f>LOG(Table1_1__2[[#This Row],[PFDS]])</f>
        <v>-1.6989700043360187</v>
      </c>
      <c r="S32">
        <f>LOG(Table1_1__2[[#This Row],[PFDoS]])</f>
        <v>-1.6989700043360187</v>
      </c>
      <c r="T32">
        <f>LOG(Table1_1__2[[#This Row],[4:2 FTS]])</f>
        <v>-1.0969100130080565</v>
      </c>
      <c r="U32">
        <f>LOG(Table1_1__2[[#This Row],[6:2 FTS]])</f>
        <v>-0.40893539297350079</v>
      </c>
      <c r="V32">
        <f>LOG(Table1_1__2[[#This Row],[8:2 FTS]])</f>
        <v>-0.81815641205522749</v>
      </c>
      <c r="W32">
        <f>LOG(Table1_1__2[[#This Row],[FOSA]])</f>
        <v>-0.71219827006977399</v>
      </c>
      <c r="X32">
        <f>LOG(Table1_1__2[[#This Row],[N-MeFOSA]])</f>
        <v>-1.6989700043360187</v>
      </c>
      <c r="Y32">
        <f>LOG(Table1_1__2[[#This Row],[N-MeFOSAA]])</f>
        <v>-1.6989700043360187</v>
      </c>
      <c r="Z32">
        <f>LOG(Table1_1__2[[#This Row],[N-EtFOSAA]])</f>
        <v>-1.6989700043360187</v>
      </c>
      <c r="AA32">
        <f>LOG(Table1_1__2[[#This Row],[ADONA]])</f>
        <v>-1.0969100130080565</v>
      </c>
      <c r="AB32">
        <f>LOG(Table1_1__2[[#This Row],[3:3 FTCA]])</f>
        <v>-1.0969100130080565</v>
      </c>
      <c r="AC32">
        <f>LOG(Table1_1__2[[#This Row],[5:3 FTCA]])</f>
        <v>-0.3010299956639812</v>
      </c>
      <c r="AD32">
        <f>LOG(Table1_1__2[[#This Row],[7:3 FTCA]])</f>
        <v>-0.3010299956639812</v>
      </c>
      <c r="AE32" t="e">
        <f>LOG(Table1_1__2[[#This Row],[N-EtFOSA]])</f>
        <v>#NUM!</v>
      </c>
      <c r="AF32" t="e">
        <f>LOG(Table1_1__2[[#This Row],[N-MeFOSE]])</f>
        <v>#NUM!</v>
      </c>
      <c r="AG32" t="e">
        <f>LOG(Table1_1__2[[#This Row],[N-EtFOSE]])</f>
        <v>#NUM!</v>
      </c>
      <c r="AH32" t="e">
        <f>LOG(Table1_1__2[[#This Row],[HFPO-DA]])</f>
        <v>#NUM!</v>
      </c>
      <c r="AI32" t="e">
        <f>LOG(Table1_1__2[[#This Row],[PFMBA]])</f>
        <v>#NUM!</v>
      </c>
      <c r="AJ32" t="e">
        <f>LOG(Table1_1__2[[#This Row],[NFDHA]])</f>
        <v>#NUM!</v>
      </c>
      <c r="AK32" t="e">
        <f>LOG(Table1_1__2[[#This Row],[9Cl-PF3ONS]])</f>
        <v>#NUM!</v>
      </c>
      <c r="AL32" t="e">
        <f>LOG(Table1_1__2[[#This Row],[11Cl-PF3OUdS]])</f>
        <v>#NUM!</v>
      </c>
      <c r="AM32" t="e">
        <f>LOG(Table1_1__2[[#This Row],[PFEESA]])</f>
        <v>#NUM!</v>
      </c>
      <c r="AN32" t="e">
        <f>LOG(Table1_1__2[[#This Row],[PFMPA]])</f>
        <v>#NUM!</v>
      </c>
    </row>
    <row r="33" spans="1:40" x14ac:dyDescent="0.3">
      <c r="A33">
        <f>LOG(Table1_1__2[[#This Row],[PFBA]])</f>
        <v>-1.0969100130080565</v>
      </c>
      <c r="B33">
        <f>LOG(Table1_1__2[[#This Row],[PFPeA]])</f>
        <v>-1.3979400086720375</v>
      </c>
      <c r="C33">
        <f>LOG(Table1_1__2[[#This Row],[PFHxA]])</f>
        <v>-1.1249387366082999</v>
      </c>
      <c r="D33">
        <f>LOG(Table1_1__2[[#This Row],[PFHpA]])</f>
        <v>-1.6989700043360187</v>
      </c>
      <c r="E33">
        <f>LOG(Table1_1__2[[#This Row],[PFOA]])</f>
        <v>-1.1023729087095586</v>
      </c>
      <c r="F33">
        <f>LOG(Table1_1__2[[#This Row],[PFNA]])</f>
        <v>-1.6989700043360187</v>
      </c>
      <c r="G33">
        <f>LOG(Table1_1__2[[#This Row],[PFDA]])</f>
        <v>-1.6989700043360187</v>
      </c>
      <c r="H33">
        <f>LOG(Table1_1__2[[#This Row],[PFUnA]])</f>
        <v>-1.6989700043360187</v>
      </c>
      <c r="I33">
        <f>LOG(Table1_1__2[[#This Row],[PFDoA]])</f>
        <v>-1.6989700043360187</v>
      </c>
      <c r="J33">
        <f>LOG(Table1_1__2[[#This Row],[PFTrDA]])</f>
        <v>-1.6989700043360187</v>
      </c>
      <c r="K33">
        <f>LOG(Table1_1__2[[#This Row],[PFTeDA]])</f>
        <v>-1.6989700043360187</v>
      </c>
      <c r="L33">
        <f>LOG(Table1_1__2[[#This Row],[PFBS]])</f>
        <v>-1.6989700043360187</v>
      </c>
      <c r="M33">
        <f>LOG(Table1_1__2[[#This Row],[PFPeS]])</f>
        <v>-1.6989700043360187</v>
      </c>
      <c r="N33">
        <f>LOG(Table1_1__2[[#This Row],[PFHxS]])</f>
        <v>-0.67571754470230738</v>
      </c>
      <c r="O33">
        <f>LOG(Table1_1__2[[#This Row],[PFHpS]])</f>
        <v>-1.6989700043360187</v>
      </c>
      <c r="P33">
        <f>LOG(Table1_1__2[[#This Row],[PFOS]])</f>
        <v>-0.15926676538819329</v>
      </c>
      <c r="Q33">
        <f>LOG(Table1_1__2[[#This Row],[PFNS]])</f>
        <v>-1.6989700043360187</v>
      </c>
      <c r="R33">
        <f>LOG(Table1_1__2[[#This Row],[PFDS]])</f>
        <v>-1.6989700043360187</v>
      </c>
      <c r="S33">
        <f>LOG(Table1_1__2[[#This Row],[PFDoS]])</f>
        <v>-1.6989700043360187</v>
      </c>
      <c r="T33">
        <f>LOG(Table1_1__2[[#This Row],[4:2 FTS]])</f>
        <v>-1.0969100130080565</v>
      </c>
      <c r="U33">
        <f>LOG(Table1_1__2[[#This Row],[6:2 FTS]])</f>
        <v>-1.0969100130080565</v>
      </c>
      <c r="V33">
        <f>LOG(Table1_1__2[[#This Row],[8:2 FTS]])</f>
        <v>-1.0969100130080565</v>
      </c>
      <c r="W33">
        <f>LOG(Table1_1__2[[#This Row],[FOSA]])</f>
        <v>-1.3872161432802645</v>
      </c>
      <c r="X33">
        <f>LOG(Table1_1__2[[#This Row],[N-MeFOSA]])</f>
        <v>-1.6989700043360187</v>
      </c>
      <c r="Y33">
        <f>LOG(Table1_1__2[[#This Row],[N-MeFOSAA]])</f>
        <v>-1.6989700043360187</v>
      </c>
      <c r="Z33">
        <f>LOG(Table1_1__2[[#This Row],[N-EtFOSAA]])</f>
        <v>-1.6989700043360187</v>
      </c>
      <c r="AA33">
        <f>LOG(Table1_1__2[[#This Row],[ADONA]])</f>
        <v>-1.0969100130080565</v>
      </c>
      <c r="AB33">
        <f>LOG(Table1_1__2[[#This Row],[3:3 FTCA]])</f>
        <v>-1.0969100130080565</v>
      </c>
      <c r="AC33">
        <f>LOG(Table1_1__2[[#This Row],[5:3 FTCA]])</f>
        <v>-0.3010299956639812</v>
      </c>
      <c r="AD33">
        <f>LOG(Table1_1__2[[#This Row],[7:3 FTCA]])</f>
        <v>-0.3010299956639812</v>
      </c>
      <c r="AE33" t="e">
        <f>LOG(Table1_1__2[[#This Row],[N-EtFOSA]])</f>
        <v>#NUM!</v>
      </c>
      <c r="AF33" t="e">
        <f>LOG(Table1_1__2[[#This Row],[N-MeFOSE]])</f>
        <v>#NUM!</v>
      </c>
      <c r="AG33" t="e">
        <f>LOG(Table1_1__2[[#This Row],[N-EtFOSE]])</f>
        <v>#NUM!</v>
      </c>
      <c r="AH33" t="e">
        <f>LOG(Table1_1__2[[#This Row],[HFPO-DA]])</f>
        <v>#NUM!</v>
      </c>
      <c r="AI33" t="e">
        <f>LOG(Table1_1__2[[#This Row],[PFMBA]])</f>
        <v>#NUM!</v>
      </c>
      <c r="AJ33" t="e">
        <f>LOG(Table1_1__2[[#This Row],[NFDHA]])</f>
        <v>#NUM!</v>
      </c>
      <c r="AK33" t="e">
        <f>LOG(Table1_1__2[[#This Row],[9Cl-PF3ONS]])</f>
        <v>#NUM!</v>
      </c>
      <c r="AL33" t="e">
        <f>LOG(Table1_1__2[[#This Row],[11Cl-PF3OUdS]])</f>
        <v>#NUM!</v>
      </c>
      <c r="AM33" t="e">
        <f>LOG(Table1_1__2[[#This Row],[PFEESA]])</f>
        <v>#NUM!</v>
      </c>
      <c r="AN33" t="e">
        <f>LOG(Table1_1__2[[#This Row],[PFMPA]])</f>
        <v>#NUM!</v>
      </c>
    </row>
    <row r="34" spans="1:40" x14ac:dyDescent="0.3">
      <c r="A34">
        <f>LOG(Table1_1__2[[#This Row],[PFBA]])</f>
        <v>-1.0969100130080565</v>
      </c>
      <c r="B34">
        <f>LOG(Table1_1__2[[#This Row],[PFPeA]])</f>
        <v>-1.0915149811213503</v>
      </c>
      <c r="C34">
        <f>LOG(Table1_1__2[[#This Row],[PFHxA]])</f>
        <v>-0.79317412396815024</v>
      </c>
      <c r="D34">
        <f>LOG(Table1_1__2[[#This Row],[PFHpA]])</f>
        <v>-1.6989700043360187</v>
      </c>
      <c r="E34">
        <f>LOG(Table1_1__2[[#This Row],[PFOA]])</f>
        <v>-0.53461714855158171</v>
      </c>
      <c r="F34">
        <f>LOG(Table1_1__2[[#This Row],[PFNA]])</f>
        <v>-1.3979400086720375</v>
      </c>
      <c r="G34">
        <f>LOG(Table1_1__2[[#This Row],[PFDA]])</f>
        <v>-1.6989700043360187</v>
      </c>
      <c r="H34">
        <f>LOG(Table1_1__2[[#This Row],[PFUnA]])</f>
        <v>-1.6989700043360187</v>
      </c>
      <c r="I34">
        <f>LOG(Table1_1__2[[#This Row],[PFDoA]])</f>
        <v>-1.6989700043360187</v>
      </c>
      <c r="J34">
        <f>LOG(Table1_1__2[[#This Row],[PFTrDA]])</f>
        <v>-1.6989700043360187</v>
      </c>
      <c r="K34">
        <f>LOG(Table1_1__2[[#This Row],[PFTeDA]])</f>
        <v>-1.6989700043360187</v>
      </c>
      <c r="L34">
        <f>LOG(Table1_1__2[[#This Row],[PFBS]])</f>
        <v>-1.6989700043360187</v>
      </c>
      <c r="M34">
        <f>LOG(Table1_1__2[[#This Row],[PFPeS]])</f>
        <v>-1.6989700043360187</v>
      </c>
      <c r="N34">
        <f>LOG(Table1_1__2[[#This Row],[PFHxS]])</f>
        <v>-0.61261017366127057</v>
      </c>
      <c r="O34">
        <f>LOG(Table1_1__2[[#This Row],[PFHpS]])</f>
        <v>-1.6989700043360187</v>
      </c>
      <c r="P34">
        <f>LOG(Table1_1__2[[#This Row],[PFOS]])</f>
        <v>-9.0443970758824668E-2</v>
      </c>
      <c r="Q34">
        <f>LOG(Table1_1__2[[#This Row],[PFNS]])</f>
        <v>-1.6989700043360187</v>
      </c>
      <c r="R34">
        <f>LOG(Table1_1__2[[#This Row],[PFDS]])</f>
        <v>-1.6989700043360187</v>
      </c>
      <c r="S34">
        <f>LOG(Table1_1__2[[#This Row],[PFDoS]])</f>
        <v>-1.6989700043360187</v>
      </c>
      <c r="T34">
        <f>LOG(Table1_1__2[[#This Row],[4:2 FTS]])</f>
        <v>-1.0969100130080565</v>
      </c>
      <c r="U34">
        <f>LOG(Table1_1__2[[#This Row],[6:2 FTS]])</f>
        <v>-1.0969100130080565</v>
      </c>
      <c r="V34">
        <f>LOG(Table1_1__2[[#This Row],[8:2 FTS]])</f>
        <v>-1.0969100130080565</v>
      </c>
      <c r="W34">
        <f>LOG(Table1_1__2[[#This Row],[FOSA]])</f>
        <v>-1.6989700043360187</v>
      </c>
      <c r="X34">
        <f>LOG(Table1_1__2[[#This Row],[N-MeFOSA]])</f>
        <v>-1.6989700043360187</v>
      </c>
      <c r="Y34">
        <f>LOG(Table1_1__2[[#This Row],[N-MeFOSAA]])</f>
        <v>-1.6989700043360187</v>
      </c>
      <c r="Z34">
        <f>LOG(Table1_1__2[[#This Row],[N-EtFOSAA]])</f>
        <v>-1.6989700043360187</v>
      </c>
      <c r="AA34">
        <f>LOG(Table1_1__2[[#This Row],[ADONA]])</f>
        <v>-1.0969100130080565</v>
      </c>
      <c r="AB34">
        <f>LOG(Table1_1__2[[#This Row],[3:3 FTCA]])</f>
        <v>-1.0969100130080565</v>
      </c>
      <c r="AC34">
        <f>LOG(Table1_1__2[[#This Row],[5:3 FTCA]])</f>
        <v>-0.3010299956639812</v>
      </c>
      <c r="AD34">
        <f>LOG(Table1_1__2[[#This Row],[7:3 FTCA]])</f>
        <v>-0.3010299956639812</v>
      </c>
      <c r="AE34" t="e">
        <f>LOG(Table1_1__2[[#This Row],[N-EtFOSA]])</f>
        <v>#NUM!</v>
      </c>
      <c r="AF34" t="e">
        <f>LOG(Table1_1__2[[#This Row],[N-MeFOSE]])</f>
        <v>#NUM!</v>
      </c>
      <c r="AG34" t="e">
        <f>LOG(Table1_1__2[[#This Row],[N-EtFOSE]])</f>
        <v>#NUM!</v>
      </c>
      <c r="AH34" t="e">
        <f>LOG(Table1_1__2[[#This Row],[HFPO-DA]])</f>
        <v>#NUM!</v>
      </c>
      <c r="AI34" t="e">
        <f>LOG(Table1_1__2[[#This Row],[PFMBA]])</f>
        <v>#NUM!</v>
      </c>
      <c r="AJ34" t="e">
        <f>LOG(Table1_1__2[[#This Row],[NFDHA]])</f>
        <v>#NUM!</v>
      </c>
      <c r="AK34" t="e">
        <f>LOG(Table1_1__2[[#This Row],[9Cl-PF3ONS]])</f>
        <v>#NUM!</v>
      </c>
      <c r="AL34" t="e">
        <f>LOG(Table1_1__2[[#This Row],[11Cl-PF3OUdS]])</f>
        <v>#NUM!</v>
      </c>
      <c r="AM34" t="e">
        <f>LOG(Table1_1__2[[#This Row],[PFEESA]])</f>
        <v>#NUM!</v>
      </c>
      <c r="AN34" t="e">
        <f>LOG(Table1_1__2[[#This Row],[PFMPA]])</f>
        <v>#NUM!</v>
      </c>
    </row>
    <row r="35" spans="1:40" x14ac:dyDescent="0.3">
      <c r="A35">
        <f>LOG(Table1_1__2[[#This Row],[PFBA]])</f>
        <v>-1.0969100130080565</v>
      </c>
      <c r="B35">
        <f>LOG(Table1_1__2[[#This Row],[PFPeA]])</f>
        <v>-0.99567862621735737</v>
      </c>
      <c r="C35">
        <f>LOG(Table1_1__2[[#This Row],[PFHxA]])</f>
        <v>-0.5867002359187482</v>
      </c>
      <c r="D35">
        <f>LOG(Table1_1__2[[#This Row],[PFHpA]])</f>
        <v>-1.6989700043360187</v>
      </c>
      <c r="E35">
        <f>LOG(Table1_1__2[[#This Row],[PFOA]])</f>
        <v>-0.90308998699194354</v>
      </c>
      <c r="F35">
        <f>LOG(Table1_1__2[[#This Row],[PFNA]])</f>
        <v>-1.3665315444204136</v>
      </c>
      <c r="G35">
        <f>LOG(Table1_1__2[[#This Row],[PFDA]])</f>
        <v>-1.6989700043360187</v>
      </c>
      <c r="H35">
        <f>LOG(Table1_1__2[[#This Row],[PFUnA]])</f>
        <v>-1.6989700043360187</v>
      </c>
      <c r="I35">
        <f>LOG(Table1_1__2[[#This Row],[PFDoA]])</f>
        <v>-1.6989700043360187</v>
      </c>
      <c r="J35">
        <f>LOG(Table1_1__2[[#This Row],[PFTrDA]])</f>
        <v>-1.6989700043360187</v>
      </c>
      <c r="K35">
        <f>LOG(Table1_1__2[[#This Row],[PFTeDA]])</f>
        <v>-1.6989700043360187</v>
      </c>
      <c r="L35">
        <f>LOG(Table1_1__2[[#This Row],[PFBS]])</f>
        <v>-1.6989700043360187</v>
      </c>
      <c r="M35">
        <f>LOG(Table1_1__2[[#This Row],[PFPeS]])</f>
        <v>-1.6989700043360187</v>
      </c>
      <c r="N35">
        <f>LOG(Table1_1__2[[#This Row],[PFHxS]])</f>
        <v>-0.44490555142168087</v>
      </c>
      <c r="O35">
        <f>LOG(Table1_1__2[[#This Row],[PFHpS]])</f>
        <v>-1.6989700043360187</v>
      </c>
      <c r="P35">
        <f>LOG(Table1_1__2[[#This Row],[PFOS]])</f>
        <v>0.2576785748691845</v>
      </c>
      <c r="Q35">
        <f>LOG(Table1_1__2[[#This Row],[PFNS]])</f>
        <v>-1.6989700043360187</v>
      </c>
      <c r="R35">
        <f>LOG(Table1_1__2[[#This Row],[PFDS]])</f>
        <v>-1.6989700043360187</v>
      </c>
      <c r="S35">
        <f>LOG(Table1_1__2[[#This Row],[PFDoS]])</f>
        <v>-1.6989700043360187</v>
      </c>
      <c r="T35">
        <f>LOG(Table1_1__2[[#This Row],[4:2 FTS]])</f>
        <v>-1.0969100130080565</v>
      </c>
      <c r="U35">
        <f>LOG(Table1_1__2[[#This Row],[6:2 FTS]])</f>
        <v>-1.0969100130080565</v>
      </c>
      <c r="V35">
        <f>LOG(Table1_1__2[[#This Row],[8:2 FTS]])</f>
        <v>-1.0969100130080565</v>
      </c>
      <c r="W35">
        <f>LOG(Table1_1__2[[#This Row],[FOSA]])</f>
        <v>-0.94692155651658028</v>
      </c>
      <c r="X35">
        <f>LOG(Table1_1__2[[#This Row],[N-MeFOSA]])</f>
        <v>-1.6989700043360187</v>
      </c>
      <c r="Y35">
        <f>LOG(Table1_1__2[[#This Row],[N-MeFOSAA]])</f>
        <v>-1.6989700043360187</v>
      </c>
      <c r="Z35">
        <f>LOG(Table1_1__2[[#This Row],[N-EtFOSAA]])</f>
        <v>-1.6989700043360187</v>
      </c>
      <c r="AA35">
        <f>LOG(Table1_1__2[[#This Row],[ADONA]])</f>
        <v>-1.0969100130080565</v>
      </c>
      <c r="AB35">
        <f>LOG(Table1_1__2[[#This Row],[3:3 FTCA]])</f>
        <v>-1.0969100130080565</v>
      </c>
      <c r="AC35">
        <f>LOG(Table1_1__2[[#This Row],[5:3 FTCA]])</f>
        <v>-0.3010299956639812</v>
      </c>
      <c r="AD35">
        <f>LOG(Table1_1__2[[#This Row],[7:3 FTCA]])</f>
        <v>-0.3010299956639812</v>
      </c>
      <c r="AE35" t="e">
        <f>LOG(Table1_1__2[[#This Row],[N-EtFOSA]])</f>
        <v>#NUM!</v>
      </c>
      <c r="AF35" t="e">
        <f>LOG(Table1_1__2[[#This Row],[N-MeFOSE]])</f>
        <v>#NUM!</v>
      </c>
      <c r="AG35" t="e">
        <f>LOG(Table1_1__2[[#This Row],[N-EtFOSE]])</f>
        <v>#NUM!</v>
      </c>
      <c r="AH35" t="e">
        <f>LOG(Table1_1__2[[#This Row],[HFPO-DA]])</f>
        <v>#NUM!</v>
      </c>
      <c r="AI35" t="e">
        <f>LOG(Table1_1__2[[#This Row],[PFMBA]])</f>
        <v>#NUM!</v>
      </c>
      <c r="AJ35" t="e">
        <f>LOG(Table1_1__2[[#This Row],[NFDHA]])</f>
        <v>#NUM!</v>
      </c>
      <c r="AK35" t="e">
        <f>LOG(Table1_1__2[[#This Row],[9Cl-PF3ONS]])</f>
        <v>#NUM!</v>
      </c>
      <c r="AL35" t="e">
        <f>LOG(Table1_1__2[[#This Row],[11Cl-PF3OUdS]])</f>
        <v>#NUM!</v>
      </c>
      <c r="AM35" t="e">
        <f>LOG(Table1_1__2[[#This Row],[PFEESA]])</f>
        <v>#NUM!</v>
      </c>
      <c r="AN35" t="e">
        <f>LOG(Table1_1__2[[#This Row],[PFMPA]])</f>
        <v>#NUM!</v>
      </c>
    </row>
    <row r="36" spans="1:40" x14ac:dyDescent="0.3">
      <c r="A36">
        <f>LOG(Table1_1__2[[#This Row],[PFBA]])</f>
        <v>-1.0969100130080565</v>
      </c>
      <c r="B36">
        <f>LOG(Table1_1__2[[#This Row],[PFPeA]])</f>
        <v>-1.3979400086720375</v>
      </c>
      <c r="C36">
        <f>LOG(Table1_1__2[[#This Row],[PFHxA]])</f>
        <v>-1.0362121726544447</v>
      </c>
      <c r="D36">
        <f>LOG(Table1_1__2[[#This Row],[PFHpA]])</f>
        <v>-1.6989700043360187</v>
      </c>
      <c r="E36">
        <f>LOG(Table1_1__2[[#This Row],[PFOA]])</f>
        <v>-1.1804560644581312</v>
      </c>
      <c r="F36">
        <f>LOG(Table1_1__2[[#This Row],[PFNA]])</f>
        <v>-1.6989700043360187</v>
      </c>
      <c r="G36">
        <f>LOG(Table1_1__2[[#This Row],[PFDA]])</f>
        <v>-1.6989700043360187</v>
      </c>
      <c r="H36">
        <f>LOG(Table1_1__2[[#This Row],[PFUnA]])</f>
        <v>-1.6989700043360187</v>
      </c>
      <c r="I36">
        <f>LOG(Table1_1__2[[#This Row],[PFDoA]])</f>
        <v>-1.6989700043360187</v>
      </c>
      <c r="J36">
        <f>LOG(Table1_1__2[[#This Row],[PFTrDA]])</f>
        <v>-1.6989700043360187</v>
      </c>
      <c r="K36">
        <f>LOG(Table1_1__2[[#This Row],[PFTeDA]])</f>
        <v>-1.6989700043360187</v>
      </c>
      <c r="L36">
        <f>LOG(Table1_1__2[[#This Row],[PFBS]])</f>
        <v>-1.6989700043360187</v>
      </c>
      <c r="M36">
        <f>LOG(Table1_1__2[[#This Row],[PFPeS]])</f>
        <v>-1.6989700043360187</v>
      </c>
      <c r="N36">
        <f>LOG(Table1_1__2[[#This Row],[PFHxS]])</f>
        <v>-0.79588001734407521</v>
      </c>
      <c r="O36">
        <f>LOG(Table1_1__2[[#This Row],[PFHpS]])</f>
        <v>-1.6989700043360187</v>
      </c>
      <c r="P36">
        <f>LOG(Table1_1__2[[#This Row],[PFOS]])</f>
        <v>-0.21041928783557454</v>
      </c>
      <c r="Q36">
        <f>LOG(Table1_1__2[[#This Row],[PFNS]])</f>
        <v>-1.6989700043360187</v>
      </c>
      <c r="R36">
        <f>LOG(Table1_1__2[[#This Row],[PFDS]])</f>
        <v>-1.6989700043360187</v>
      </c>
      <c r="S36">
        <f>LOG(Table1_1__2[[#This Row],[PFDoS]])</f>
        <v>-1.6989700043360187</v>
      </c>
      <c r="T36">
        <f>LOG(Table1_1__2[[#This Row],[4:2 FTS]])</f>
        <v>-1.0969100130080565</v>
      </c>
      <c r="U36">
        <f>LOG(Table1_1__2[[#This Row],[6:2 FTS]])</f>
        <v>-0.679853713888946</v>
      </c>
      <c r="V36">
        <f>LOG(Table1_1__2[[#This Row],[8:2 FTS]])</f>
        <v>-1.0969100130080565</v>
      </c>
      <c r="W36">
        <f>LOG(Table1_1__2[[#This Row],[FOSA]])</f>
        <v>-1.2518119729937995</v>
      </c>
      <c r="X36">
        <f>LOG(Table1_1__2[[#This Row],[N-MeFOSA]])</f>
        <v>-1.6989700043360187</v>
      </c>
      <c r="Y36">
        <f>LOG(Table1_1__2[[#This Row],[N-MeFOSAA]])</f>
        <v>-1.6989700043360187</v>
      </c>
      <c r="Z36">
        <f>LOG(Table1_1__2[[#This Row],[N-EtFOSAA]])</f>
        <v>-1.6989700043360187</v>
      </c>
      <c r="AA36">
        <f>LOG(Table1_1__2[[#This Row],[ADONA]])</f>
        <v>-1.0969100130080565</v>
      </c>
      <c r="AB36">
        <f>LOG(Table1_1__2[[#This Row],[3:3 FTCA]])</f>
        <v>-1.0969100130080565</v>
      </c>
      <c r="AC36">
        <f>LOG(Table1_1__2[[#This Row],[5:3 FTCA]])</f>
        <v>-0.3010299956639812</v>
      </c>
      <c r="AD36">
        <f>LOG(Table1_1__2[[#This Row],[7:3 FTCA]])</f>
        <v>-0.3010299956639812</v>
      </c>
      <c r="AE36" t="e">
        <f>LOG(Table1_1__2[[#This Row],[N-EtFOSA]])</f>
        <v>#NUM!</v>
      </c>
      <c r="AF36" t="e">
        <f>LOG(Table1_1__2[[#This Row],[N-MeFOSE]])</f>
        <v>#NUM!</v>
      </c>
      <c r="AG36" t="e">
        <f>LOG(Table1_1__2[[#This Row],[N-EtFOSE]])</f>
        <v>#NUM!</v>
      </c>
      <c r="AH36" t="e">
        <f>LOG(Table1_1__2[[#This Row],[HFPO-DA]])</f>
        <v>#NUM!</v>
      </c>
      <c r="AI36" t="e">
        <f>LOG(Table1_1__2[[#This Row],[PFMBA]])</f>
        <v>#NUM!</v>
      </c>
      <c r="AJ36" t="e">
        <f>LOG(Table1_1__2[[#This Row],[NFDHA]])</f>
        <v>#NUM!</v>
      </c>
      <c r="AK36" t="e">
        <f>LOG(Table1_1__2[[#This Row],[9Cl-PF3ONS]])</f>
        <v>#NUM!</v>
      </c>
      <c r="AL36" t="e">
        <f>LOG(Table1_1__2[[#This Row],[11Cl-PF3OUdS]])</f>
        <v>#NUM!</v>
      </c>
      <c r="AM36" t="e">
        <f>LOG(Table1_1__2[[#This Row],[PFEESA]])</f>
        <v>#NUM!</v>
      </c>
      <c r="AN36" t="e">
        <f>LOG(Table1_1__2[[#This Row],[PFMPA]])</f>
        <v>#NUM!</v>
      </c>
    </row>
    <row r="37" spans="1:40" x14ac:dyDescent="0.3">
      <c r="A37">
        <f>LOG(Table1_1__2[[#This Row],[PFBA]])</f>
        <v>-1.0969100130080565</v>
      </c>
      <c r="B37">
        <f>LOG(Table1_1__2[[#This Row],[PFPeA]])</f>
        <v>-1.3979400086720375</v>
      </c>
      <c r="C37">
        <f>LOG(Table1_1__2[[#This Row],[PFHxA]])</f>
        <v>-1.2146701649892331</v>
      </c>
      <c r="D37">
        <f>LOG(Table1_1__2[[#This Row],[PFHpA]])</f>
        <v>-1.6989700043360187</v>
      </c>
      <c r="E37">
        <f>LOG(Table1_1__2[[#This Row],[PFOA]])</f>
        <v>-1.1426675035687315</v>
      </c>
      <c r="F37">
        <f>LOG(Table1_1__2[[#This Row],[PFNA]])</f>
        <v>-1.2146701649892331</v>
      </c>
      <c r="G37">
        <f>LOG(Table1_1__2[[#This Row],[PFDA]])</f>
        <v>-1.6989700043360187</v>
      </c>
      <c r="H37">
        <f>LOG(Table1_1__2[[#This Row],[PFUnA]])</f>
        <v>-1.6989700043360187</v>
      </c>
      <c r="I37">
        <f>LOG(Table1_1__2[[#This Row],[PFDoA]])</f>
        <v>-1.6989700043360187</v>
      </c>
      <c r="J37">
        <f>LOG(Table1_1__2[[#This Row],[PFTrDA]])</f>
        <v>-1.6989700043360187</v>
      </c>
      <c r="K37">
        <f>LOG(Table1_1__2[[#This Row],[PFTeDA]])</f>
        <v>-1.6989700043360187</v>
      </c>
      <c r="L37">
        <f>LOG(Table1_1__2[[#This Row],[PFBS]])</f>
        <v>-1.6989700043360187</v>
      </c>
      <c r="M37">
        <f>LOG(Table1_1__2[[#This Row],[PFPeS]])</f>
        <v>-1.6989700043360187</v>
      </c>
      <c r="N37">
        <f>LOG(Table1_1__2[[#This Row],[PFHxS]])</f>
        <v>-0.72353819582675583</v>
      </c>
      <c r="O37">
        <f>LOG(Table1_1__2[[#This Row],[PFHpS]])</f>
        <v>-1.6989700043360187</v>
      </c>
      <c r="P37">
        <f>LOG(Table1_1__2[[#This Row],[PFOS]])</f>
        <v>-0.19586056766464957</v>
      </c>
      <c r="Q37">
        <f>LOG(Table1_1__2[[#This Row],[PFNS]])</f>
        <v>-1.6989700043360187</v>
      </c>
      <c r="R37">
        <f>LOG(Table1_1__2[[#This Row],[PFDS]])</f>
        <v>-1.6989700043360187</v>
      </c>
      <c r="S37">
        <f>LOG(Table1_1__2[[#This Row],[PFDoS]])</f>
        <v>-1.6989700043360187</v>
      </c>
      <c r="T37">
        <f>LOG(Table1_1__2[[#This Row],[4:2 FTS]])</f>
        <v>-1.0969100130080565</v>
      </c>
      <c r="U37">
        <f>LOG(Table1_1__2[[#This Row],[6:2 FTS]])</f>
        <v>-1.0969100130080565</v>
      </c>
      <c r="V37">
        <f>LOG(Table1_1__2[[#This Row],[8:2 FTS]])</f>
        <v>-1.0969100130080565</v>
      </c>
      <c r="W37">
        <f>LOG(Table1_1__2[[#This Row],[FOSA]])</f>
        <v>-1.6989700043360187</v>
      </c>
      <c r="X37">
        <f>LOG(Table1_1__2[[#This Row],[N-MeFOSA]])</f>
        <v>-1.6989700043360187</v>
      </c>
      <c r="Y37">
        <f>LOG(Table1_1__2[[#This Row],[N-MeFOSAA]])</f>
        <v>-1.6989700043360187</v>
      </c>
      <c r="Z37">
        <f>LOG(Table1_1__2[[#This Row],[N-EtFOSAA]])</f>
        <v>-1.6989700043360187</v>
      </c>
      <c r="AA37">
        <f>LOG(Table1_1__2[[#This Row],[ADONA]])</f>
        <v>-1.0969100130080565</v>
      </c>
      <c r="AB37">
        <f>LOG(Table1_1__2[[#This Row],[3:3 FTCA]])</f>
        <v>-1.0969100130080565</v>
      </c>
      <c r="AC37">
        <f>LOG(Table1_1__2[[#This Row],[5:3 FTCA]])</f>
        <v>-0.3010299956639812</v>
      </c>
      <c r="AD37">
        <f>LOG(Table1_1__2[[#This Row],[7:3 FTCA]])</f>
        <v>-0.3010299956639812</v>
      </c>
      <c r="AE37" t="e">
        <f>LOG(Table1_1__2[[#This Row],[N-EtFOSA]])</f>
        <v>#NUM!</v>
      </c>
      <c r="AF37" t="e">
        <f>LOG(Table1_1__2[[#This Row],[N-MeFOSE]])</f>
        <v>#NUM!</v>
      </c>
      <c r="AG37" t="e">
        <f>LOG(Table1_1__2[[#This Row],[N-EtFOSE]])</f>
        <v>#NUM!</v>
      </c>
      <c r="AH37" t="e">
        <f>LOG(Table1_1__2[[#This Row],[HFPO-DA]])</f>
        <v>#NUM!</v>
      </c>
      <c r="AI37" t="e">
        <f>LOG(Table1_1__2[[#This Row],[PFMBA]])</f>
        <v>#NUM!</v>
      </c>
      <c r="AJ37" t="e">
        <f>LOG(Table1_1__2[[#This Row],[NFDHA]])</f>
        <v>#NUM!</v>
      </c>
      <c r="AK37" t="e">
        <f>LOG(Table1_1__2[[#This Row],[9Cl-PF3ONS]])</f>
        <v>#NUM!</v>
      </c>
      <c r="AL37" t="e">
        <f>LOG(Table1_1__2[[#This Row],[11Cl-PF3OUdS]])</f>
        <v>#NUM!</v>
      </c>
      <c r="AM37" t="e">
        <f>LOG(Table1_1__2[[#This Row],[PFEESA]])</f>
        <v>#NUM!</v>
      </c>
      <c r="AN37" t="e">
        <f>LOG(Table1_1__2[[#This Row],[PFMPA]])</f>
        <v>#NUM!</v>
      </c>
    </row>
    <row r="38" spans="1:40" x14ac:dyDescent="0.3">
      <c r="A38">
        <f>LOG(Table1_1__2[[#This Row],[PFBA]])</f>
        <v>-0.69897000433601875</v>
      </c>
      <c r="B38">
        <f>LOG(Table1_1__2[[#This Row],[PFPeA]])</f>
        <v>-1</v>
      </c>
      <c r="C38">
        <f>LOG(Table1_1__2[[#This Row],[PFHxA]])</f>
        <v>-0.79588001734407521</v>
      </c>
      <c r="D38">
        <f>LOG(Table1_1__2[[#This Row],[PFHpA]])</f>
        <v>-1.0457574905606752</v>
      </c>
      <c r="E38">
        <f>LOG(Table1_1__2[[#This Row],[PFOA]])</f>
        <v>-0.42021640338318983</v>
      </c>
      <c r="F38">
        <f>LOG(Table1_1__2[[#This Row],[PFNA]])</f>
        <v>-1.3010299956639813</v>
      </c>
      <c r="G38">
        <f>LOG(Table1_1__2[[#This Row],[PFDA]])</f>
        <v>-1.3010299956639813</v>
      </c>
      <c r="H38">
        <f>LOG(Table1_1__2[[#This Row],[PFUnA]])</f>
        <v>-1.3010299956639813</v>
      </c>
      <c r="I38">
        <f>LOG(Table1_1__2[[#This Row],[PFDoA]])</f>
        <v>-1.3010299956639813</v>
      </c>
      <c r="J38">
        <f>LOG(Table1_1__2[[#This Row],[PFTrDA]])</f>
        <v>-0.3010299956639812</v>
      </c>
      <c r="K38">
        <f>LOG(Table1_1__2[[#This Row],[PFTeDA]])</f>
        <v>-0.3010299956639812</v>
      </c>
      <c r="L38">
        <f>LOG(Table1_1__2[[#This Row],[PFBS]])</f>
        <v>-1.3010299956639813</v>
      </c>
      <c r="M38">
        <f>LOG(Table1_1__2[[#This Row],[PFPeS]])</f>
        <v>-1.3010299956639813</v>
      </c>
      <c r="N38">
        <f>LOG(Table1_1__2[[#This Row],[PFHxS]])</f>
        <v>-0.45593195564972439</v>
      </c>
      <c r="O38">
        <f>LOG(Table1_1__2[[#This Row],[PFHpS]])</f>
        <v>-1.3010299956639813</v>
      </c>
      <c r="P38">
        <f>LOG(Table1_1__2[[#This Row],[PFOS]])</f>
        <v>4.1392685158225077E-2</v>
      </c>
      <c r="Q38">
        <f>LOG(Table1_1__2[[#This Row],[PFNS]])</f>
        <v>-1.3010299956639813</v>
      </c>
      <c r="R38">
        <f>LOG(Table1_1__2[[#This Row],[PFDS]])</f>
        <v>-1.3010299956639813</v>
      </c>
      <c r="S38">
        <f>LOG(Table1_1__2[[#This Row],[PFDoS]])</f>
        <v>-1.3010299956639813</v>
      </c>
      <c r="T38">
        <f>LOG(Table1_1__2[[#This Row],[4:2 FTS]])</f>
        <v>-0.69897000433601875</v>
      </c>
      <c r="U38">
        <f>LOG(Table1_1__2[[#This Row],[6:2 FTS]])</f>
        <v>-0.3979400086720376</v>
      </c>
      <c r="V38">
        <f>LOG(Table1_1__2[[#This Row],[8:2 FTS]])</f>
        <v>-0.3979400086720376</v>
      </c>
      <c r="W38">
        <f>LOG(Table1_1__2[[#This Row],[FOSA]])</f>
        <v>-1.0457574905606752</v>
      </c>
      <c r="X38">
        <f>LOG(Table1_1__2[[#This Row],[N-MeFOSA]])</f>
        <v>-1.3010299956639813</v>
      </c>
      <c r="Y38">
        <f>LOG(Table1_1__2[[#This Row],[N-MeFOSAA]])</f>
        <v>-1.3010299956639813</v>
      </c>
      <c r="Z38">
        <f>LOG(Table1_1__2[[#This Row],[N-EtFOSAA]])</f>
        <v>-1.3010299956639813</v>
      </c>
      <c r="AA38">
        <f>LOG(Table1_1__2[[#This Row],[ADONA]])</f>
        <v>-0.69897000433601875</v>
      </c>
      <c r="AB38">
        <f>LOG(Table1_1__2[[#This Row],[3:3 FTCA]])</f>
        <v>-0.6020599913279624</v>
      </c>
      <c r="AC38">
        <f>LOG(Table1_1__2[[#This Row],[5:3 FTCA]])</f>
        <v>9.691001300805642E-2</v>
      </c>
      <c r="AD38">
        <f>LOG(Table1_1__2[[#This Row],[7:3 FTCA]])</f>
        <v>9.691001300805642E-2</v>
      </c>
      <c r="AE38">
        <f>LOG(Table1_1__2[[#This Row],[N-EtFOSA]])</f>
        <v>-1.3010299956639813</v>
      </c>
      <c r="AF38">
        <f>LOG(Table1_1__2[[#This Row],[N-MeFOSE]])</f>
        <v>-0.3010299956639812</v>
      </c>
      <c r="AG38">
        <f>LOG(Table1_1__2[[#This Row],[N-EtFOSE]])</f>
        <v>-0.3010299956639812</v>
      </c>
      <c r="AH38">
        <f>LOG(Table1_1__2[[#This Row],[HFPO-DA]])</f>
        <v>-0.52287874528033762</v>
      </c>
      <c r="AI38">
        <f>LOG(Table1_1__2[[#This Row],[PFMBA]])</f>
        <v>-1</v>
      </c>
      <c r="AJ38">
        <f>LOG(Table1_1__2[[#This Row],[NFDHA]])</f>
        <v>-1</v>
      </c>
      <c r="AK38">
        <f>LOG(Table1_1__2[[#This Row],[9Cl-PF3ONS]])</f>
        <v>-0.69897000433601875</v>
      </c>
      <c r="AL38">
        <f>LOG(Table1_1__2[[#This Row],[11Cl-PF3OUdS]])</f>
        <v>-0.69897000433601875</v>
      </c>
      <c r="AM38">
        <f>LOG(Table1_1__2[[#This Row],[PFEESA]])</f>
        <v>-1</v>
      </c>
      <c r="AN38">
        <f>LOG(Table1_1__2[[#This Row],[PFMPA]])</f>
        <v>-1</v>
      </c>
    </row>
    <row r="39" spans="1:40" x14ac:dyDescent="0.3">
      <c r="A39">
        <f>LOG(Table1_1__2[[#This Row],[PFBA]])</f>
        <v>-0.69897000433601875</v>
      </c>
      <c r="B39">
        <f>LOG(Table1_1__2[[#This Row],[PFPeA]])</f>
        <v>-1</v>
      </c>
      <c r="C39">
        <f>LOG(Table1_1__2[[#This Row],[PFHxA]])</f>
        <v>-0.85387196432176193</v>
      </c>
      <c r="D39">
        <f>LOG(Table1_1__2[[#This Row],[PFHpA]])</f>
        <v>-1.0457574905606752</v>
      </c>
      <c r="E39">
        <f>LOG(Table1_1__2[[#This Row],[PFOA]])</f>
        <v>-0.74472749489669399</v>
      </c>
      <c r="F39">
        <f>LOG(Table1_1__2[[#This Row],[PFNA]])</f>
        <v>-1.3010299956639813</v>
      </c>
      <c r="G39">
        <f>LOG(Table1_1__2[[#This Row],[PFDA]])</f>
        <v>-1.3010299956639813</v>
      </c>
      <c r="H39">
        <f>LOG(Table1_1__2[[#This Row],[PFUnA]])</f>
        <v>-1.3010299956639813</v>
      </c>
      <c r="I39">
        <f>LOG(Table1_1__2[[#This Row],[PFDoA]])</f>
        <v>-1.2006594505464183</v>
      </c>
      <c r="J39">
        <f>LOG(Table1_1__2[[#This Row],[PFTrDA]])</f>
        <v>-1.3010299956639813</v>
      </c>
      <c r="K39">
        <f>LOG(Table1_1__2[[#This Row],[PFTeDA]])</f>
        <v>-1.3010299956639813</v>
      </c>
      <c r="L39">
        <f>LOG(Table1_1__2[[#This Row],[PFBS]])</f>
        <v>-1.3010299956639813</v>
      </c>
      <c r="M39">
        <f>LOG(Table1_1__2[[#This Row],[PFPeS]])</f>
        <v>-1.3010299956639813</v>
      </c>
      <c r="N39">
        <f>LOG(Table1_1__2[[#This Row],[PFHxS]])</f>
        <v>-0.37675070960209955</v>
      </c>
      <c r="O39">
        <f>LOG(Table1_1__2[[#This Row],[PFHpS]])</f>
        <v>-1.3010299956639813</v>
      </c>
      <c r="P39">
        <f>LOG(Table1_1__2[[#This Row],[PFOS]])</f>
        <v>0.46239799789895608</v>
      </c>
      <c r="Q39">
        <f>LOG(Table1_1__2[[#This Row],[PFNS]])</f>
        <v>-1.3010299956639813</v>
      </c>
      <c r="R39">
        <f>LOG(Table1_1__2[[#This Row],[PFDS]])</f>
        <v>-1.3010299956639813</v>
      </c>
      <c r="S39">
        <f>LOG(Table1_1__2[[#This Row],[PFDoS]])</f>
        <v>-1.3010299956639813</v>
      </c>
      <c r="T39">
        <f>LOG(Table1_1__2[[#This Row],[4:2 FTS]])</f>
        <v>-0.69897000433601875</v>
      </c>
      <c r="U39">
        <f>LOG(Table1_1__2[[#This Row],[6:2 FTS]])</f>
        <v>-0.3979400086720376</v>
      </c>
      <c r="V39">
        <f>LOG(Table1_1__2[[#This Row],[8:2 FTS]])</f>
        <v>-0.3979400086720376</v>
      </c>
      <c r="W39">
        <f>LOG(Table1_1__2[[#This Row],[FOSA]])</f>
        <v>-0.79588001734407521</v>
      </c>
      <c r="X39">
        <f>LOG(Table1_1__2[[#This Row],[N-MeFOSA]])</f>
        <v>-1.3010299956639813</v>
      </c>
      <c r="Y39">
        <f>LOG(Table1_1__2[[#This Row],[N-MeFOSAA]])</f>
        <v>-1.3010299956639813</v>
      </c>
      <c r="Z39">
        <f>LOG(Table1_1__2[[#This Row],[N-EtFOSAA]])</f>
        <v>-1.3010299956639813</v>
      </c>
      <c r="AA39">
        <f>LOG(Table1_1__2[[#This Row],[ADONA]])</f>
        <v>-0.69897000433601875</v>
      </c>
      <c r="AB39">
        <f>LOG(Table1_1__2[[#This Row],[3:3 FTCA]])</f>
        <v>-0.6020599913279624</v>
      </c>
      <c r="AC39">
        <f>LOG(Table1_1__2[[#This Row],[5:3 FTCA]])</f>
        <v>9.691001300805642E-2</v>
      </c>
      <c r="AD39">
        <f>LOG(Table1_1__2[[#This Row],[7:3 FTCA]])</f>
        <v>9.691001300805642E-2</v>
      </c>
      <c r="AE39">
        <f>LOG(Table1_1__2[[#This Row],[N-EtFOSA]])</f>
        <v>-1.3010299956639813</v>
      </c>
      <c r="AF39">
        <f>LOG(Table1_1__2[[#This Row],[N-MeFOSE]])</f>
        <v>-0.3010299956639812</v>
      </c>
      <c r="AG39">
        <f>LOG(Table1_1__2[[#This Row],[N-EtFOSE]])</f>
        <v>-0.3010299956639812</v>
      </c>
      <c r="AH39">
        <f>LOG(Table1_1__2[[#This Row],[HFPO-DA]])</f>
        <v>-0.52287874528033762</v>
      </c>
      <c r="AI39">
        <f>LOG(Table1_1__2[[#This Row],[PFMBA]])</f>
        <v>-1</v>
      </c>
      <c r="AJ39">
        <f>LOG(Table1_1__2[[#This Row],[NFDHA]])</f>
        <v>-1</v>
      </c>
      <c r="AK39">
        <f>LOG(Table1_1__2[[#This Row],[9Cl-PF3ONS]])</f>
        <v>-0.69897000433601875</v>
      </c>
      <c r="AL39">
        <f>LOG(Table1_1__2[[#This Row],[11Cl-PF3OUdS]])</f>
        <v>-0.69897000433601875</v>
      </c>
      <c r="AM39">
        <f>LOG(Table1_1__2[[#This Row],[PFEESA]])</f>
        <v>-1</v>
      </c>
      <c r="AN39">
        <f>LOG(Table1_1__2[[#This Row],[PFMPA]])</f>
        <v>-1</v>
      </c>
    </row>
    <row r="40" spans="1:40" x14ac:dyDescent="0.3">
      <c r="A40">
        <f>LOG(Table1_1__2[[#This Row],[PFBA]])</f>
        <v>-0.69897000433601875</v>
      </c>
      <c r="B40">
        <f>LOG(Table1_1__2[[#This Row],[PFPeA]])</f>
        <v>-1</v>
      </c>
      <c r="C40">
        <f>LOG(Table1_1__2[[#This Row],[PFHxA]])</f>
        <v>-1.0457574905606752</v>
      </c>
      <c r="D40">
        <f>LOG(Table1_1__2[[#This Row],[PFHpA]])</f>
        <v>-1.0457574905606752</v>
      </c>
      <c r="E40">
        <f>LOG(Table1_1__2[[#This Row],[PFOA]])</f>
        <v>-1.0604807473813815</v>
      </c>
      <c r="F40">
        <f>LOG(Table1_1__2[[#This Row],[PFNA]])</f>
        <v>-1.3010299956639813</v>
      </c>
      <c r="G40">
        <f>LOG(Table1_1__2[[#This Row],[PFDA]])</f>
        <v>-1.3010299956639813</v>
      </c>
      <c r="H40">
        <f>LOG(Table1_1__2[[#This Row],[PFUnA]])</f>
        <v>-1.3010299956639813</v>
      </c>
      <c r="I40">
        <f>LOG(Table1_1__2[[#This Row],[PFDoA]])</f>
        <v>-0.61978875828839397</v>
      </c>
      <c r="J40">
        <f>LOG(Table1_1__2[[#This Row],[PFTrDA]])</f>
        <v>-0.61978875828839397</v>
      </c>
      <c r="K40">
        <f>LOG(Table1_1__2[[#This Row],[PFTeDA]])</f>
        <v>-0.61978875828839397</v>
      </c>
      <c r="L40">
        <f>LOG(Table1_1__2[[#This Row],[PFBS]])</f>
        <v>-1.3010299956639813</v>
      </c>
      <c r="M40">
        <f>LOG(Table1_1__2[[#This Row],[PFPeS]])</f>
        <v>-1.3010299956639813</v>
      </c>
      <c r="N40">
        <f>LOG(Table1_1__2[[#This Row],[PFHxS]])</f>
        <v>-0.769551078621726</v>
      </c>
      <c r="O40">
        <f>LOG(Table1_1__2[[#This Row],[PFHpS]])</f>
        <v>-1.3010299956639813</v>
      </c>
      <c r="P40">
        <f>LOG(Table1_1__2[[#This Row],[PFOS]])</f>
        <v>-0.18045606445813131</v>
      </c>
      <c r="Q40">
        <f>LOG(Table1_1__2[[#This Row],[PFNS]])</f>
        <v>-1.3010299956639813</v>
      </c>
      <c r="R40">
        <f>LOG(Table1_1__2[[#This Row],[PFDS]])</f>
        <v>-1.3010299956639813</v>
      </c>
      <c r="S40">
        <f>LOG(Table1_1__2[[#This Row],[PFDoS]])</f>
        <v>-1.3010299956639813</v>
      </c>
      <c r="T40">
        <f>LOG(Table1_1__2[[#This Row],[4:2 FTS]])</f>
        <v>-0.69897000433601875</v>
      </c>
      <c r="U40">
        <f>LOG(Table1_1__2[[#This Row],[6:2 FTS]])</f>
        <v>-0.3979400086720376</v>
      </c>
      <c r="V40">
        <f>LOG(Table1_1__2[[#This Row],[8:2 FTS]])</f>
        <v>-0.3979400086720376</v>
      </c>
      <c r="W40">
        <f>LOG(Table1_1__2[[#This Row],[FOSA]])</f>
        <v>-1.0457574905606752</v>
      </c>
      <c r="X40">
        <f>LOG(Table1_1__2[[#This Row],[N-MeFOSA]])</f>
        <v>-1.3010299956639813</v>
      </c>
      <c r="Y40">
        <f>LOG(Table1_1__2[[#This Row],[N-MeFOSAA]])</f>
        <v>-1.3010299956639813</v>
      </c>
      <c r="Z40">
        <f>LOG(Table1_1__2[[#This Row],[N-EtFOSAA]])</f>
        <v>-1.3010299956639813</v>
      </c>
      <c r="AA40">
        <f>LOG(Table1_1__2[[#This Row],[ADONA]])</f>
        <v>-0.69897000433601875</v>
      </c>
      <c r="AB40">
        <f>LOG(Table1_1__2[[#This Row],[3:3 FTCA]])</f>
        <v>-0.6020599913279624</v>
      </c>
      <c r="AC40">
        <f>LOG(Table1_1__2[[#This Row],[5:3 FTCA]])</f>
        <v>9.691001300805642E-2</v>
      </c>
      <c r="AD40">
        <f>LOG(Table1_1__2[[#This Row],[7:3 FTCA]])</f>
        <v>9.691001300805642E-2</v>
      </c>
      <c r="AE40">
        <f>LOG(Table1_1__2[[#This Row],[N-EtFOSA]])</f>
        <v>-1.3010299956639813</v>
      </c>
      <c r="AF40">
        <f>LOG(Table1_1__2[[#This Row],[N-MeFOSE]])</f>
        <v>-0.3010299956639812</v>
      </c>
      <c r="AG40">
        <f>LOG(Table1_1__2[[#This Row],[N-EtFOSE]])</f>
        <v>-0.3010299956639812</v>
      </c>
      <c r="AH40">
        <f>LOG(Table1_1__2[[#This Row],[HFPO-DA]])</f>
        <v>-0.52287874528033762</v>
      </c>
      <c r="AI40">
        <f>LOG(Table1_1__2[[#This Row],[PFMBA]])</f>
        <v>-1</v>
      </c>
      <c r="AJ40">
        <f>LOG(Table1_1__2[[#This Row],[NFDHA]])</f>
        <v>-1</v>
      </c>
      <c r="AK40">
        <f>LOG(Table1_1__2[[#This Row],[9Cl-PF3ONS]])</f>
        <v>-0.69897000433601875</v>
      </c>
      <c r="AL40">
        <f>LOG(Table1_1__2[[#This Row],[11Cl-PF3OUdS]])</f>
        <v>-0.69897000433601875</v>
      </c>
      <c r="AM40">
        <f>LOG(Table1_1__2[[#This Row],[PFEESA]])</f>
        <v>-1</v>
      </c>
      <c r="AN40">
        <f>LOG(Table1_1__2[[#This Row],[PFMPA]])</f>
        <v>-1</v>
      </c>
    </row>
    <row r="41" spans="1:40" x14ac:dyDescent="0.3">
      <c r="A41">
        <f>LOG(Table1_1__2[[#This Row],[PFBA]])</f>
        <v>-0.69897000433601875</v>
      </c>
      <c r="B41">
        <f>LOG(Table1_1__2[[#This Row],[PFPeA]])</f>
        <v>-1</v>
      </c>
      <c r="C41">
        <f>LOG(Table1_1__2[[#This Row],[PFHxA]])</f>
        <v>-1.0457574905606752</v>
      </c>
      <c r="D41">
        <f>LOG(Table1_1__2[[#This Row],[PFHpA]])</f>
        <v>-1.0457574905606752</v>
      </c>
      <c r="E41">
        <f>LOG(Table1_1__2[[#This Row],[PFOA]])</f>
        <v>-1.0362121726544447</v>
      </c>
      <c r="F41">
        <f>LOG(Table1_1__2[[#This Row],[PFNA]])</f>
        <v>-1.3010299956639813</v>
      </c>
      <c r="G41">
        <f>LOG(Table1_1__2[[#This Row],[PFDA]])</f>
        <v>-1.3010299956639813</v>
      </c>
      <c r="H41">
        <f>LOG(Table1_1__2[[#This Row],[PFUnA]])</f>
        <v>-1.3010299956639813</v>
      </c>
      <c r="I41">
        <f>LOG(Table1_1__2[[#This Row],[PFDoA]])</f>
        <v>-1.3010299956639813</v>
      </c>
      <c r="J41">
        <f>LOG(Table1_1__2[[#This Row],[PFTrDA]])</f>
        <v>-1.3010299956639813</v>
      </c>
      <c r="K41">
        <f>LOG(Table1_1__2[[#This Row],[PFTeDA]])</f>
        <v>-1.3010299956639813</v>
      </c>
      <c r="L41">
        <f>LOG(Table1_1__2[[#This Row],[PFBS]])</f>
        <v>-1.3010299956639813</v>
      </c>
      <c r="M41">
        <f>LOG(Table1_1__2[[#This Row],[PFPeS]])</f>
        <v>-1.3010299956639813</v>
      </c>
      <c r="N41">
        <f>LOG(Table1_1__2[[#This Row],[PFHxS]])</f>
        <v>-0.69897000433601875</v>
      </c>
      <c r="O41">
        <f>LOG(Table1_1__2[[#This Row],[PFHpS]])</f>
        <v>-1.3010299956639813</v>
      </c>
      <c r="P41">
        <f>LOG(Table1_1__2[[#This Row],[PFOS]])</f>
        <v>-0.16749108729376366</v>
      </c>
      <c r="Q41">
        <f>LOG(Table1_1__2[[#This Row],[PFNS]])</f>
        <v>-1.3010299956639813</v>
      </c>
      <c r="R41">
        <f>LOG(Table1_1__2[[#This Row],[PFDS]])</f>
        <v>-1.3010299956639813</v>
      </c>
      <c r="S41">
        <f>LOG(Table1_1__2[[#This Row],[PFDoS]])</f>
        <v>-1.3010299956639813</v>
      </c>
      <c r="T41">
        <f>LOG(Table1_1__2[[#This Row],[4:2 FTS]])</f>
        <v>-0.69897000433601875</v>
      </c>
      <c r="U41">
        <f>LOG(Table1_1__2[[#This Row],[6:2 FTS]])</f>
        <v>-0.3979400086720376</v>
      </c>
      <c r="V41">
        <f>LOG(Table1_1__2[[#This Row],[8:2 FTS]])</f>
        <v>-0.3979400086720376</v>
      </c>
      <c r="W41">
        <f>LOG(Table1_1__2[[#This Row],[FOSA]])</f>
        <v>-1.0457574905606752</v>
      </c>
      <c r="X41">
        <f>LOG(Table1_1__2[[#This Row],[N-MeFOSA]])</f>
        <v>-1.3010299956639813</v>
      </c>
      <c r="Y41">
        <f>LOG(Table1_1__2[[#This Row],[N-MeFOSAA]])</f>
        <v>-1.3010299956639813</v>
      </c>
      <c r="Z41">
        <f>LOG(Table1_1__2[[#This Row],[N-EtFOSAA]])</f>
        <v>-1.3010299956639813</v>
      </c>
      <c r="AA41">
        <f>LOG(Table1_1__2[[#This Row],[ADONA]])</f>
        <v>-0.69897000433601875</v>
      </c>
      <c r="AB41">
        <f>LOG(Table1_1__2[[#This Row],[3:3 FTCA]])</f>
        <v>-0.6020599913279624</v>
      </c>
      <c r="AC41">
        <f>LOG(Table1_1__2[[#This Row],[5:3 FTCA]])</f>
        <v>9.691001300805642E-2</v>
      </c>
      <c r="AD41">
        <f>LOG(Table1_1__2[[#This Row],[7:3 FTCA]])</f>
        <v>9.691001300805642E-2</v>
      </c>
      <c r="AE41">
        <f>LOG(Table1_1__2[[#This Row],[N-EtFOSA]])</f>
        <v>-1.3010299956639813</v>
      </c>
      <c r="AF41">
        <f>LOG(Table1_1__2[[#This Row],[N-MeFOSE]])</f>
        <v>-0.3010299956639812</v>
      </c>
      <c r="AG41">
        <f>LOG(Table1_1__2[[#This Row],[N-EtFOSE]])</f>
        <v>-0.3010299956639812</v>
      </c>
      <c r="AH41">
        <f>LOG(Table1_1__2[[#This Row],[HFPO-DA]])</f>
        <v>-0.52287874528033762</v>
      </c>
      <c r="AI41">
        <f>LOG(Table1_1__2[[#This Row],[PFMBA]])</f>
        <v>-1</v>
      </c>
      <c r="AJ41">
        <f>LOG(Table1_1__2[[#This Row],[NFDHA]])</f>
        <v>-1</v>
      </c>
      <c r="AK41">
        <f>LOG(Table1_1__2[[#This Row],[9Cl-PF3ONS]])</f>
        <v>-0.69897000433601875</v>
      </c>
      <c r="AL41">
        <f>LOG(Table1_1__2[[#This Row],[11Cl-PF3OUdS]])</f>
        <v>-0.69897000433601875</v>
      </c>
      <c r="AM41">
        <f>LOG(Table1_1__2[[#This Row],[PFEESA]])</f>
        <v>-1</v>
      </c>
      <c r="AN41">
        <f>LOG(Table1_1__2[[#This Row],[PFMPA]])</f>
        <v>-1</v>
      </c>
    </row>
    <row r="42" spans="1:40" x14ac:dyDescent="0.3">
      <c r="A42">
        <f>LOG(Table1_1__2[[#This Row],[PFBA]])</f>
        <v>-0.69897000433601875</v>
      </c>
      <c r="B42">
        <f>LOG(Table1_1__2[[#This Row],[PFPeA]])</f>
        <v>-1</v>
      </c>
      <c r="C42">
        <f>LOG(Table1_1__2[[#This Row],[PFHxA]])</f>
        <v>-0.82390874094431876</v>
      </c>
      <c r="D42">
        <f>LOG(Table1_1__2[[#This Row],[PFHpA]])</f>
        <v>-1.0457574905606752</v>
      </c>
      <c r="E42">
        <f>LOG(Table1_1__2[[#This Row],[PFOA]])</f>
        <v>-0.49485002168009401</v>
      </c>
      <c r="F42">
        <f>LOG(Table1_1__2[[#This Row],[PFNA]])</f>
        <v>-1.3010299956639813</v>
      </c>
      <c r="G42">
        <f>LOG(Table1_1__2[[#This Row],[PFDA]])</f>
        <v>-1.3010299956639813</v>
      </c>
      <c r="H42">
        <f>LOG(Table1_1__2[[#This Row],[PFUnA]])</f>
        <v>-1.3010299956639813</v>
      </c>
      <c r="I42">
        <f>LOG(Table1_1__2[[#This Row],[PFDoA]])</f>
        <v>-1.3010299956639813</v>
      </c>
      <c r="J42">
        <f>LOG(Table1_1__2[[#This Row],[PFTrDA]])</f>
        <v>-1.3010299956639813</v>
      </c>
      <c r="K42">
        <f>LOG(Table1_1__2[[#This Row],[PFTeDA]])</f>
        <v>-1.3010299956639813</v>
      </c>
      <c r="L42">
        <f>LOG(Table1_1__2[[#This Row],[PFBS]])</f>
        <v>-1.3010299956639813</v>
      </c>
      <c r="M42">
        <f>LOG(Table1_1__2[[#This Row],[PFPeS]])</f>
        <v>-1.3010299956639813</v>
      </c>
      <c r="N42">
        <f>LOG(Table1_1__2[[#This Row],[PFHxS]])</f>
        <v>-0.55284196865778079</v>
      </c>
      <c r="O42">
        <f>LOG(Table1_1__2[[#This Row],[PFHpS]])</f>
        <v>-1.3010299956639813</v>
      </c>
      <c r="P42">
        <f>LOG(Table1_1__2[[#This Row],[PFOS]])</f>
        <v>-5.0609993355087209E-2</v>
      </c>
      <c r="Q42">
        <f>LOG(Table1_1__2[[#This Row],[PFNS]])</f>
        <v>-1.3010299956639813</v>
      </c>
      <c r="R42">
        <f>LOG(Table1_1__2[[#This Row],[PFDS]])</f>
        <v>-1.3010299956639813</v>
      </c>
      <c r="S42">
        <f>LOG(Table1_1__2[[#This Row],[PFDoS]])</f>
        <v>-1.3010299956639813</v>
      </c>
      <c r="T42">
        <f>LOG(Table1_1__2[[#This Row],[4:2 FTS]])</f>
        <v>-0.69897000433601875</v>
      </c>
      <c r="U42">
        <f>LOG(Table1_1__2[[#This Row],[6:2 FTS]])</f>
        <v>-0.3979400086720376</v>
      </c>
      <c r="V42">
        <f>LOG(Table1_1__2[[#This Row],[8:2 FTS]])</f>
        <v>-0.3979400086720376</v>
      </c>
      <c r="W42">
        <f>LOG(Table1_1__2[[#This Row],[FOSA]])</f>
        <v>-1.0457574905606752</v>
      </c>
      <c r="X42">
        <f>LOG(Table1_1__2[[#This Row],[N-MeFOSA]])</f>
        <v>-1.3010299956639813</v>
      </c>
      <c r="Y42">
        <f>LOG(Table1_1__2[[#This Row],[N-MeFOSAA]])</f>
        <v>-1.3010299956639813</v>
      </c>
      <c r="Z42">
        <f>LOG(Table1_1__2[[#This Row],[N-EtFOSAA]])</f>
        <v>-1.3010299956639813</v>
      </c>
      <c r="AA42">
        <f>LOG(Table1_1__2[[#This Row],[ADONA]])</f>
        <v>-0.69897000433601875</v>
      </c>
      <c r="AB42">
        <f>LOG(Table1_1__2[[#This Row],[3:3 FTCA]])</f>
        <v>-0.6020599913279624</v>
      </c>
      <c r="AC42">
        <f>LOG(Table1_1__2[[#This Row],[5:3 FTCA]])</f>
        <v>9.691001300805642E-2</v>
      </c>
      <c r="AD42">
        <f>LOG(Table1_1__2[[#This Row],[7:3 FTCA]])</f>
        <v>9.691001300805642E-2</v>
      </c>
      <c r="AE42">
        <f>LOG(Table1_1__2[[#This Row],[N-EtFOSA]])</f>
        <v>-1.3010299956639813</v>
      </c>
      <c r="AF42">
        <f>LOG(Table1_1__2[[#This Row],[N-MeFOSE]])</f>
        <v>-0.3010299956639812</v>
      </c>
      <c r="AG42">
        <f>LOG(Table1_1__2[[#This Row],[N-EtFOSE]])</f>
        <v>-0.3010299956639812</v>
      </c>
      <c r="AH42">
        <f>LOG(Table1_1__2[[#This Row],[HFPO-DA]])</f>
        <v>-0.52287874528033762</v>
      </c>
      <c r="AI42">
        <f>LOG(Table1_1__2[[#This Row],[PFMBA]])</f>
        <v>-1</v>
      </c>
      <c r="AJ42">
        <f>LOG(Table1_1__2[[#This Row],[NFDHA]])</f>
        <v>-1</v>
      </c>
      <c r="AK42">
        <f>LOG(Table1_1__2[[#This Row],[9Cl-PF3ONS]])</f>
        <v>-0.69897000433601875</v>
      </c>
      <c r="AL42">
        <f>LOG(Table1_1__2[[#This Row],[11Cl-PF3OUdS]])</f>
        <v>-0.69897000433601875</v>
      </c>
      <c r="AM42">
        <f>LOG(Table1_1__2[[#This Row],[PFEESA]])</f>
        <v>-1</v>
      </c>
      <c r="AN42">
        <f>LOG(Table1_1__2[[#This Row],[PFMPA]])</f>
        <v>-1</v>
      </c>
    </row>
    <row r="43" spans="1:40" x14ac:dyDescent="0.3">
      <c r="A43">
        <f>LOG(Table1_1__2[[#This Row],[PFBA]])</f>
        <v>-0.69897000433601875</v>
      </c>
      <c r="B43">
        <f>LOG(Table1_1__2[[#This Row],[PFPeA]])</f>
        <v>-1</v>
      </c>
      <c r="C43">
        <f>LOG(Table1_1__2[[#This Row],[PFHxA]])</f>
        <v>-0.88605664769316317</v>
      </c>
      <c r="D43">
        <f>LOG(Table1_1__2[[#This Row],[PFHpA]])</f>
        <v>-1.0457574905606752</v>
      </c>
      <c r="E43">
        <f>LOG(Table1_1__2[[#This Row],[PFOA]])</f>
        <v>-0.88605664769316317</v>
      </c>
      <c r="F43">
        <f>LOG(Table1_1__2[[#This Row],[PFNA]])</f>
        <v>-1.3010299956639813</v>
      </c>
      <c r="G43">
        <f>LOG(Table1_1__2[[#This Row],[PFDA]])</f>
        <v>-1.3010299956639813</v>
      </c>
      <c r="H43">
        <f>LOG(Table1_1__2[[#This Row],[PFUnA]])</f>
        <v>-1.3010299956639813</v>
      </c>
      <c r="I43">
        <f>LOG(Table1_1__2[[#This Row],[PFDoA]])</f>
        <v>-1.3010299956639813</v>
      </c>
      <c r="J43">
        <f>LOG(Table1_1__2[[#This Row],[PFTrDA]])</f>
        <v>-1.3010299956639813</v>
      </c>
      <c r="K43">
        <f>LOG(Table1_1__2[[#This Row],[PFTeDA]])</f>
        <v>-1.3010299956639813</v>
      </c>
      <c r="L43">
        <f>LOG(Table1_1__2[[#This Row],[PFBS]])</f>
        <v>-1.3010299956639813</v>
      </c>
      <c r="M43">
        <f>LOG(Table1_1__2[[#This Row],[PFPeS]])</f>
        <v>-1.3010299956639813</v>
      </c>
      <c r="N43">
        <f>LOG(Table1_1__2[[#This Row],[PFHxS]])</f>
        <v>-0.38721614328026455</v>
      </c>
      <c r="O43">
        <f>LOG(Table1_1__2[[#This Row],[PFHpS]])</f>
        <v>-1.3010299956639813</v>
      </c>
      <c r="P43">
        <f>LOG(Table1_1__2[[#This Row],[PFOS]])</f>
        <v>0.38021124171160603</v>
      </c>
      <c r="Q43">
        <f>LOG(Table1_1__2[[#This Row],[PFNS]])</f>
        <v>-1.3010299956639813</v>
      </c>
      <c r="R43">
        <f>LOG(Table1_1__2[[#This Row],[PFDS]])</f>
        <v>-1.3010299956639813</v>
      </c>
      <c r="S43">
        <f>LOG(Table1_1__2[[#This Row],[PFDoS]])</f>
        <v>-1.3010299956639813</v>
      </c>
      <c r="T43">
        <f>LOG(Table1_1__2[[#This Row],[4:2 FTS]])</f>
        <v>-0.69897000433601875</v>
      </c>
      <c r="U43">
        <f>LOG(Table1_1__2[[#This Row],[6:2 FTS]])</f>
        <v>-0.3979400086720376</v>
      </c>
      <c r="V43">
        <f>LOG(Table1_1__2[[#This Row],[8:2 FTS]])</f>
        <v>-0.3979400086720376</v>
      </c>
      <c r="W43">
        <f>LOG(Table1_1__2[[#This Row],[FOSA]])</f>
        <v>-0.88605664769316317</v>
      </c>
      <c r="X43">
        <f>LOG(Table1_1__2[[#This Row],[N-MeFOSA]])</f>
        <v>-1.3010299956639813</v>
      </c>
      <c r="Y43">
        <f>LOG(Table1_1__2[[#This Row],[N-MeFOSAA]])</f>
        <v>-1.3010299956639813</v>
      </c>
      <c r="Z43">
        <f>LOG(Table1_1__2[[#This Row],[N-EtFOSAA]])</f>
        <v>-1.3010299956639813</v>
      </c>
      <c r="AA43">
        <f>LOG(Table1_1__2[[#This Row],[ADONA]])</f>
        <v>-0.69897000433601875</v>
      </c>
      <c r="AB43">
        <f>LOG(Table1_1__2[[#This Row],[3:3 FTCA]])</f>
        <v>-0.6020599913279624</v>
      </c>
      <c r="AC43">
        <f>LOG(Table1_1__2[[#This Row],[5:3 FTCA]])</f>
        <v>9.691001300805642E-2</v>
      </c>
      <c r="AD43">
        <f>LOG(Table1_1__2[[#This Row],[7:3 FTCA]])</f>
        <v>9.691001300805642E-2</v>
      </c>
      <c r="AE43">
        <f>LOG(Table1_1__2[[#This Row],[N-EtFOSA]])</f>
        <v>-1.3010299956639813</v>
      </c>
      <c r="AF43">
        <f>LOG(Table1_1__2[[#This Row],[N-MeFOSE]])</f>
        <v>-0.3010299956639812</v>
      </c>
      <c r="AG43">
        <f>LOG(Table1_1__2[[#This Row],[N-EtFOSE]])</f>
        <v>-0.3010299956639812</v>
      </c>
      <c r="AH43">
        <f>LOG(Table1_1__2[[#This Row],[HFPO-DA]])</f>
        <v>-0.52287874528033762</v>
      </c>
      <c r="AI43">
        <f>LOG(Table1_1__2[[#This Row],[PFMBA]])</f>
        <v>-1</v>
      </c>
      <c r="AJ43">
        <f>LOG(Table1_1__2[[#This Row],[NFDHA]])</f>
        <v>-1</v>
      </c>
      <c r="AK43">
        <f>LOG(Table1_1__2[[#This Row],[9Cl-PF3ONS]])</f>
        <v>-0.69897000433601875</v>
      </c>
      <c r="AL43">
        <f>LOG(Table1_1__2[[#This Row],[11Cl-PF3OUdS]])</f>
        <v>-0.69897000433601875</v>
      </c>
      <c r="AM43">
        <f>LOG(Table1_1__2[[#This Row],[PFEESA]])</f>
        <v>-1</v>
      </c>
      <c r="AN43">
        <f>LOG(Table1_1__2[[#This Row],[PFMPA]])</f>
        <v>-1</v>
      </c>
    </row>
    <row r="44" spans="1:40" x14ac:dyDescent="0.3">
      <c r="A44">
        <f>LOG(Table1_1__2[[#This Row],[PFBA]])</f>
        <v>-0.69897000433601875</v>
      </c>
      <c r="B44">
        <f>LOG(Table1_1__2[[#This Row],[PFPeA]])</f>
        <v>-1</v>
      </c>
      <c r="C44">
        <f>LOG(Table1_1__2[[#This Row],[PFHxA]])</f>
        <v>-1.0457574905606752</v>
      </c>
      <c r="D44">
        <f>LOG(Table1_1__2[[#This Row],[PFHpA]])</f>
        <v>-1.0457574905606752</v>
      </c>
      <c r="E44">
        <f>LOG(Table1_1__2[[#This Row],[PFOA]])</f>
        <v>-1</v>
      </c>
      <c r="F44">
        <f>LOG(Table1_1__2[[#This Row],[PFNA]])</f>
        <v>-1.3010299956639813</v>
      </c>
      <c r="G44">
        <f>LOG(Table1_1__2[[#This Row],[PFDA]])</f>
        <v>-1.3010299956639813</v>
      </c>
      <c r="H44">
        <f>LOG(Table1_1__2[[#This Row],[PFUnA]])</f>
        <v>-1.3010299956639813</v>
      </c>
      <c r="I44">
        <f>LOG(Table1_1__2[[#This Row],[PFDoA]])</f>
        <v>-1.3010299956639813</v>
      </c>
      <c r="J44">
        <f>LOG(Table1_1__2[[#This Row],[PFTrDA]])</f>
        <v>-1.3010299956639813</v>
      </c>
      <c r="K44">
        <f>LOG(Table1_1__2[[#This Row],[PFTeDA]])</f>
        <v>-1.3010299956639813</v>
      </c>
      <c r="L44">
        <f>LOG(Table1_1__2[[#This Row],[PFBS]])</f>
        <v>-1.3010299956639813</v>
      </c>
      <c r="M44">
        <f>LOG(Table1_1__2[[#This Row],[PFPeS]])</f>
        <v>-1.3010299956639813</v>
      </c>
      <c r="N44">
        <f>LOG(Table1_1__2[[#This Row],[PFHxS]])</f>
        <v>-0.65757731917779372</v>
      </c>
      <c r="O44">
        <f>LOG(Table1_1__2[[#This Row],[PFHpS]])</f>
        <v>-1.3010299956639813</v>
      </c>
      <c r="P44">
        <f>LOG(Table1_1__2[[#This Row],[PFOS]])</f>
        <v>-0.21467016498923297</v>
      </c>
      <c r="Q44">
        <f>LOG(Table1_1__2[[#This Row],[PFNS]])</f>
        <v>-1.3010299956639813</v>
      </c>
      <c r="R44">
        <f>LOG(Table1_1__2[[#This Row],[PFDS]])</f>
        <v>-1.3010299956639813</v>
      </c>
      <c r="S44">
        <f>LOG(Table1_1__2[[#This Row],[PFDoS]])</f>
        <v>-1.3010299956639813</v>
      </c>
      <c r="T44">
        <f>LOG(Table1_1__2[[#This Row],[4:2 FTS]])</f>
        <v>-0.69897000433601875</v>
      </c>
      <c r="U44">
        <f>LOG(Table1_1__2[[#This Row],[6:2 FTS]])</f>
        <v>-0.3979400086720376</v>
      </c>
      <c r="V44">
        <f>LOG(Table1_1__2[[#This Row],[8:2 FTS]])</f>
        <v>-0.3979400086720376</v>
      </c>
      <c r="W44">
        <f>LOG(Table1_1__2[[#This Row],[FOSA]])</f>
        <v>-1.0457574905606752</v>
      </c>
      <c r="X44">
        <f>LOG(Table1_1__2[[#This Row],[N-MeFOSA]])</f>
        <v>-1.3010299956639813</v>
      </c>
      <c r="Y44">
        <f>LOG(Table1_1__2[[#This Row],[N-MeFOSAA]])</f>
        <v>-1.3010299956639813</v>
      </c>
      <c r="Z44">
        <f>LOG(Table1_1__2[[#This Row],[N-EtFOSAA]])</f>
        <v>-1.3010299956639813</v>
      </c>
      <c r="AA44">
        <f>LOG(Table1_1__2[[#This Row],[ADONA]])</f>
        <v>-0.69897000433601875</v>
      </c>
      <c r="AB44">
        <f>LOG(Table1_1__2[[#This Row],[3:3 FTCA]])</f>
        <v>-0.6020599913279624</v>
      </c>
      <c r="AC44">
        <f>LOG(Table1_1__2[[#This Row],[5:3 FTCA]])</f>
        <v>9.691001300805642E-2</v>
      </c>
      <c r="AD44">
        <f>LOG(Table1_1__2[[#This Row],[7:3 FTCA]])</f>
        <v>9.691001300805642E-2</v>
      </c>
      <c r="AE44">
        <f>LOG(Table1_1__2[[#This Row],[N-EtFOSA]])</f>
        <v>-1.3010299956639813</v>
      </c>
      <c r="AF44">
        <f>LOG(Table1_1__2[[#This Row],[N-MeFOSE]])</f>
        <v>-0.3010299956639812</v>
      </c>
      <c r="AG44">
        <f>LOG(Table1_1__2[[#This Row],[N-EtFOSE]])</f>
        <v>-0.3010299956639812</v>
      </c>
      <c r="AH44">
        <f>LOG(Table1_1__2[[#This Row],[HFPO-DA]])</f>
        <v>-0.52287874528033762</v>
      </c>
      <c r="AI44">
        <f>LOG(Table1_1__2[[#This Row],[PFMBA]])</f>
        <v>-1</v>
      </c>
      <c r="AJ44">
        <f>LOG(Table1_1__2[[#This Row],[NFDHA]])</f>
        <v>-1</v>
      </c>
      <c r="AK44">
        <f>LOG(Table1_1__2[[#This Row],[9Cl-PF3ONS]])</f>
        <v>-0.69897000433601875</v>
      </c>
      <c r="AL44">
        <f>LOG(Table1_1__2[[#This Row],[11Cl-PF3OUdS]])</f>
        <v>-0.69897000433601875</v>
      </c>
      <c r="AM44">
        <f>LOG(Table1_1__2[[#This Row],[PFEESA]])</f>
        <v>-1</v>
      </c>
      <c r="AN44">
        <f>LOG(Table1_1__2[[#This Row],[PFMPA]])</f>
        <v>-1</v>
      </c>
    </row>
    <row r="45" spans="1:40" x14ac:dyDescent="0.3">
      <c r="A45">
        <f>LOG(Table1_1__2[[#This Row],[PFBA]])</f>
        <v>-0.69897000433601875</v>
      </c>
      <c r="B45">
        <f>LOG(Table1_1__2[[#This Row],[PFPeA]])</f>
        <v>-1</v>
      </c>
      <c r="C45">
        <f>LOG(Table1_1__2[[#This Row],[PFHxA]])</f>
        <v>-1.0457574905606752</v>
      </c>
      <c r="D45">
        <f>LOG(Table1_1__2[[#This Row],[PFHpA]])</f>
        <v>-1.0457574905606752</v>
      </c>
      <c r="E45">
        <f>LOG(Table1_1__2[[#This Row],[PFOA]])</f>
        <v>-0.88605664769316317</v>
      </c>
      <c r="F45">
        <f>LOG(Table1_1__2[[#This Row],[PFNA]])</f>
        <v>-1.3010299956639813</v>
      </c>
      <c r="G45">
        <f>LOG(Table1_1__2[[#This Row],[PFDA]])</f>
        <v>-1.3010299956639813</v>
      </c>
      <c r="H45">
        <f>LOG(Table1_1__2[[#This Row],[PFUnA]])</f>
        <v>-1.3010299956639813</v>
      </c>
      <c r="I45">
        <f>LOG(Table1_1__2[[#This Row],[PFDoA]])</f>
        <v>-1.3010299956639813</v>
      </c>
      <c r="J45">
        <f>LOG(Table1_1__2[[#This Row],[PFTrDA]])</f>
        <v>-1.3010299956639813</v>
      </c>
      <c r="K45">
        <f>LOG(Table1_1__2[[#This Row],[PFTeDA]])</f>
        <v>-1.3010299956639813</v>
      </c>
      <c r="L45">
        <f>LOG(Table1_1__2[[#This Row],[PFBS]])</f>
        <v>-1.3010299956639813</v>
      </c>
      <c r="M45">
        <f>LOG(Table1_1__2[[#This Row],[PFPeS]])</f>
        <v>-1.3010299956639813</v>
      </c>
      <c r="N45">
        <f>LOG(Table1_1__2[[#This Row],[PFHxS]])</f>
        <v>-0.6020599913279624</v>
      </c>
      <c r="O45">
        <f>LOG(Table1_1__2[[#This Row],[PFHpS]])</f>
        <v>-1.3010299956639813</v>
      </c>
      <c r="P45">
        <f>LOG(Table1_1__2[[#This Row],[PFOS]])</f>
        <v>-0.12493873660829995</v>
      </c>
      <c r="Q45">
        <f>LOG(Table1_1__2[[#This Row],[PFNS]])</f>
        <v>-1.3010299956639813</v>
      </c>
      <c r="R45">
        <f>LOG(Table1_1__2[[#This Row],[PFDS]])</f>
        <v>-1.3010299956639813</v>
      </c>
      <c r="S45">
        <f>LOG(Table1_1__2[[#This Row],[PFDoS]])</f>
        <v>-1.3010299956639813</v>
      </c>
      <c r="T45">
        <f>LOG(Table1_1__2[[#This Row],[4:2 FTS]])</f>
        <v>-0.69897000433601875</v>
      </c>
      <c r="U45">
        <f>LOG(Table1_1__2[[#This Row],[6:2 FTS]])</f>
        <v>-0.3979400086720376</v>
      </c>
      <c r="V45">
        <f>LOG(Table1_1__2[[#This Row],[8:2 FTS]])</f>
        <v>-0.3979400086720376</v>
      </c>
      <c r="W45">
        <f>LOG(Table1_1__2[[#This Row],[FOSA]])</f>
        <v>-1.0457574905606752</v>
      </c>
      <c r="X45">
        <f>LOG(Table1_1__2[[#This Row],[N-MeFOSA]])</f>
        <v>-1.3010299956639813</v>
      </c>
      <c r="Y45">
        <f>LOG(Table1_1__2[[#This Row],[N-MeFOSAA]])</f>
        <v>-1.3010299956639813</v>
      </c>
      <c r="Z45">
        <f>LOG(Table1_1__2[[#This Row],[N-EtFOSAA]])</f>
        <v>-1.3010299956639813</v>
      </c>
      <c r="AA45">
        <f>LOG(Table1_1__2[[#This Row],[ADONA]])</f>
        <v>-0.69897000433601875</v>
      </c>
      <c r="AB45">
        <f>LOG(Table1_1__2[[#This Row],[3:3 FTCA]])</f>
        <v>-0.6020599913279624</v>
      </c>
      <c r="AC45">
        <f>LOG(Table1_1__2[[#This Row],[5:3 FTCA]])</f>
        <v>9.691001300805642E-2</v>
      </c>
      <c r="AD45">
        <f>LOG(Table1_1__2[[#This Row],[7:3 FTCA]])</f>
        <v>9.691001300805642E-2</v>
      </c>
      <c r="AE45">
        <f>LOG(Table1_1__2[[#This Row],[N-EtFOSA]])</f>
        <v>-1.3010299956639813</v>
      </c>
      <c r="AF45">
        <f>LOG(Table1_1__2[[#This Row],[N-MeFOSE]])</f>
        <v>-0.3010299956639812</v>
      </c>
      <c r="AG45">
        <f>LOG(Table1_1__2[[#This Row],[N-EtFOSE]])</f>
        <v>-0.3010299956639812</v>
      </c>
      <c r="AH45">
        <f>LOG(Table1_1__2[[#This Row],[HFPO-DA]])</f>
        <v>-0.52287874528033762</v>
      </c>
      <c r="AI45">
        <f>LOG(Table1_1__2[[#This Row],[PFMBA]])</f>
        <v>-1</v>
      </c>
      <c r="AJ45">
        <f>LOG(Table1_1__2[[#This Row],[NFDHA]])</f>
        <v>-1</v>
      </c>
      <c r="AK45">
        <f>LOG(Table1_1__2[[#This Row],[9Cl-PF3ONS]])</f>
        <v>-0.69897000433601875</v>
      </c>
      <c r="AL45">
        <f>LOG(Table1_1__2[[#This Row],[11Cl-PF3OUdS]])</f>
        <v>-0.69897000433601875</v>
      </c>
      <c r="AM45">
        <f>LOG(Table1_1__2[[#This Row],[PFEESA]])</f>
        <v>-1</v>
      </c>
      <c r="AN45">
        <f>LOG(Table1_1__2[[#This Row],[PFMPA]])</f>
        <v>-1</v>
      </c>
    </row>
    <row r="46" spans="1:40" x14ac:dyDescent="0.3">
      <c r="A46">
        <f>LOG(Table1_1__2[[#This Row],[PFBA]])</f>
        <v>-0.69897000433601875</v>
      </c>
      <c r="B46">
        <f>LOG(Table1_1__2[[#This Row],[PFPeA]])</f>
        <v>-0.95860731484177497</v>
      </c>
      <c r="C46">
        <f>LOG(Table1_1__2[[#This Row],[PFHxA]])</f>
        <v>-0.58502665202918203</v>
      </c>
      <c r="D46">
        <f>LOG(Table1_1__2[[#This Row],[PFHpA]])</f>
        <v>-1.0457574905606752</v>
      </c>
      <c r="E46">
        <f>LOG(Table1_1__2[[#This Row],[PFOA]])</f>
        <v>-0.30980391997148632</v>
      </c>
      <c r="F46">
        <f>LOG(Table1_1__2[[#This Row],[PFNA]])</f>
        <v>-1.3010299956639813</v>
      </c>
      <c r="G46">
        <f>LOG(Table1_1__2[[#This Row],[PFDA]])</f>
        <v>-1.3010299956639813</v>
      </c>
      <c r="H46">
        <f>LOG(Table1_1__2[[#This Row],[PFUnA]])</f>
        <v>-1.3010299956639813</v>
      </c>
      <c r="I46">
        <f>LOG(Table1_1__2[[#This Row],[PFDoA]])</f>
        <v>-1.3010299956639813</v>
      </c>
      <c r="J46">
        <f>LOG(Table1_1__2[[#This Row],[PFTrDA]])</f>
        <v>-1.3010299956639813</v>
      </c>
      <c r="K46">
        <f>LOG(Table1_1__2[[#This Row],[PFTeDA]])</f>
        <v>-1.3010299956639813</v>
      </c>
      <c r="L46">
        <f>LOG(Table1_1__2[[#This Row],[PFBS]])</f>
        <v>-1.3010299956639813</v>
      </c>
      <c r="M46">
        <f>LOG(Table1_1__2[[#This Row],[PFPeS]])</f>
        <v>-1.3010299956639813</v>
      </c>
      <c r="N46">
        <f>LOG(Table1_1__2[[#This Row],[PFHxS]])</f>
        <v>-0.22184874961635639</v>
      </c>
      <c r="O46">
        <f>LOG(Table1_1__2[[#This Row],[PFHpS]])</f>
        <v>-1.3010299956639813</v>
      </c>
      <c r="P46">
        <f>LOG(Table1_1__2[[#This Row],[PFOS]])</f>
        <v>7.9181246047624818E-2</v>
      </c>
      <c r="Q46">
        <f>LOG(Table1_1__2[[#This Row],[PFNS]])</f>
        <v>-1.3010299956639813</v>
      </c>
      <c r="R46">
        <f>LOG(Table1_1__2[[#This Row],[PFDS]])</f>
        <v>-1.3010299956639813</v>
      </c>
      <c r="S46">
        <f>LOG(Table1_1__2[[#This Row],[PFDoS]])</f>
        <v>-1.3010299956639813</v>
      </c>
      <c r="T46">
        <f>LOG(Table1_1__2[[#This Row],[4:2 FTS]])</f>
        <v>-0.69897000433601875</v>
      </c>
      <c r="U46">
        <f>LOG(Table1_1__2[[#This Row],[6:2 FTS]])</f>
        <v>-0.3979400086720376</v>
      </c>
      <c r="V46">
        <f>LOG(Table1_1__2[[#This Row],[8:2 FTS]])</f>
        <v>-0.3979400086720376</v>
      </c>
      <c r="W46">
        <f>LOG(Table1_1__2[[#This Row],[FOSA]])</f>
        <v>-1.0457574905606752</v>
      </c>
      <c r="X46">
        <f>LOG(Table1_1__2[[#This Row],[N-MeFOSA]])</f>
        <v>-1.3010299956639813</v>
      </c>
      <c r="Y46">
        <f>LOG(Table1_1__2[[#This Row],[N-MeFOSAA]])</f>
        <v>-1.3010299956639813</v>
      </c>
      <c r="Z46">
        <f>LOG(Table1_1__2[[#This Row],[N-EtFOSAA]])</f>
        <v>-1.3010299956639813</v>
      </c>
      <c r="AA46">
        <f>LOG(Table1_1__2[[#This Row],[ADONA]])</f>
        <v>-0.69897000433601875</v>
      </c>
      <c r="AB46">
        <f>LOG(Table1_1__2[[#This Row],[3:3 FTCA]])</f>
        <v>-0.6020599913279624</v>
      </c>
      <c r="AC46">
        <f>LOG(Table1_1__2[[#This Row],[5:3 FTCA]])</f>
        <v>9.691001300805642E-2</v>
      </c>
      <c r="AD46">
        <f>LOG(Table1_1__2[[#This Row],[7:3 FTCA]])</f>
        <v>9.691001300805642E-2</v>
      </c>
      <c r="AE46">
        <f>LOG(Table1_1__2[[#This Row],[N-EtFOSA]])</f>
        <v>-1.3010299956639813</v>
      </c>
      <c r="AF46">
        <f>LOG(Table1_1__2[[#This Row],[N-MeFOSE]])</f>
        <v>-0.3010299956639812</v>
      </c>
      <c r="AG46">
        <f>LOG(Table1_1__2[[#This Row],[N-EtFOSE]])</f>
        <v>-0.3010299956639812</v>
      </c>
      <c r="AH46">
        <f>LOG(Table1_1__2[[#This Row],[HFPO-DA]])</f>
        <v>-0.52287874528033762</v>
      </c>
      <c r="AI46">
        <f>LOG(Table1_1__2[[#This Row],[PFMBA]])</f>
        <v>-1</v>
      </c>
      <c r="AJ46">
        <f>LOG(Table1_1__2[[#This Row],[NFDHA]])</f>
        <v>-1</v>
      </c>
      <c r="AK46">
        <f>LOG(Table1_1__2[[#This Row],[9Cl-PF3ONS]])</f>
        <v>-0.69897000433601875</v>
      </c>
      <c r="AL46">
        <f>LOG(Table1_1__2[[#This Row],[11Cl-PF3OUdS]])</f>
        <v>-0.69897000433601875</v>
      </c>
      <c r="AM46">
        <f>LOG(Table1_1__2[[#This Row],[PFEESA]])</f>
        <v>-1</v>
      </c>
      <c r="AN46">
        <f>LOG(Table1_1__2[[#This Row],[PFMPA]])</f>
        <v>-1</v>
      </c>
    </row>
    <row r="47" spans="1:40" x14ac:dyDescent="0.3">
      <c r="A47">
        <f>LOG(Table1_1__2[[#This Row],[PFBA]])</f>
        <v>-0.69897000433601875</v>
      </c>
      <c r="B47">
        <f>LOG(Table1_1__2[[#This Row],[PFPeA]])</f>
        <v>-1</v>
      </c>
      <c r="C47">
        <f>LOG(Table1_1__2[[#This Row],[PFHxA]])</f>
        <v>-0.79588001734407521</v>
      </c>
      <c r="D47">
        <f>LOG(Table1_1__2[[#This Row],[PFHpA]])</f>
        <v>-1.0457574905606752</v>
      </c>
      <c r="E47">
        <f>LOG(Table1_1__2[[#This Row],[PFOA]])</f>
        <v>-0.6777807052660807</v>
      </c>
      <c r="F47">
        <f>LOG(Table1_1__2[[#This Row],[PFNA]])</f>
        <v>-1.3010299956639813</v>
      </c>
      <c r="G47">
        <f>LOG(Table1_1__2[[#This Row],[PFDA]])</f>
        <v>-1.3010299956639813</v>
      </c>
      <c r="H47">
        <f>LOG(Table1_1__2[[#This Row],[PFUnA]])</f>
        <v>-1.3010299956639813</v>
      </c>
      <c r="I47">
        <f>LOG(Table1_1__2[[#This Row],[PFDoA]])</f>
        <v>-1.3010299956639813</v>
      </c>
      <c r="J47">
        <f>LOG(Table1_1__2[[#This Row],[PFTrDA]])</f>
        <v>-1.3010299956639813</v>
      </c>
      <c r="K47">
        <f>LOG(Table1_1__2[[#This Row],[PFTeDA]])</f>
        <v>-1.3010299956639813</v>
      </c>
      <c r="L47">
        <f>LOG(Table1_1__2[[#This Row],[PFBS]])</f>
        <v>-1.3010299956639813</v>
      </c>
      <c r="M47">
        <f>LOG(Table1_1__2[[#This Row],[PFPeS]])</f>
        <v>-1.3010299956639813</v>
      </c>
      <c r="N47">
        <f>LOG(Table1_1__2[[#This Row],[PFHxS]])</f>
        <v>-0.3010299956639812</v>
      </c>
      <c r="O47">
        <f>LOG(Table1_1__2[[#This Row],[PFHpS]])</f>
        <v>-1.3010299956639813</v>
      </c>
      <c r="P47">
        <f>LOG(Table1_1__2[[#This Row],[PFOS]])</f>
        <v>0.36172783601759284</v>
      </c>
      <c r="Q47">
        <f>LOG(Table1_1__2[[#This Row],[PFNS]])</f>
        <v>-1.3010299956639813</v>
      </c>
      <c r="R47">
        <f>LOG(Table1_1__2[[#This Row],[PFDS]])</f>
        <v>-1.3010299956639813</v>
      </c>
      <c r="S47">
        <f>LOG(Table1_1__2[[#This Row],[PFDoS]])</f>
        <v>-1.3010299956639813</v>
      </c>
      <c r="T47">
        <f>LOG(Table1_1__2[[#This Row],[4:2 FTS]])</f>
        <v>-0.69897000433601875</v>
      </c>
      <c r="U47">
        <f>LOG(Table1_1__2[[#This Row],[6:2 FTS]])</f>
        <v>-0.3979400086720376</v>
      </c>
      <c r="V47">
        <f>LOG(Table1_1__2[[#This Row],[8:2 FTS]])</f>
        <v>-0.3979400086720376</v>
      </c>
      <c r="W47">
        <f>LOG(Table1_1__2[[#This Row],[FOSA]])</f>
        <v>-0.92081875395237522</v>
      </c>
      <c r="X47">
        <f>LOG(Table1_1__2[[#This Row],[N-MeFOSA]])</f>
        <v>-1.3010299956639813</v>
      </c>
      <c r="Y47">
        <f>LOG(Table1_1__2[[#This Row],[N-MeFOSAA]])</f>
        <v>-1.3010299956639813</v>
      </c>
      <c r="Z47">
        <f>LOG(Table1_1__2[[#This Row],[N-EtFOSAA]])</f>
        <v>-1.3010299956639813</v>
      </c>
      <c r="AA47">
        <f>LOG(Table1_1__2[[#This Row],[ADONA]])</f>
        <v>-0.69897000433601875</v>
      </c>
      <c r="AB47">
        <f>LOG(Table1_1__2[[#This Row],[3:3 FTCA]])</f>
        <v>-0.6020599913279624</v>
      </c>
      <c r="AC47">
        <f>LOG(Table1_1__2[[#This Row],[5:3 FTCA]])</f>
        <v>9.691001300805642E-2</v>
      </c>
      <c r="AD47">
        <f>LOG(Table1_1__2[[#This Row],[7:3 FTCA]])</f>
        <v>9.691001300805642E-2</v>
      </c>
      <c r="AE47">
        <f>LOG(Table1_1__2[[#This Row],[N-EtFOSA]])</f>
        <v>-1.3010299956639813</v>
      </c>
      <c r="AF47">
        <f>LOG(Table1_1__2[[#This Row],[N-MeFOSE]])</f>
        <v>-0.3010299956639812</v>
      </c>
      <c r="AG47">
        <f>LOG(Table1_1__2[[#This Row],[N-EtFOSE]])</f>
        <v>-0.3010299956639812</v>
      </c>
      <c r="AH47">
        <f>LOG(Table1_1__2[[#This Row],[HFPO-DA]])</f>
        <v>-0.52287874528033762</v>
      </c>
      <c r="AI47">
        <f>LOG(Table1_1__2[[#This Row],[PFMBA]])</f>
        <v>-1</v>
      </c>
      <c r="AJ47">
        <f>LOG(Table1_1__2[[#This Row],[NFDHA]])</f>
        <v>-1</v>
      </c>
      <c r="AK47">
        <f>LOG(Table1_1__2[[#This Row],[9Cl-PF3ONS]])</f>
        <v>-0.69897000433601875</v>
      </c>
      <c r="AL47">
        <f>LOG(Table1_1__2[[#This Row],[11Cl-PF3OUdS]])</f>
        <v>-0.69897000433601875</v>
      </c>
      <c r="AM47">
        <f>LOG(Table1_1__2[[#This Row],[PFEESA]])</f>
        <v>-1</v>
      </c>
      <c r="AN47">
        <f>LOG(Table1_1__2[[#This Row],[PFMPA]])</f>
        <v>-1</v>
      </c>
    </row>
    <row r="48" spans="1:40" x14ac:dyDescent="0.3">
      <c r="A48">
        <f>LOG(Table1_1__2[[#This Row],[PFBA]])</f>
        <v>-0.69897000433601875</v>
      </c>
      <c r="B48">
        <f>LOG(Table1_1__2[[#This Row],[PFPeA]])</f>
        <v>-0.95860731484177497</v>
      </c>
      <c r="C48">
        <f>LOG(Table1_1__2[[#This Row],[PFHxA]])</f>
        <v>-0.79588001734407521</v>
      </c>
      <c r="D48">
        <f>LOG(Table1_1__2[[#This Row],[PFHpA]])</f>
        <v>-1.0457574905606752</v>
      </c>
      <c r="E48">
        <f>LOG(Table1_1__2[[#This Row],[PFOA]])</f>
        <v>-0.52287874528033762</v>
      </c>
      <c r="F48">
        <f>LOG(Table1_1__2[[#This Row],[PFNA]])</f>
        <v>-1.3010299956639813</v>
      </c>
      <c r="G48">
        <f>LOG(Table1_1__2[[#This Row],[PFDA]])</f>
        <v>-1.3010299956639813</v>
      </c>
      <c r="H48">
        <f>LOG(Table1_1__2[[#This Row],[PFUnA]])</f>
        <v>-1.3010299956639813</v>
      </c>
      <c r="I48">
        <f>LOG(Table1_1__2[[#This Row],[PFDoA]])</f>
        <v>-1.3010299956639813</v>
      </c>
      <c r="J48">
        <f>LOG(Table1_1__2[[#This Row],[PFTrDA]])</f>
        <v>-1.3010299956639813</v>
      </c>
      <c r="K48">
        <f>LOG(Table1_1__2[[#This Row],[PFTeDA]])</f>
        <v>-1.3010299956639813</v>
      </c>
      <c r="L48">
        <f>LOG(Table1_1__2[[#This Row],[PFBS]])</f>
        <v>-1.3010299956639813</v>
      </c>
      <c r="M48">
        <f>LOG(Table1_1__2[[#This Row],[PFPeS]])</f>
        <v>-1.3010299956639813</v>
      </c>
      <c r="N48">
        <f>LOG(Table1_1__2[[#This Row],[PFHxS]])</f>
        <v>-0.34678748622465633</v>
      </c>
      <c r="O48">
        <f>LOG(Table1_1__2[[#This Row],[PFHpS]])</f>
        <v>-1.3010299956639813</v>
      </c>
      <c r="P48">
        <f>LOG(Table1_1__2[[#This Row],[PFOS]])</f>
        <v>0.3010299956639812</v>
      </c>
      <c r="Q48">
        <f>LOG(Table1_1__2[[#This Row],[PFNS]])</f>
        <v>-1.3010299956639813</v>
      </c>
      <c r="R48">
        <f>LOG(Table1_1__2[[#This Row],[PFDS]])</f>
        <v>-1.3010299956639813</v>
      </c>
      <c r="S48">
        <f>LOG(Table1_1__2[[#This Row],[PFDoS]])</f>
        <v>-1.3010299956639813</v>
      </c>
      <c r="T48">
        <f>LOG(Table1_1__2[[#This Row],[4:2 FTS]])</f>
        <v>-0.69897000433601875</v>
      </c>
      <c r="U48">
        <f>LOG(Table1_1__2[[#This Row],[6:2 FTS]])</f>
        <v>-0.3979400086720376</v>
      </c>
      <c r="V48">
        <f>LOG(Table1_1__2[[#This Row],[8:2 FTS]])</f>
        <v>-0.3979400086720376</v>
      </c>
      <c r="W48">
        <f>LOG(Table1_1__2[[#This Row],[FOSA]])</f>
        <v>-1.0457574905606752</v>
      </c>
      <c r="X48">
        <f>LOG(Table1_1__2[[#This Row],[N-MeFOSA]])</f>
        <v>-1.3010299956639813</v>
      </c>
      <c r="Y48">
        <f>LOG(Table1_1__2[[#This Row],[N-MeFOSAA]])</f>
        <v>-1.3010299956639813</v>
      </c>
      <c r="Z48">
        <f>LOG(Table1_1__2[[#This Row],[N-EtFOSAA]])</f>
        <v>-1.3010299956639813</v>
      </c>
      <c r="AA48">
        <f>LOG(Table1_1__2[[#This Row],[ADONA]])</f>
        <v>-0.69897000433601875</v>
      </c>
      <c r="AB48">
        <f>LOG(Table1_1__2[[#This Row],[3:3 FTCA]])</f>
        <v>-0.6020599913279624</v>
      </c>
      <c r="AC48">
        <f>LOG(Table1_1__2[[#This Row],[5:3 FTCA]])</f>
        <v>9.691001300805642E-2</v>
      </c>
      <c r="AD48">
        <f>LOG(Table1_1__2[[#This Row],[7:3 FTCA]])</f>
        <v>9.691001300805642E-2</v>
      </c>
      <c r="AE48">
        <f>LOG(Table1_1__2[[#This Row],[N-EtFOSA]])</f>
        <v>-1.3010299956639813</v>
      </c>
      <c r="AF48">
        <f>LOG(Table1_1__2[[#This Row],[N-MeFOSE]])</f>
        <v>-0.3010299956639812</v>
      </c>
      <c r="AG48">
        <f>LOG(Table1_1__2[[#This Row],[N-EtFOSE]])</f>
        <v>-0.3010299956639812</v>
      </c>
      <c r="AH48">
        <f>LOG(Table1_1__2[[#This Row],[HFPO-DA]])</f>
        <v>-0.52287874528033762</v>
      </c>
      <c r="AI48">
        <f>LOG(Table1_1__2[[#This Row],[PFMBA]])</f>
        <v>-1</v>
      </c>
      <c r="AJ48">
        <f>LOG(Table1_1__2[[#This Row],[NFDHA]])</f>
        <v>-1</v>
      </c>
      <c r="AK48">
        <f>LOG(Table1_1__2[[#This Row],[9Cl-PF3ONS]])</f>
        <v>-0.69897000433601875</v>
      </c>
      <c r="AL48">
        <f>LOG(Table1_1__2[[#This Row],[11Cl-PF3OUdS]])</f>
        <v>-0.69897000433601875</v>
      </c>
      <c r="AM48">
        <f>LOG(Table1_1__2[[#This Row],[PFEESA]])</f>
        <v>-1</v>
      </c>
      <c r="AN48">
        <f>LOG(Table1_1__2[[#This Row],[PFMPA]])</f>
        <v>-1</v>
      </c>
    </row>
    <row r="49" spans="1:40" x14ac:dyDescent="0.3">
      <c r="A49">
        <f>LOG(Table1_1__2[[#This Row],[PFBA]])</f>
        <v>-0.69897000433601875</v>
      </c>
      <c r="B49">
        <f>LOG(Table1_1__2[[#This Row],[PFPeA]])</f>
        <v>-1</v>
      </c>
      <c r="C49">
        <f>LOG(Table1_1__2[[#This Row],[PFHxA]])</f>
        <v>-0.6777807052660807</v>
      </c>
      <c r="D49">
        <f>LOG(Table1_1__2[[#This Row],[PFHpA]])</f>
        <v>-1.0457574905606752</v>
      </c>
      <c r="E49">
        <f>LOG(Table1_1__2[[#This Row],[PFOA]])</f>
        <v>-0.46852108295774486</v>
      </c>
      <c r="F49">
        <f>LOG(Table1_1__2[[#This Row],[PFNA]])</f>
        <v>-1.3010299956639813</v>
      </c>
      <c r="G49">
        <f>LOG(Table1_1__2[[#This Row],[PFDA]])</f>
        <v>-1.3010299956639813</v>
      </c>
      <c r="H49">
        <f>LOG(Table1_1__2[[#This Row],[PFUnA]])</f>
        <v>-1.3010299956639813</v>
      </c>
      <c r="I49">
        <f>LOG(Table1_1__2[[#This Row],[PFDoA]])</f>
        <v>-1.3010299956639813</v>
      </c>
      <c r="J49">
        <f>LOG(Table1_1__2[[#This Row],[PFTrDA]])</f>
        <v>-1.3010299956639813</v>
      </c>
      <c r="K49">
        <f>LOG(Table1_1__2[[#This Row],[PFTeDA]])</f>
        <v>-1.3010299956639813</v>
      </c>
      <c r="L49">
        <f>LOG(Table1_1__2[[#This Row],[PFBS]])</f>
        <v>-1.3010299956639813</v>
      </c>
      <c r="M49">
        <f>LOG(Table1_1__2[[#This Row],[PFPeS]])</f>
        <v>-1.3010299956639813</v>
      </c>
      <c r="N49">
        <f>LOG(Table1_1__2[[#This Row],[PFHxS]])</f>
        <v>-0.20760831050174613</v>
      </c>
      <c r="O49">
        <f>LOG(Table1_1__2[[#This Row],[PFHpS]])</f>
        <v>-1.3010299956639813</v>
      </c>
      <c r="P49">
        <f>LOG(Table1_1__2[[#This Row],[PFOS]])</f>
        <v>0.11394335230683679</v>
      </c>
      <c r="Q49">
        <f>LOG(Table1_1__2[[#This Row],[PFNS]])</f>
        <v>-1.3010299956639813</v>
      </c>
      <c r="R49">
        <f>LOG(Table1_1__2[[#This Row],[PFDS]])</f>
        <v>-1.3010299956639813</v>
      </c>
      <c r="S49">
        <f>LOG(Table1_1__2[[#This Row],[PFDoS]])</f>
        <v>-1.3010299956639813</v>
      </c>
      <c r="T49">
        <f>LOG(Table1_1__2[[#This Row],[4:2 FTS]])</f>
        <v>-0.69897000433601875</v>
      </c>
      <c r="U49">
        <f>LOG(Table1_1__2[[#This Row],[6:2 FTS]])</f>
        <v>-0.3979400086720376</v>
      </c>
      <c r="V49">
        <f>LOG(Table1_1__2[[#This Row],[8:2 FTS]])</f>
        <v>-0.3979400086720376</v>
      </c>
      <c r="W49">
        <f>LOG(Table1_1__2[[#This Row],[FOSA]])</f>
        <v>-1.0457574905606752</v>
      </c>
      <c r="X49">
        <f>LOG(Table1_1__2[[#This Row],[N-MeFOSA]])</f>
        <v>-1.3010299956639813</v>
      </c>
      <c r="Y49">
        <f>LOG(Table1_1__2[[#This Row],[N-MeFOSAA]])</f>
        <v>-1.3010299956639813</v>
      </c>
      <c r="Z49">
        <f>LOG(Table1_1__2[[#This Row],[N-EtFOSAA]])</f>
        <v>-1.3010299956639813</v>
      </c>
      <c r="AA49">
        <f>LOG(Table1_1__2[[#This Row],[ADONA]])</f>
        <v>-0.69897000433601875</v>
      </c>
      <c r="AB49">
        <f>LOG(Table1_1__2[[#This Row],[3:3 FTCA]])</f>
        <v>-0.6020599913279624</v>
      </c>
      <c r="AC49">
        <f>LOG(Table1_1__2[[#This Row],[5:3 FTCA]])</f>
        <v>9.691001300805642E-2</v>
      </c>
      <c r="AD49">
        <f>LOG(Table1_1__2[[#This Row],[7:3 FTCA]])</f>
        <v>9.691001300805642E-2</v>
      </c>
      <c r="AE49">
        <f>LOG(Table1_1__2[[#This Row],[N-EtFOSA]])</f>
        <v>-1.3010299956639813</v>
      </c>
      <c r="AF49">
        <f>LOG(Table1_1__2[[#This Row],[N-MeFOSE]])</f>
        <v>-0.3010299956639812</v>
      </c>
      <c r="AG49">
        <f>LOG(Table1_1__2[[#This Row],[N-EtFOSE]])</f>
        <v>-0.3010299956639812</v>
      </c>
      <c r="AH49">
        <f>LOG(Table1_1__2[[#This Row],[HFPO-DA]])</f>
        <v>-0.52287874528033762</v>
      </c>
      <c r="AI49">
        <f>LOG(Table1_1__2[[#This Row],[PFMBA]])</f>
        <v>-1</v>
      </c>
      <c r="AJ49">
        <f>LOG(Table1_1__2[[#This Row],[NFDHA]])</f>
        <v>-1</v>
      </c>
      <c r="AK49">
        <f>LOG(Table1_1__2[[#This Row],[9Cl-PF3ONS]])</f>
        <v>-0.69897000433601875</v>
      </c>
      <c r="AL49">
        <f>LOG(Table1_1__2[[#This Row],[11Cl-PF3OUdS]])</f>
        <v>-0.69897000433601875</v>
      </c>
      <c r="AM49">
        <f>LOG(Table1_1__2[[#This Row],[PFEESA]])</f>
        <v>-1</v>
      </c>
      <c r="AN49">
        <f>LOG(Table1_1__2[[#This Row],[PFMPA]])</f>
        <v>-1</v>
      </c>
    </row>
    <row r="50" spans="1:40" x14ac:dyDescent="0.3">
      <c r="A50">
        <f>LOG(Table1_1__2[[#This Row],[PFBA]])</f>
        <v>-0.69897000433601875</v>
      </c>
      <c r="B50">
        <f>LOG(Table1_1__2[[#This Row],[PFPeA]])</f>
        <v>-1</v>
      </c>
      <c r="C50">
        <f>LOG(Table1_1__2[[#This Row],[PFHxA]])</f>
        <v>-0.6020599913279624</v>
      </c>
      <c r="D50">
        <f>LOG(Table1_1__2[[#This Row],[PFHpA]])</f>
        <v>-1.0457574905606752</v>
      </c>
      <c r="E50">
        <f>LOG(Table1_1__2[[#This Row],[PFOA]])</f>
        <v>-0.43179827593300502</v>
      </c>
      <c r="F50">
        <f>LOG(Table1_1__2[[#This Row],[PFNA]])</f>
        <v>-1.3053948010664314</v>
      </c>
      <c r="G50">
        <f>LOG(Table1_1__2[[#This Row],[PFDA]])</f>
        <v>-1.3053948010664314</v>
      </c>
      <c r="H50">
        <f>LOG(Table1_1__2[[#This Row],[PFUnA]])</f>
        <v>-1.3053948010664314</v>
      </c>
      <c r="I50">
        <f>LOG(Table1_1__2[[#This Row],[PFDoA]])</f>
        <v>-1.3053948010664314</v>
      </c>
      <c r="J50">
        <f>LOG(Table1_1__2[[#This Row],[PFTrDA]])</f>
        <v>-1.3053948010664314</v>
      </c>
      <c r="K50">
        <f>LOG(Table1_1__2[[#This Row],[PFTeDA]])</f>
        <v>-1.3053948010664314</v>
      </c>
      <c r="L50">
        <f>LOG(Table1_1__2[[#This Row],[PFBS]])</f>
        <v>-1.3053948010664314</v>
      </c>
      <c r="M50">
        <f>LOG(Table1_1__2[[#This Row],[PFPeS]])</f>
        <v>-1.3053948010664314</v>
      </c>
      <c r="N50">
        <f>LOG(Table1_1__2[[#This Row],[PFHxS]])</f>
        <v>-0.43179827593300502</v>
      </c>
      <c r="O50">
        <f>LOG(Table1_1__2[[#This Row],[PFHpS]])</f>
        <v>-1.3053948010664314</v>
      </c>
      <c r="P50">
        <f>LOG(Table1_1__2[[#This Row],[PFOS]])</f>
        <v>4.1392685158225077E-2</v>
      </c>
      <c r="Q50">
        <f>LOG(Table1_1__2[[#This Row],[PFNS]])</f>
        <v>-1.3053948010664314</v>
      </c>
      <c r="R50">
        <f>LOG(Table1_1__2[[#This Row],[PFDS]])</f>
        <v>-1.3053948010664314</v>
      </c>
      <c r="S50">
        <f>LOG(Table1_1__2[[#This Row],[PFDoS]])</f>
        <v>-1.3053948010664314</v>
      </c>
      <c r="T50">
        <f>LOG(Table1_1__2[[#This Row],[4:2 FTS]])</f>
        <v>-0.69897000433601875</v>
      </c>
      <c r="U50">
        <f>LOG(Table1_1__2[[#This Row],[6:2 FTS]])</f>
        <v>-0.3979400086720376</v>
      </c>
      <c r="V50">
        <f>LOG(Table1_1__2[[#This Row],[8:2 FTS]])</f>
        <v>-0.3979400086720376</v>
      </c>
      <c r="W50">
        <f>LOG(Table1_1__2[[#This Row],[FOSA]])</f>
        <v>-1.0457574905606752</v>
      </c>
      <c r="X50">
        <f>LOG(Table1_1__2[[#This Row],[N-MeFOSA]])</f>
        <v>-1.3053948010664314</v>
      </c>
      <c r="Y50">
        <f>LOG(Table1_1__2[[#This Row],[N-MeFOSAA]])</f>
        <v>-1.3053948010664314</v>
      </c>
      <c r="Z50">
        <f>LOG(Table1_1__2[[#This Row],[N-EtFOSAA]])</f>
        <v>-1.3053948010664314</v>
      </c>
      <c r="AA50">
        <f>LOG(Table1_1__2[[#This Row],[ADONA]])</f>
        <v>-0.69897000433601875</v>
      </c>
      <c r="AB50">
        <f>LOG(Table1_1__2[[#This Row],[3:3 FTCA]])</f>
        <v>-0.6020599913279624</v>
      </c>
      <c r="AC50">
        <f>LOG(Table1_1__2[[#This Row],[5:3 FTCA]])</f>
        <v>9.691001300805642E-2</v>
      </c>
      <c r="AD50">
        <f>LOG(Table1_1__2[[#This Row],[7:3 FTCA]])</f>
        <v>9.691001300805642E-2</v>
      </c>
      <c r="AE50">
        <f>LOG(Table1_1__2[[#This Row],[N-EtFOSA]])</f>
        <v>-1.3053948010664314</v>
      </c>
      <c r="AF50">
        <f>LOG(Table1_1__2[[#This Row],[N-MeFOSE]])</f>
        <v>-0.3053948010664313</v>
      </c>
      <c r="AG50">
        <f>LOG(Table1_1__2[[#This Row],[N-EtFOSE]])</f>
        <v>-0.3053948010664313</v>
      </c>
      <c r="AH50">
        <f>LOG(Table1_1__2[[#This Row],[HFPO-DA]])</f>
        <v>-0.52287874528033762</v>
      </c>
      <c r="AI50">
        <f>LOG(Table1_1__2[[#This Row],[PFMBA]])</f>
        <v>-1</v>
      </c>
      <c r="AJ50">
        <f>LOG(Table1_1__2[[#This Row],[NFDHA]])</f>
        <v>-1</v>
      </c>
      <c r="AK50">
        <f>LOG(Table1_1__2[[#This Row],[9Cl-PF3ONS]])</f>
        <v>-0.69897000433601875</v>
      </c>
      <c r="AL50">
        <f>LOG(Table1_1__2[[#This Row],[11Cl-PF3OUdS]])</f>
        <v>-0.69897000433601875</v>
      </c>
      <c r="AM50">
        <f>LOG(Table1_1__2[[#This Row],[PFEESA]])</f>
        <v>-1</v>
      </c>
      <c r="AN50">
        <f>LOG(Table1_1__2[[#This Row],[PFMPA]])</f>
        <v>-1</v>
      </c>
    </row>
    <row r="51" spans="1:40" x14ac:dyDescent="0.3">
      <c r="A51">
        <f>LOG(Table1_1__2[[#This Row],[PFBA]])</f>
        <v>-0.69897000433601875</v>
      </c>
      <c r="B51">
        <f>LOG(Table1_1__2[[#This Row],[PFPeA]])</f>
        <v>-1</v>
      </c>
      <c r="C51">
        <f>LOG(Table1_1__2[[#This Row],[PFHxA]])</f>
        <v>-0.72124639904717103</v>
      </c>
      <c r="D51">
        <f>LOG(Table1_1__2[[#This Row],[PFHpA]])</f>
        <v>-1.0457574905606752</v>
      </c>
      <c r="E51">
        <f>LOG(Table1_1__2[[#This Row],[PFOA]])</f>
        <v>-0.53760200210104392</v>
      </c>
      <c r="F51">
        <f>LOG(Table1_1__2[[#This Row],[PFNA]])</f>
        <v>-1.3053948010664314</v>
      </c>
      <c r="G51">
        <f>LOG(Table1_1__2[[#This Row],[PFDA]])</f>
        <v>-1.3053948010664314</v>
      </c>
      <c r="H51">
        <f>LOG(Table1_1__2[[#This Row],[PFUnA]])</f>
        <v>-1.3053948010664314</v>
      </c>
      <c r="I51">
        <f>LOG(Table1_1__2[[#This Row],[PFDoA]])</f>
        <v>-1.0969100130080565</v>
      </c>
      <c r="J51">
        <f>LOG(Table1_1__2[[#This Row],[PFTrDA]])</f>
        <v>-1.3053948010664314</v>
      </c>
      <c r="K51">
        <f>LOG(Table1_1__2[[#This Row],[PFTeDA]])</f>
        <v>-1.2757241303992111</v>
      </c>
      <c r="L51">
        <f>LOG(Table1_1__2[[#This Row],[PFBS]])</f>
        <v>-1.3053948010664314</v>
      </c>
      <c r="M51">
        <f>LOG(Table1_1__2[[#This Row],[PFPeS]])</f>
        <v>-1.3053948010664314</v>
      </c>
      <c r="N51">
        <f>LOG(Table1_1__2[[#This Row],[PFHxS]])</f>
        <v>-0.24412514432750865</v>
      </c>
      <c r="O51">
        <f>LOG(Table1_1__2[[#This Row],[PFHpS]])</f>
        <v>-1.3053948010664314</v>
      </c>
      <c r="P51">
        <f>LOG(Table1_1__2[[#This Row],[PFOS]])</f>
        <v>0.61278385671973545</v>
      </c>
      <c r="Q51">
        <f>LOG(Table1_1__2[[#This Row],[PFNS]])</f>
        <v>-1.3053948010664314</v>
      </c>
      <c r="R51">
        <f>LOG(Table1_1__2[[#This Row],[PFDS]])</f>
        <v>-1.2676062401770316</v>
      </c>
      <c r="S51">
        <f>LOG(Table1_1__2[[#This Row],[PFDoS]])</f>
        <v>-1.3053948010664314</v>
      </c>
      <c r="T51">
        <f>LOG(Table1_1__2[[#This Row],[4:2 FTS]])</f>
        <v>-0.69897000433601875</v>
      </c>
      <c r="U51">
        <f>LOG(Table1_1__2[[#This Row],[6:2 FTS]])</f>
        <v>-0.40340290437353976</v>
      </c>
      <c r="V51">
        <f>LOG(Table1_1__2[[#This Row],[8:2 FTS]])</f>
        <v>-0.40340290437353976</v>
      </c>
      <c r="W51">
        <f>LOG(Table1_1__2[[#This Row],[FOSA]])</f>
        <v>-0.65757731917779372</v>
      </c>
      <c r="X51">
        <f>LOG(Table1_1__2[[#This Row],[N-MeFOSA]])</f>
        <v>-1.3053948010664314</v>
      </c>
      <c r="Y51">
        <f>LOG(Table1_1__2[[#This Row],[N-MeFOSAA]])</f>
        <v>-1.3053948010664314</v>
      </c>
      <c r="Z51">
        <f>LOG(Table1_1__2[[#This Row],[N-EtFOSAA]])</f>
        <v>-1.3053948010664314</v>
      </c>
      <c r="AA51">
        <f>LOG(Table1_1__2[[#This Row],[ADONA]])</f>
        <v>-0.69897000433601875</v>
      </c>
      <c r="AB51">
        <f>LOG(Table1_1__2[[#This Row],[3:3 FTCA]])</f>
        <v>-0.6020599913279624</v>
      </c>
      <c r="AC51">
        <f>LOG(Table1_1__2[[#This Row],[5:3 FTCA]])</f>
        <v>9.691001300805642E-2</v>
      </c>
      <c r="AD51">
        <f>LOG(Table1_1__2[[#This Row],[7:3 FTCA]])</f>
        <v>9.691001300805642E-2</v>
      </c>
      <c r="AE51">
        <f>LOG(Table1_1__2[[#This Row],[N-EtFOSA]])</f>
        <v>-1.3053948010664314</v>
      </c>
      <c r="AF51">
        <f>LOG(Table1_1__2[[#This Row],[N-MeFOSE]])</f>
        <v>-0.3053948010664313</v>
      </c>
      <c r="AG51">
        <f>LOG(Table1_1__2[[#This Row],[N-EtFOSE]])</f>
        <v>-0.3053948010664313</v>
      </c>
      <c r="AH51">
        <f>LOG(Table1_1__2[[#This Row],[HFPO-DA]])</f>
        <v>-0.52287874528033762</v>
      </c>
      <c r="AI51">
        <f>LOG(Table1_1__2[[#This Row],[PFMBA]])</f>
        <v>-1</v>
      </c>
      <c r="AJ51">
        <f>LOG(Table1_1__2[[#This Row],[NFDHA]])</f>
        <v>-1</v>
      </c>
      <c r="AK51">
        <f>LOG(Table1_1__2[[#This Row],[9Cl-PF3ONS]])</f>
        <v>-0.69897000433601875</v>
      </c>
      <c r="AL51">
        <f>LOG(Table1_1__2[[#This Row],[11Cl-PF3OUdS]])</f>
        <v>-0.69897000433601875</v>
      </c>
      <c r="AM51">
        <f>LOG(Table1_1__2[[#This Row],[PFEESA]])</f>
        <v>-1</v>
      </c>
      <c r="AN51">
        <f>LOG(Table1_1__2[[#This Row],[PFMPA]])</f>
        <v>-1</v>
      </c>
    </row>
    <row r="52" spans="1:40" x14ac:dyDescent="0.3">
      <c r="A52">
        <f>LOG(Table1_1__2[[#This Row],[PFBA]])</f>
        <v>-0.70996538863748193</v>
      </c>
      <c r="B52">
        <f>LOG(Table1_1__2[[#This Row],[PFPeA]])</f>
        <v>-1</v>
      </c>
      <c r="C52">
        <f>LOG(Table1_1__2[[#This Row],[PFHxA]])</f>
        <v>-1.0457574905606752</v>
      </c>
      <c r="D52">
        <f>LOG(Table1_1__2[[#This Row],[PFHpA]])</f>
        <v>-1.0457574905606752</v>
      </c>
      <c r="E52">
        <f>LOG(Table1_1__2[[#This Row],[PFOA]])</f>
        <v>-0.79588001734407521</v>
      </c>
      <c r="F52">
        <f>LOG(Table1_1__2[[#This Row],[PFNA]])</f>
        <v>-1.3053948010664314</v>
      </c>
      <c r="G52">
        <f>LOG(Table1_1__2[[#This Row],[PFDA]])</f>
        <v>-1.3053948010664314</v>
      </c>
      <c r="H52">
        <f>LOG(Table1_1__2[[#This Row],[PFUnA]])</f>
        <v>-1.3053948010664314</v>
      </c>
      <c r="I52">
        <f>LOG(Table1_1__2[[#This Row],[PFDoA]])</f>
        <v>-1.3053948010664314</v>
      </c>
      <c r="J52">
        <f>LOG(Table1_1__2[[#This Row],[PFTrDA]])</f>
        <v>-1.3053948010664314</v>
      </c>
      <c r="K52">
        <f>LOG(Table1_1__2[[#This Row],[PFTeDA]])</f>
        <v>-1.3053948010664314</v>
      </c>
      <c r="L52">
        <f>LOG(Table1_1__2[[#This Row],[PFBS]])</f>
        <v>-1.3053948010664314</v>
      </c>
      <c r="M52">
        <f>LOG(Table1_1__2[[#This Row],[PFPeS]])</f>
        <v>-1.3053948010664314</v>
      </c>
      <c r="N52">
        <f>LOG(Table1_1__2[[#This Row],[PFHxS]])</f>
        <v>-0.55284196865778079</v>
      </c>
      <c r="O52">
        <f>LOG(Table1_1__2[[#This Row],[PFHpS]])</f>
        <v>-1.3053948010664314</v>
      </c>
      <c r="P52">
        <f>LOG(Table1_1__2[[#This Row],[PFOS]])</f>
        <v>-4.5757490560675115E-2</v>
      </c>
      <c r="Q52">
        <f>LOG(Table1_1__2[[#This Row],[PFNS]])</f>
        <v>-1.3053948010664314</v>
      </c>
      <c r="R52">
        <f>LOG(Table1_1__2[[#This Row],[PFDS]])</f>
        <v>-1.3053948010664314</v>
      </c>
      <c r="S52">
        <f>LOG(Table1_1__2[[#This Row],[PFDoS]])</f>
        <v>-1.3053948010664314</v>
      </c>
      <c r="T52">
        <f>LOG(Table1_1__2[[#This Row],[4:2 FTS]])</f>
        <v>-0.70996538863748193</v>
      </c>
      <c r="U52">
        <f>LOG(Table1_1__2[[#This Row],[6:2 FTS]])</f>
        <v>-0.40340290437353976</v>
      </c>
      <c r="V52">
        <f>LOG(Table1_1__2[[#This Row],[8:2 FTS]])</f>
        <v>-0.40340290437353976</v>
      </c>
      <c r="W52">
        <f>LOG(Table1_1__2[[#This Row],[FOSA]])</f>
        <v>-1.0457574905606752</v>
      </c>
      <c r="X52">
        <f>LOG(Table1_1__2[[#This Row],[N-MeFOSA]])</f>
        <v>-1.3053948010664314</v>
      </c>
      <c r="Y52">
        <f>LOG(Table1_1__2[[#This Row],[N-MeFOSAA]])</f>
        <v>-1.3053948010664314</v>
      </c>
      <c r="Z52">
        <f>LOG(Table1_1__2[[#This Row],[N-EtFOSAA]])</f>
        <v>-1.3053948010664314</v>
      </c>
      <c r="AA52">
        <f>LOG(Table1_1__2[[#This Row],[ADONA]])</f>
        <v>-0.70996538863748193</v>
      </c>
      <c r="AB52">
        <f>LOG(Table1_1__2[[#This Row],[3:3 FTCA]])</f>
        <v>-0.61083391563546752</v>
      </c>
      <c r="AC52">
        <f>LOG(Table1_1__2[[#This Row],[5:3 FTCA]])</f>
        <v>9.691001300805642E-2</v>
      </c>
      <c r="AD52">
        <f>LOG(Table1_1__2[[#This Row],[7:3 FTCA]])</f>
        <v>9.691001300805642E-2</v>
      </c>
      <c r="AE52">
        <f>LOG(Table1_1__2[[#This Row],[N-EtFOSA]])</f>
        <v>-1.3053948010664314</v>
      </c>
      <c r="AF52">
        <f>LOG(Table1_1__2[[#This Row],[N-MeFOSE]])</f>
        <v>-0.3053948010664313</v>
      </c>
      <c r="AG52">
        <f>LOG(Table1_1__2[[#This Row],[N-EtFOSE]])</f>
        <v>-0.3053948010664313</v>
      </c>
      <c r="AH52">
        <f>LOG(Table1_1__2[[#This Row],[HFPO-DA]])</f>
        <v>-0.53017798402183702</v>
      </c>
      <c r="AI52">
        <f>LOG(Table1_1__2[[#This Row],[PFMBA]])</f>
        <v>-1</v>
      </c>
      <c r="AJ52">
        <f>LOG(Table1_1__2[[#This Row],[NFDHA]])</f>
        <v>-1</v>
      </c>
      <c r="AK52">
        <f>LOG(Table1_1__2[[#This Row],[9Cl-PF3ONS]])</f>
        <v>-0.70996538863748193</v>
      </c>
      <c r="AL52">
        <f>LOG(Table1_1__2[[#This Row],[11Cl-PF3OUdS]])</f>
        <v>-0.70996538863748193</v>
      </c>
      <c r="AM52">
        <f>LOG(Table1_1__2[[#This Row],[PFEESA]])</f>
        <v>-1</v>
      </c>
      <c r="AN52">
        <f>LOG(Table1_1__2[[#This Row],[PFMPA]])</f>
        <v>-1</v>
      </c>
    </row>
    <row r="53" spans="1:40" x14ac:dyDescent="0.3">
      <c r="A53">
        <f>LOG(Table1_1__2[[#This Row],[PFBA]])</f>
        <v>-0.69897000433601875</v>
      </c>
      <c r="B53">
        <f>LOG(Table1_1__2[[#This Row],[PFPeA]])</f>
        <v>-1</v>
      </c>
      <c r="C53">
        <f>LOG(Table1_1__2[[#This Row],[PFHxA]])</f>
        <v>-0.88605664769316317</v>
      </c>
      <c r="D53">
        <f>LOG(Table1_1__2[[#This Row],[PFHpA]])</f>
        <v>-1.0457574905606752</v>
      </c>
      <c r="E53">
        <f>LOG(Table1_1__2[[#This Row],[PFOA]])</f>
        <v>-0.63827216398240705</v>
      </c>
      <c r="F53">
        <f>LOG(Table1_1__2[[#This Row],[PFNA]])</f>
        <v>-1.3010299956639813</v>
      </c>
      <c r="G53">
        <f>LOG(Table1_1__2[[#This Row],[PFDA]])</f>
        <v>-1.3010299956639813</v>
      </c>
      <c r="H53">
        <f>LOG(Table1_1__2[[#This Row],[PFUnA]])</f>
        <v>-1.3010299956639813</v>
      </c>
      <c r="I53">
        <f>LOG(Table1_1__2[[#This Row],[PFDoA]])</f>
        <v>-1.3010299956639813</v>
      </c>
      <c r="J53">
        <f>LOG(Table1_1__2[[#This Row],[PFTrDA]])</f>
        <v>-1.3010299956639813</v>
      </c>
      <c r="K53">
        <f>LOG(Table1_1__2[[#This Row],[PFTeDA]])</f>
        <v>-1.3010299956639813</v>
      </c>
      <c r="L53">
        <f>LOG(Table1_1__2[[#This Row],[PFBS]])</f>
        <v>-1.3010299956639813</v>
      </c>
      <c r="M53">
        <f>LOG(Table1_1__2[[#This Row],[PFPeS]])</f>
        <v>-1.3010299956639813</v>
      </c>
      <c r="N53">
        <f>LOG(Table1_1__2[[#This Row],[PFHxS]])</f>
        <v>-0.49485002168009401</v>
      </c>
      <c r="O53">
        <f>LOG(Table1_1__2[[#This Row],[PFHpS]])</f>
        <v>-1.3010299956639813</v>
      </c>
      <c r="P53">
        <f>LOG(Table1_1__2[[#This Row],[PFOS]])</f>
        <v>4.1392685158225077E-2</v>
      </c>
      <c r="Q53">
        <f>LOG(Table1_1__2[[#This Row],[PFNS]])</f>
        <v>-1.3010299956639813</v>
      </c>
      <c r="R53">
        <f>LOG(Table1_1__2[[#This Row],[PFDS]])</f>
        <v>-1.3010299956639813</v>
      </c>
      <c r="S53">
        <f>LOG(Table1_1__2[[#This Row],[PFDoS]])</f>
        <v>-1.3010299956639813</v>
      </c>
      <c r="T53">
        <f>LOG(Table1_1__2[[#This Row],[4:2 FTS]])</f>
        <v>-0.69897000433601875</v>
      </c>
      <c r="U53">
        <f>LOG(Table1_1__2[[#This Row],[6:2 FTS]])</f>
        <v>-0.3979400086720376</v>
      </c>
      <c r="V53">
        <f>LOG(Table1_1__2[[#This Row],[8:2 FTS]])</f>
        <v>-0.3979400086720376</v>
      </c>
      <c r="W53">
        <f>LOG(Table1_1__2[[#This Row],[FOSA]])</f>
        <v>-1.0457574905606752</v>
      </c>
      <c r="X53">
        <f>LOG(Table1_1__2[[#This Row],[N-MeFOSA]])</f>
        <v>-1.3010299956639813</v>
      </c>
      <c r="Y53">
        <f>LOG(Table1_1__2[[#This Row],[N-MeFOSAA]])</f>
        <v>-1.3010299956639813</v>
      </c>
      <c r="Z53">
        <f>LOG(Table1_1__2[[#This Row],[N-EtFOSAA]])</f>
        <v>-1.3010299956639813</v>
      </c>
      <c r="AA53">
        <f>LOG(Table1_1__2[[#This Row],[ADONA]])</f>
        <v>-0.69897000433601875</v>
      </c>
      <c r="AB53">
        <f>LOG(Table1_1__2[[#This Row],[3:3 FTCA]])</f>
        <v>-0.6020599913279624</v>
      </c>
      <c r="AC53">
        <f>LOG(Table1_1__2[[#This Row],[5:3 FTCA]])</f>
        <v>9.691001300805642E-2</v>
      </c>
      <c r="AD53">
        <f>LOG(Table1_1__2[[#This Row],[7:3 FTCA]])</f>
        <v>9.691001300805642E-2</v>
      </c>
      <c r="AE53">
        <f>LOG(Table1_1__2[[#This Row],[N-EtFOSA]])</f>
        <v>-1.3010299956639813</v>
      </c>
      <c r="AF53">
        <f>LOG(Table1_1__2[[#This Row],[N-MeFOSE]])</f>
        <v>-0.3010299956639812</v>
      </c>
      <c r="AG53">
        <f>LOG(Table1_1__2[[#This Row],[N-EtFOSE]])</f>
        <v>-0.3010299956639812</v>
      </c>
      <c r="AH53">
        <f>LOG(Table1_1__2[[#This Row],[HFPO-DA]])</f>
        <v>-0.52287874528033762</v>
      </c>
      <c r="AI53">
        <f>LOG(Table1_1__2[[#This Row],[PFMBA]])</f>
        <v>-1</v>
      </c>
      <c r="AJ53">
        <f>LOG(Table1_1__2[[#This Row],[NFDHA]])</f>
        <v>-1</v>
      </c>
      <c r="AK53">
        <f>LOG(Table1_1__2[[#This Row],[9Cl-PF3ONS]])</f>
        <v>-0.69897000433601875</v>
      </c>
      <c r="AL53">
        <f>LOG(Table1_1__2[[#This Row],[11Cl-PF3OUdS]])</f>
        <v>-0.69897000433601875</v>
      </c>
      <c r="AM53">
        <f>LOG(Table1_1__2[[#This Row],[PFEESA]])</f>
        <v>-1</v>
      </c>
      <c r="AN53">
        <f>LOG(Table1_1__2[[#This Row],[PFMPA]])</f>
        <v>-1</v>
      </c>
    </row>
    <row r="54" spans="1:40" x14ac:dyDescent="0.3">
      <c r="A54">
        <f>LOG(Table1_1__2[[#This Row],[PFBA]])</f>
        <v>-0.69897000433601875</v>
      </c>
      <c r="B54">
        <f>LOG(Table1_1__2[[#This Row],[PFPeA]])</f>
        <v>-1</v>
      </c>
      <c r="C54">
        <f>LOG(Table1_1__2[[#This Row],[PFHxA]])</f>
        <v>-0.65757731917779372</v>
      </c>
      <c r="D54">
        <f>LOG(Table1_1__2[[#This Row],[PFHpA]])</f>
        <v>-1.0457574905606752</v>
      </c>
      <c r="E54">
        <f>LOG(Table1_1__2[[#This Row],[PFOA]])</f>
        <v>-0.37675070960209955</v>
      </c>
      <c r="F54">
        <f>LOG(Table1_1__2[[#This Row],[PFNA]])</f>
        <v>-1.3010299956639813</v>
      </c>
      <c r="G54">
        <f>LOG(Table1_1__2[[#This Row],[PFDA]])</f>
        <v>-1.3010299956639813</v>
      </c>
      <c r="H54">
        <f>LOG(Table1_1__2[[#This Row],[PFUnA]])</f>
        <v>-1.3010299956639813</v>
      </c>
      <c r="I54">
        <f>LOG(Table1_1__2[[#This Row],[PFDoA]])</f>
        <v>-1.3010299956639813</v>
      </c>
      <c r="J54">
        <f>LOG(Table1_1__2[[#This Row],[PFTrDA]])</f>
        <v>-1.3010299956639813</v>
      </c>
      <c r="K54">
        <f>LOG(Table1_1__2[[#This Row],[PFTeDA]])</f>
        <v>-1.3010299956639813</v>
      </c>
      <c r="L54">
        <f>LOG(Table1_1__2[[#This Row],[PFBS]])</f>
        <v>-1.3010299956639813</v>
      </c>
      <c r="M54">
        <f>LOG(Table1_1__2[[#This Row],[PFPeS]])</f>
        <v>-1.3010299956639813</v>
      </c>
      <c r="N54">
        <f>LOG(Table1_1__2[[#This Row],[PFHxS]])</f>
        <v>-0.35654732351381258</v>
      </c>
      <c r="O54">
        <f>LOG(Table1_1__2[[#This Row],[PFHpS]])</f>
        <v>-1.3010299956639813</v>
      </c>
      <c r="P54">
        <f>LOG(Table1_1__2[[#This Row],[PFOS]])</f>
        <v>0</v>
      </c>
      <c r="Q54">
        <f>LOG(Table1_1__2[[#This Row],[PFNS]])</f>
        <v>-1.3010299956639813</v>
      </c>
      <c r="R54">
        <f>LOG(Table1_1__2[[#This Row],[PFDS]])</f>
        <v>-1.3010299956639813</v>
      </c>
      <c r="S54">
        <f>LOG(Table1_1__2[[#This Row],[PFDoS]])</f>
        <v>-1.3010299956639813</v>
      </c>
      <c r="T54">
        <f>LOG(Table1_1__2[[#This Row],[4:2 FTS]])</f>
        <v>-0.69897000433601875</v>
      </c>
      <c r="U54">
        <f>LOG(Table1_1__2[[#This Row],[6:2 FTS]])</f>
        <v>-0.3979400086720376</v>
      </c>
      <c r="V54">
        <f>LOG(Table1_1__2[[#This Row],[8:2 FTS]])</f>
        <v>-0.3979400086720376</v>
      </c>
      <c r="W54">
        <f>LOG(Table1_1__2[[#This Row],[FOSA]])</f>
        <v>-1.0457574905606752</v>
      </c>
      <c r="X54">
        <f>LOG(Table1_1__2[[#This Row],[N-MeFOSA]])</f>
        <v>-1.3010299956639813</v>
      </c>
      <c r="Y54">
        <f>LOG(Table1_1__2[[#This Row],[N-MeFOSAA]])</f>
        <v>-1.3010299956639813</v>
      </c>
      <c r="Z54">
        <f>LOG(Table1_1__2[[#This Row],[N-EtFOSAA]])</f>
        <v>-1.3010299956639813</v>
      </c>
      <c r="AA54">
        <f>LOG(Table1_1__2[[#This Row],[ADONA]])</f>
        <v>-0.69897000433601875</v>
      </c>
      <c r="AB54">
        <f>LOG(Table1_1__2[[#This Row],[3:3 FTCA]])</f>
        <v>-0.6020599913279624</v>
      </c>
      <c r="AC54">
        <f>LOG(Table1_1__2[[#This Row],[5:3 FTCA]])</f>
        <v>9.691001300805642E-2</v>
      </c>
      <c r="AD54">
        <f>LOG(Table1_1__2[[#This Row],[7:3 FTCA]])</f>
        <v>9.691001300805642E-2</v>
      </c>
      <c r="AE54">
        <f>LOG(Table1_1__2[[#This Row],[N-EtFOSA]])</f>
        <v>-1.3010299956639813</v>
      </c>
      <c r="AF54">
        <f>LOG(Table1_1__2[[#This Row],[N-MeFOSE]])</f>
        <v>-0.3010299956639812</v>
      </c>
      <c r="AG54">
        <f>LOG(Table1_1__2[[#This Row],[N-EtFOSE]])</f>
        <v>-0.3010299956639812</v>
      </c>
      <c r="AH54">
        <f>LOG(Table1_1__2[[#This Row],[HFPO-DA]])</f>
        <v>-0.52287874528033762</v>
      </c>
      <c r="AI54">
        <f>LOG(Table1_1__2[[#This Row],[PFMBA]])</f>
        <v>-1</v>
      </c>
      <c r="AJ54">
        <f>LOG(Table1_1__2[[#This Row],[NFDHA]])</f>
        <v>-1</v>
      </c>
      <c r="AK54">
        <f>LOG(Table1_1__2[[#This Row],[9Cl-PF3ONS]])</f>
        <v>-0.69897000433601875</v>
      </c>
      <c r="AL54">
        <f>LOG(Table1_1__2[[#This Row],[11Cl-PF3OUdS]])</f>
        <v>-0.69897000433601875</v>
      </c>
      <c r="AM54">
        <f>LOG(Table1_1__2[[#This Row],[PFEESA]])</f>
        <v>-1</v>
      </c>
      <c r="AN54">
        <f>LOG(Table1_1__2[[#This Row],[PFMPA]])</f>
        <v>-1</v>
      </c>
    </row>
    <row r="55" spans="1:40" x14ac:dyDescent="0.3">
      <c r="A55">
        <f>LOG(Table1_1__2[[#This Row],[PFBA]])</f>
        <v>-0.69897000433601875</v>
      </c>
      <c r="B55">
        <f>LOG(Table1_1__2[[#This Row],[PFPeA]])</f>
        <v>-1</v>
      </c>
      <c r="C55">
        <f>LOG(Table1_1__2[[#This Row],[PFHxA]])</f>
        <v>-0.69897000433601875</v>
      </c>
      <c r="D55">
        <f>LOG(Table1_1__2[[#This Row],[PFHpA]])</f>
        <v>-1.0457574905606752</v>
      </c>
      <c r="E55">
        <f>LOG(Table1_1__2[[#This Row],[PFOA]])</f>
        <v>-0.52287874528033762</v>
      </c>
      <c r="F55">
        <f>LOG(Table1_1__2[[#This Row],[PFNA]])</f>
        <v>-1.3053948010664314</v>
      </c>
      <c r="G55">
        <f>LOG(Table1_1__2[[#This Row],[PFDA]])</f>
        <v>-1.3053948010664314</v>
      </c>
      <c r="H55">
        <f>LOG(Table1_1__2[[#This Row],[PFUnA]])</f>
        <v>-1.3053948010664314</v>
      </c>
      <c r="I55">
        <f>LOG(Table1_1__2[[#This Row],[PFDoA]])</f>
        <v>-1.2924298239020637</v>
      </c>
      <c r="J55">
        <f>LOG(Table1_1__2[[#This Row],[PFTrDA]])</f>
        <v>-1.3053948010664314</v>
      </c>
      <c r="K55">
        <f>LOG(Table1_1__2[[#This Row],[PFTeDA]])</f>
        <v>-1.3053948010664314</v>
      </c>
      <c r="L55">
        <f>LOG(Table1_1__2[[#This Row],[PFBS]])</f>
        <v>-1.3053948010664314</v>
      </c>
      <c r="M55">
        <f>LOG(Table1_1__2[[#This Row],[PFPeS]])</f>
        <v>-1.3053948010664314</v>
      </c>
      <c r="N55">
        <f>LOG(Table1_1__2[[#This Row],[PFHxS]])</f>
        <v>-0.18708664335714442</v>
      </c>
      <c r="O55">
        <f>LOG(Table1_1__2[[#This Row],[PFHpS]])</f>
        <v>-1.3053948010664314</v>
      </c>
      <c r="P55">
        <f>LOG(Table1_1__2[[#This Row],[PFOS]])</f>
        <v>0.51851393987788741</v>
      </c>
      <c r="Q55">
        <f>LOG(Table1_1__2[[#This Row],[PFNS]])</f>
        <v>-1.3053948010664314</v>
      </c>
      <c r="R55">
        <f>LOG(Table1_1__2[[#This Row],[PFDS]])</f>
        <v>-1.3053948010664314</v>
      </c>
      <c r="S55">
        <f>LOG(Table1_1__2[[#This Row],[PFDoS]])</f>
        <v>-1.3053948010664314</v>
      </c>
      <c r="T55">
        <f>LOG(Table1_1__2[[#This Row],[4:2 FTS]])</f>
        <v>-0.69897000433601875</v>
      </c>
      <c r="U55">
        <f>LOG(Table1_1__2[[#This Row],[6:2 FTS]])</f>
        <v>-0.40340290437353976</v>
      </c>
      <c r="V55">
        <f>LOG(Table1_1__2[[#This Row],[8:2 FTS]])</f>
        <v>-0.40340290437353976</v>
      </c>
      <c r="W55">
        <f>LOG(Table1_1__2[[#This Row],[FOSA]])</f>
        <v>-0.79588001734407521</v>
      </c>
      <c r="X55">
        <f>LOG(Table1_1__2[[#This Row],[N-MeFOSA]])</f>
        <v>-1.3053948010664314</v>
      </c>
      <c r="Y55">
        <f>LOG(Table1_1__2[[#This Row],[N-MeFOSAA]])</f>
        <v>-1.3053948010664314</v>
      </c>
      <c r="Z55">
        <f>LOG(Table1_1__2[[#This Row],[N-EtFOSAA]])</f>
        <v>-1.3053948010664314</v>
      </c>
      <c r="AA55">
        <f>LOG(Table1_1__2[[#This Row],[ADONA]])</f>
        <v>-0.69897000433601875</v>
      </c>
      <c r="AB55">
        <f>LOG(Table1_1__2[[#This Row],[3:3 FTCA]])</f>
        <v>-0.6020599913279624</v>
      </c>
      <c r="AC55">
        <f>LOG(Table1_1__2[[#This Row],[5:3 FTCA]])</f>
        <v>9.691001300805642E-2</v>
      </c>
      <c r="AD55">
        <f>LOG(Table1_1__2[[#This Row],[7:3 FTCA]])</f>
        <v>9.691001300805642E-2</v>
      </c>
      <c r="AE55">
        <f>LOG(Table1_1__2[[#This Row],[N-EtFOSA]])</f>
        <v>-1.3053948010664314</v>
      </c>
      <c r="AF55">
        <f>LOG(Table1_1__2[[#This Row],[N-MeFOSE]])</f>
        <v>-0.3053948010664313</v>
      </c>
      <c r="AG55">
        <f>LOG(Table1_1__2[[#This Row],[N-EtFOSE]])</f>
        <v>-0.3053948010664313</v>
      </c>
      <c r="AH55">
        <f>LOG(Table1_1__2[[#This Row],[HFPO-DA]])</f>
        <v>-0.52287874528033762</v>
      </c>
      <c r="AI55">
        <f>LOG(Table1_1__2[[#This Row],[PFMBA]])</f>
        <v>-1</v>
      </c>
      <c r="AJ55">
        <f>LOG(Table1_1__2[[#This Row],[NFDHA]])</f>
        <v>-1</v>
      </c>
      <c r="AK55">
        <f>LOG(Table1_1__2[[#This Row],[9Cl-PF3ONS]])</f>
        <v>-0.69897000433601875</v>
      </c>
      <c r="AL55">
        <f>LOG(Table1_1__2[[#This Row],[11Cl-PF3OUdS]])</f>
        <v>-0.69897000433601875</v>
      </c>
      <c r="AM55">
        <f>LOG(Table1_1__2[[#This Row],[PFEESA]])</f>
        <v>-1</v>
      </c>
      <c r="AN55">
        <f>LOG(Table1_1__2[[#This Row],[PFMPA]])</f>
        <v>-1</v>
      </c>
    </row>
    <row r="56" spans="1:40" x14ac:dyDescent="0.3">
      <c r="A56">
        <f>LOG(Table1_1__2[[#This Row],[PFBA]])</f>
        <v>-0.69897000433601875</v>
      </c>
      <c r="B56">
        <f>LOG(Table1_1__2[[#This Row],[PFPeA]])</f>
        <v>-1</v>
      </c>
      <c r="C56">
        <f>LOG(Table1_1__2[[#This Row],[PFHxA]])</f>
        <v>-0.79588001734407521</v>
      </c>
      <c r="D56">
        <f>LOG(Table1_1__2[[#This Row],[PFHpA]])</f>
        <v>-1.0457574905606752</v>
      </c>
      <c r="E56">
        <f>LOG(Table1_1__2[[#This Row],[PFOA]])</f>
        <v>-0.53760200210104392</v>
      </c>
      <c r="F56">
        <f>LOG(Table1_1__2[[#This Row],[PFNA]])</f>
        <v>-1.3010299956639813</v>
      </c>
      <c r="G56">
        <f>LOG(Table1_1__2[[#This Row],[PFDA]])</f>
        <v>-1.3010299956639813</v>
      </c>
      <c r="H56">
        <f>LOG(Table1_1__2[[#This Row],[PFUnA]])</f>
        <v>-1.3010299956639813</v>
      </c>
      <c r="I56">
        <f>LOG(Table1_1__2[[#This Row],[PFDoA]])</f>
        <v>-1.3010299956639813</v>
      </c>
      <c r="J56">
        <f>LOG(Table1_1__2[[#This Row],[PFTrDA]])</f>
        <v>-1.3010299956639813</v>
      </c>
      <c r="K56">
        <f>LOG(Table1_1__2[[#This Row],[PFTeDA]])</f>
        <v>-1.3010299956639813</v>
      </c>
      <c r="L56">
        <f>LOG(Table1_1__2[[#This Row],[PFBS]])</f>
        <v>-1.3010299956639813</v>
      </c>
      <c r="M56">
        <f>LOG(Table1_1__2[[#This Row],[PFPeS]])</f>
        <v>-1.3010299956639813</v>
      </c>
      <c r="N56">
        <f>LOG(Table1_1__2[[#This Row],[PFHxS]])</f>
        <v>-0.27572413039921095</v>
      </c>
      <c r="O56">
        <f>LOG(Table1_1__2[[#This Row],[PFHpS]])</f>
        <v>-1.3010299956639813</v>
      </c>
      <c r="P56">
        <f>LOG(Table1_1__2[[#This Row],[PFOS]])</f>
        <v>0.36172783601759284</v>
      </c>
      <c r="Q56">
        <f>LOG(Table1_1__2[[#This Row],[PFNS]])</f>
        <v>-1.3010299956639813</v>
      </c>
      <c r="R56">
        <f>LOG(Table1_1__2[[#This Row],[PFDS]])</f>
        <v>-1.3010299956639813</v>
      </c>
      <c r="S56">
        <f>LOG(Table1_1__2[[#This Row],[PFDoS]])</f>
        <v>-1.3010299956639813</v>
      </c>
      <c r="T56">
        <f>LOG(Table1_1__2[[#This Row],[4:2 FTS]])</f>
        <v>-0.69897000433601875</v>
      </c>
      <c r="U56">
        <f>LOG(Table1_1__2[[#This Row],[6:2 FTS]])</f>
        <v>-0.3979400086720376</v>
      </c>
      <c r="V56">
        <f>LOG(Table1_1__2[[#This Row],[8:2 FTS]])</f>
        <v>-0.3979400086720376</v>
      </c>
      <c r="W56">
        <f>LOG(Table1_1__2[[#This Row],[FOSA]])</f>
        <v>-1.0457574905606752</v>
      </c>
      <c r="X56">
        <f>LOG(Table1_1__2[[#This Row],[N-MeFOSA]])</f>
        <v>-1.3010299956639813</v>
      </c>
      <c r="Y56">
        <f>LOG(Table1_1__2[[#This Row],[N-MeFOSAA]])</f>
        <v>-1.3010299956639813</v>
      </c>
      <c r="Z56">
        <f>LOG(Table1_1__2[[#This Row],[N-EtFOSAA]])</f>
        <v>-1.3010299956639813</v>
      </c>
      <c r="AA56">
        <f>LOG(Table1_1__2[[#This Row],[ADONA]])</f>
        <v>-0.69897000433601875</v>
      </c>
      <c r="AB56">
        <f>LOG(Table1_1__2[[#This Row],[3:3 FTCA]])</f>
        <v>-0.6020599913279624</v>
      </c>
      <c r="AC56">
        <f>LOG(Table1_1__2[[#This Row],[5:3 FTCA]])</f>
        <v>9.691001300805642E-2</v>
      </c>
      <c r="AD56">
        <f>LOG(Table1_1__2[[#This Row],[7:3 FTCA]])</f>
        <v>9.691001300805642E-2</v>
      </c>
      <c r="AE56">
        <f>LOG(Table1_1__2[[#This Row],[N-EtFOSA]])</f>
        <v>-1.3010299956639813</v>
      </c>
      <c r="AF56">
        <f>LOG(Table1_1__2[[#This Row],[N-MeFOSE]])</f>
        <v>-0.3010299956639812</v>
      </c>
      <c r="AG56">
        <f>LOG(Table1_1__2[[#This Row],[N-EtFOSE]])</f>
        <v>-0.3010299956639812</v>
      </c>
      <c r="AH56">
        <f>LOG(Table1_1__2[[#This Row],[HFPO-DA]])</f>
        <v>-0.52287874528033762</v>
      </c>
      <c r="AI56">
        <f>LOG(Table1_1__2[[#This Row],[PFMBA]])</f>
        <v>-1</v>
      </c>
      <c r="AJ56">
        <f>LOG(Table1_1__2[[#This Row],[NFDHA]])</f>
        <v>-1</v>
      </c>
      <c r="AK56">
        <f>LOG(Table1_1__2[[#This Row],[9Cl-PF3ONS]])</f>
        <v>-0.69897000433601875</v>
      </c>
      <c r="AL56">
        <f>LOG(Table1_1__2[[#This Row],[11Cl-PF3OUdS]])</f>
        <v>-0.69897000433601875</v>
      </c>
      <c r="AM56">
        <f>LOG(Table1_1__2[[#This Row],[PFEESA]])</f>
        <v>-1</v>
      </c>
      <c r="AN56">
        <f>LOG(Table1_1__2[[#This Row],[PFMPA]])</f>
        <v>-1</v>
      </c>
    </row>
    <row r="57" spans="1:40" x14ac:dyDescent="0.3">
      <c r="A57">
        <f>LOG(Table1_1__2[[#This Row],[PFBA]])</f>
        <v>-0.69897000433601875</v>
      </c>
      <c r="B57">
        <f>LOG(Table1_1__2[[#This Row],[PFPeA]])</f>
        <v>-1</v>
      </c>
      <c r="C57">
        <f>LOG(Table1_1__2[[#This Row],[PFHxA]])</f>
        <v>-0.85387196432176193</v>
      </c>
      <c r="D57">
        <f>LOG(Table1_1__2[[#This Row],[PFHpA]])</f>
        <v>-1.0457574905606752</v>
      </c>
      <c r="E57">
        <f>LOG(Table1_1__2[[#This Row],[PFOA]])</f>
        <v>-0.79588001734407521</v>
      </c>
      <c r="F57">
        <f>LOG(Table1_1__2[[#This Row],[PFNA]])</f>
        <v>-1.3010299956639813</v>
      </c>
      <c r="G57">
        <f>LOG(Table1_1__2[[#This Row],[PFDA]])</f>
        <v>-1.3010299956639813</v>
      </c>
      <c r="H57">
        <f>LOG(Table1_1__2[[#This Row],[PFUnA]])</f>
        <v>-1.3010299956639813</v>
      </c>
      <c r="I57">
        <f>LOG(Table1_1__2[[#This Row],[PFDoA]])</f>
        <v>-1.3010299956639813</v>
      </c>
      <c r="J57">
        <f>LOG(Table1_1__2[[#This Row],[PFTrDA]])</f>
        <v>-1.3010299956639813</v>
      </c>
      <c r="K57">
        <f>LOG(Table1_1__2[[#This Row],[PFTeDA]])</f>
        <v>-1.3010299956639813</v>
      </c>
      <c r="L57">
        <f>LOG(Table1_1__2[[#This Row],[PFBS]])</f>
        <v>-1.3010299956639813</v>
      </c>
      <c r="M57">
        <f>LOG(Table1_1__2[[#This Row],[PFPeS]])</f>
        <v>-1.3010299956639813</v>
      </c>
      <c r="N57">
        <f>LOG(Table1_1__2[[#This Row],[PFHxS]])</f>
        <v>-0.49485002168009401</v>
      </c>
      <c r="O57">
        <f>LOG(Table1_1__2[[#This Row],[PFHpS]])</f>
        <v>-1.3010299956639813</v>
      </c>
      <c r="P57">
        <f>LOG(Table1_1__2[[#This Row],[PFOS]])</f>
        <v>-6.5501548756432285E-2</v>
      </c>
      <c r="Q57">
        <f>LOG(Table1_1__2[[#This Row],[PFNS]])</f>
        <v>-1.3010299956639813</v>
      </c>
      <c r="R57">
        <f>LOG(Table1_1__2[[#This Row],[PFDS]])</f>
        <v>-1.3010299956639813</v>
      </c>
      <c r="S57">
        <f>LOG(Table1_1__2[[#This Row],[PFDoS]])</f>
        <v>-1.3010299956639813</v>
      </c>
      <c r="T57">
        <f>LOG(Table1_1__2[[#This Row],[4:2 FTS]])</f>
        <v>-0.69897000433601875</v>
      </c>
      <c r="U57">
        <f>LOG(Table1_1__2[[#This Row],[6:2 FTS]])</f>
        <v>-0.3979400086720376</v>
      </c>
      <c r="V57">
        <f>LOG(Table1_1__2[[#This Row],[8:2 FTS]])</f>
        <v>-0.3979400086720376</v>
      </c>
      <c r="W57">
        <f>LOG(Table1_1__2[[#This Row],[FOSA]])</f>
        <v>-1.0457574905606752</v>
      </c>
      <c r="X57">
        <f>LOG(Table1_1__2[[#This Row],[N-MeFOSA]])</f>
        <v>-1.3010299956639813</v>
      </c>
      <c r="Y57">
        <f>LOG(Table1_1__2[[#This Row],[N-MeFOSAA]])</f>
        <v>-1.3010299956639813</v>
      </c>
      <c r="Z57">
        <f>LOG(Table1_1__2[[#This Row],[N-EtFOSAA]])</f>
        <v>-1.3010299956639813</v>
      </c>
      <c r="AA57">
        <f>LOG(Table1_1__2[[#This Row],[ADONA]])</f>
        <v>-0.69897000433601875</v>
      </c>
      <c r="AB57">
        <f>LOG(Table1_1__2[[#This Row],[3:3 FTCA]])</f>
        <v>-0.6020599913279624</v>
      </c>
      <c r="AC57">
        <f>LOG(Table1_1__2[[#This Row],[5:3 FTCA]])</f>
        <v>9.691001300805642E-2</v>
      </c>
      <c r="AD57">
        <f>LOG(Table1_1__2[[#This Row],[7:3 FTCA]])</f>
        <v>9.691001300805642E-2</v>
      </c>
      <c r="AE57">
        <f>LOG(Table1_1__2[[#This Row],[N-EtFOSA]])</f>
        <v>-1.3010299956639813</v>
      </c>
      <c r="AF57">
        <f>LOG(Table1_1__2[[#This Row],[N-MeFOSE]])</f>
        <v>-0.3010299956639812</v>
      </c>
      <c r="AG57">
        <f>LOG(Table1_1__2[[#This Row],[N-EtFOSE]])</f>
        <v>-0.3010299956639812</v>
      </c>
      <c r="AH57">
        <f>LOG(Table1_1__2[[#This Row],[HFPO-DA]])</f>
        <v>-0.52287874528033762</v>
      </c>
      <c r="AI57">
        <f>LOG(Table1_1__2[[#This Row],[PFMBA]])</f>
        <v>-1</v>
      </c>
      <c r="AJ57">
        <f>LOG(Table1_1__2[[#This Row],[NFDHA]])</f>
        <v>-1</v>
      </c>
      <c r="AK57">
        <f>LOG(Table1_1__2[[#This Row],[9Cl-PF3ONS]])</f>
        <v>-0.69897000433601875</v>
      </c>
      <c r="AL57">
        <f>LOG(Table1_1__2[[#This Row],[11Cl-PF3OUdS]])</f>
        <v>-0.69897000433601875</v>
      </c>
      <c r="AM57">
        <f>LOG(Table1_1__2[[#This Row],[PFEESA]])</f>
        <v>-1</v>
      </c>
      <c r="AN57">
        <f>LOG(Table1_1__2[[#This Row],[PFMPA]])</f>
        <v>-1</v>
      </c>
    </row>
    <row r="58" spans="1:40" x14ac:dyDescent="0.3">
      <c r="A58">
        <f>LOG(Table1_1__2[[#This Row],[PFBA]])</f>
        <v>-0.69897000433601875</v>
      </c>
      <c r="B58">
        <f>LOG(Table1_1__2[[#This Row],[PFPeA]])</f>
        <v>-1</v>
      </c>
      <c r="C58">
        <f>LOG(Table1_1__2[[#This Row],[PFHxA]])</f>
        <v>-0.52287874528033762</v>
      </c>
      <c r="D58">
        <f>LOG(Table1_1__2[[#This Row],[PFHpA]])</f>
        <v>-1.0457574905606752</v>
      </c>
      <c r="E58">
        <f>LOG(Table1_1__2[[#This Row],[PFOA]])</f>
        <v>-0.28399665636520083</v>
      </c>
      <c r="F58">
        <f>LOG(Table1_1__2[[#This Row],[PFNA]])</f>
        <v>-1.3010299956639813</v>
      </c>
      <c r="G58">
        <f>LOG(Table1_1__2[[#This Row],[PFDA]])</f>
        <v>-1.3010299956639813</v>
      </c>
      <c r="H58">
        <f>LOG(Table1_1__2[[#This Row],[PFUnA]])</f>
        <v>-1.3010299956639813</v>
      </c>
      <c r="I58">
        <f>LOG(Table1_1__2[[#This Row],[PFDoA]])</f>
        <v>-1.3010299956639813</v>
      </c>
      <c r="J58">
        <f>LOG(Table1_1__2[[#This Row],[PFTrDA]])</f>
        <v>-1.3010299956639813</v>
      </c>
      <c r="K58">
        <f>LOG(Table1_1__2[[#This Row],[PFTeDA]])</f>
        <v>-1.3010299956639813</v>
      </c>
      <c r="L58">
        <f>LOG(Table1_1__2[[#This Row],[PFBS]])</f>
        <v>-1.3010299956639813</v>
      </c>
      <c r="M58">
        <f>LOG(Table1_1__2[[#This Row],[PFPeS]])</f>
        <v>-1.3010299956639813</v>
      </c>
      <c r="N58">
        <f>LOG(Table1_1__2[[#This Row],[PFHxS]])</f>
        <v>-0.33724216831842591</v>
      </c>
      <c r="O58">
        <f>LOG(Table1_1__2[[#This Row],[PFHpS]])</f>
        <v>-1.3010299956639813</v>
      </c>
      <c r="P58">
        <f>LOG(Table1_1__2[[#This Row],[PFOS]])</f>
        <v>-4.0958607678906384E-2</v>
      </c>
      <c r="Q58">
        <f>LOG(Table1_1__2[[#This Row],[PFNS]])</f>
        <v>-1.3010299956639813</v>
      </c>
      <c r="R58">
        <f>LOG(Table1_1__2[[#This Row],[PFDS]])</f>
        <v>-1.3010299956639813</v>
      </c>
      <c r="S58">
        <f>LOG(Table1_1__2[[#This Row],[PFDoS]])</f>
        <v>-1.3010299956639813</v>
      </c>
      <c r="T58">
        <f>LOG(Table1_1__2[[#This Row],[4:2 FTS]])</f>
        <v>-0.69897000433601875</v>
      </c>
      <c r="U58">
        <f>LOG(Table1_1__2[[#This Row],[6:2 FTS]])</f>
        <v>-0.3979400086720376</v>
      </c>
      <c r="V58">
        <f>LOG(Table1_1__2[[#This Row],[8:2 FTS]])</f>
        <v>-0.3979400086720376</v>
      </c>
      <c r="W58">
        <f>LOG(Table1_1__2[[#This Row],[FOSA]])</f>
        <v>-1.0457574905606752</v>
      </c>
      <c r="X58">
        <f>LOG(Table1_1__2[[#This Row],[N-MeFOSA]])</f>
        <v>-1.3010299956639813</v>
      </c>
      <c r="Y58">
        <f>LOG(Table1_1__2[[#This Row],[N-MeFOSAA]])</f>
        <v>-1.3010299956639813</v>
      </c>
      <c r="Z58">
        <f>LOG(Table1_1__2[[#This Row],[N-EtFOSAA]])</f>
        <v>-1.3010299956639813</v>
      </c>
      <c r="AA58">
        <f>LOG(Table1_1__2[[#This Row],[ADONA]])</f>
        <v>-0.69897000433601875</v>
      </c>
      <c r="AB58">
        <f>LOG(Table1_1__2[[#This Row],[3:3 FTCA]])</f>
        <v>-0.6020599913279624</v>
      </c>
      <c r="AC58">
        <f>LOG(Table1_1__2[[#This Row],[5:3 FTCA]])</f>
        <v>9.691001300805642E-2</v>
      </c>
      <c r="AD58">
        <f>LOG(Table1_1__2[[#This Row],[7:3 FTCA]])</f>
        <v>9.691001300805642E-2</v>
      </c>
      <c r="AE58">
        <f>LOG(Table1_1__2[[#This Row],[N-EtFOSA]])</f>
        <v>-1.3010299956639813</v>
      </c>
      <c r="AF58">
        <f>LOG(Table1_1__2[[#This Row],[N-MeFOSE]])</f>
        <v>-0.3010299956639812</v>
      </c>
      <c r="AG58">
        <f>LOG(Table1_1__2[[#This Row],[N-EtFOSE]])</f>
        <v>-0.3010299956639812</v>
      </c>
      <c r="AH58">
        <f>LOG(Table1_1__2[[#This Row],[HFPO-DA]])</f>
        <v>-0.52287874528033762</v>
      </c>
      <c r="AI58">
        <f>LOG(Table1_1__2[[#This Row],[PFMBA]])</f>
        <v>-1</v>
      </c>
      <c r="AJ58">
        <f>LOG(Table1_1__2[[#This Row],[NFDHA]])</f>
        <v>-1</v>
      </c>
      <c r="AK58">
        <f>LOG(Table1_1__2[[#This Row],[9Cl-PF3ONS]])</f>
        <v>-0.69897000433601875</v>
      </c>
      <c r="AL58">
        <f>LOG(Table1_1__2[[#This Row],[11Cl-PF3OUdS]])</f>
        <v>-0.69897000433601875</v>
      </c>
      <c r="AM58">
        <f>LOG(Table1_1__2[[#This Row],[PFEESA]])</f>
        <v>-1</v>
      </c>
      <c r="AN58">
        <f>LOG(Table1_1__2[[#This Row],[PFMPA]])</f>
        <v>-1</v>
      </c>
    </row>
    <row r="59" spans="1:40" x14ac:dyDescent="0.3">
      <c r="A59">
        <f>LOG(Table1_1__2[[#This Row],[PFBA]])</f>
        <v>-0.69897000433601875</v>
      </c>
      <c r="B59">
        <f>LOG(Table1_1__2[[#This Row],[PFPeA]])</f>
        <v>-1</v>
      </c>
      <c r="C59">
        <f>LOG(Table1_1__2[[#This Row],[PFHxA]])</f>
        <v>-0.769551078621726</v>
      </c>
      <c r="D59">
        <f>LOG(Table1_1__2[[#This Row],[PFHpA]])</f>
        <v>-1.0457574905606752</v>
      </c>
      <c r="E59">
        <f>LOG(Table1_1__2[[#This Row],[PFOA]])</f>
        <v>-0.55284196865778079</v>
      </c>
      <c r="F59">
        <f>LOG(Table1_1__2[[#This Row],[PFNA]])</f>
        <v>-1.3053948010664314</v>
      </c>
      <c r="G59">
        <f>LOG(Table1_1__2[[#This Row],[PFDA]])</f>
        <v>-1.3053948010664314</v>
      </c>
      <c r="H59">
        <f>LOG(Table1_1__2[[#This Row],[PFUnA]])</f>
        <v>-1.3053948010664314</v>
      </c>
      <c r="I59">
        <f>LOG(Table1_1__2[[#This Row],[PFDoA]])</f>
        <v>-1.3053948010664314</v>
      </c>
      <c r="J59">
        <f>LOG(Table1_1__2[[#This Row],[PFTrDA]])</f>
        <v>-1.3053948010664314</v>
      </c>
      <c r="K59">
        <f>LOG(Table1_1__2[[#This Row],[PFTeDA]])</f>
        <v>-1.3053948010664314</v>
      </c>
      <c r="L59">
        <f>LOG(Table1_1__2[[#This Row],[PFBS]])</f>
        <v>-1.3053948010664314</v>
      </c>
      <c r="M59">
        <f>LOG(Table1_1__2[[#This Row],[PFPeS]])</f>
        <v>-1.3053948010664314</v>
      </c>
      <c r="N59">
        <f>LOG(Table1_1__2[[#This Row],[PFHxS]])</f>
        <v>-0.22914798835785583</v>
      </c>
      <c r="O59">
        <f>LOG(Table1_1__2[[#This Row],[PFHpS]])</f>
        <v>-1.3053948010664314</v>
      </c>
      <c r="P59">
        <f>LOG(Table1_1__2[[#This Row],[PFOS]])</f>
        <v>0.36172783601759284</v>
      </c>
      <c r="Q59">
        <f>LOG(Table1_1__2[[#This Row],[PFNS]])</f>
        <v>-1.3053948010664314</v>
      </c>
      <c r="R59">
        <f>LOG(Table1_1__2[[#This Row],[PFDS]])</f>
        <v>-1.3053948010664314</v>
      </c>
      <c r="S59">
        <f>LOG(Table1_1__2[[#This Row],[PFDoS]])</f>
        <v>-1.3053948010664314</v>
      </c>
      <c r="T59">
        <f>LOG(Table1_1__2[[#This Row],[4:2 FTS]])</f>
        <v>-0.69897000433601875</v>
      </c>
      <c r="U59">
        <f>LOG(Table1_1__2[[#This Row],[6:2 FTS]])</f>
        <v>-0.40340290437353976</v>
      </c>
      <c r="V59">
        <f>LOG(Table1_1__2[[#This Row],[8:2 FTS]])</f>
        <v>-0.40340290437353976</v>
      </c>
      <c r="W59">
        <f>LOG(Table1_1__2[[#This Row],[FOSA]])</f>
        <v>-0.88605664769316317</v>
      </c>
      <c r="X59">
        <f>LOG(Table1_1__2[[#This Row],[N-MeFOSA]])</f>
        <v>-1.3053948010664314</v>
      </c>
      <c r="Y59">
        <f>LOG(Table1_1__2[[#This Row],[N-MeFOSAA]])</f>
        <v>-1.3053948010664314</v>
      </c>
      <c r="Z59">
        <f>LOG(Table1_1__2[[#This Row],[N-EtFOSAA]])</f>
        <v>-1.3053948010664314</v>
      </c>
      <c r="AA59">
        <f>LOG(Table1_1__2[[#This Row],[ADONA]])</f>
        <v>-0.69897000433601875</v>
      </c>
      <c r="AB59">
        <f>LOG(Table1_1__2[[#This Row],[3:3 FTCA]])</f>
        <v>-0.6020599913279624</v>
      </c>
      <c r="AC59">
        <f>LOG(Table1_1__2[[#This Row],[5:3 FTCA]])</f>
        <v>9.691001300805642E-2</v>
      </c>
      <c r="AD59">
        <f>LOG(Table1_1__2[[#This Row],[7:3 FTCA]])</f>
        <v>9.691001300805642E-2</v>
      </c>
      <c r="AE59">
        <f>LOG(Table1_1__2[[#This Row],[N-EtFOSA]])</f>
        <v>-1.3053948010664314</v>
      </c>
      <c r="AF59">
        <f>LOG(Table1_1__2[[#This Row],[N-MeFOSE]])</f>
        <v>-0.3053948010664313</v>
      </c>
      <c r="AG59">
        <f>LOG(Table1_1__2[[#This Row],[N-EtFOSE]])</f>
        <v>-0.3053948010664313</v>
      </c>
      <c r="AH59">
        <f>LOG(Table1_1__2[[#This Row],[HFPO-DA]])</f>
        <v>-0.52287874528033762</v>
      </c>
      <c r="AI59">
        <f>LOG(Table1_1__2[[#This Row],[PFMBA]])</f>
        <v>-1</v>
      </c>
      <c r="AJ59">
        <f>LOG(Table1_1__2[[#This Row],[NFDHA]])</f>
        <v>-1</v>
      </c>
      <c r="AK59">
        <f>LOG(Table1_1__2[[#This Row],[9Cl-PF3ONS]])</f>
        <v>-0.69897000433601875</v>
      </c>
      <c r="AL59">
        <f>LOG(Table1_1__2[[#This Row],[11Cl-PF3OUdS]])</f>
        <v>-0.69897000433601875</v>
      </c>
      <c r="AM59">
        <f>LOG(Table1_1__2[[#This Row],[PFEESA]])</f>
        <v>-1</v>
      </c>
      <c r="AN59">
        <f>LOG(Table1_1__2[[#This Row],[PFMPA]])</f>
        <v>-1</v>
      </c>
    </row>
    <row r="60" spans="1:40" x14ac:dyDescent="0.3">
      <c r="A60">
        <f>LOG(Table1_1__2[[#This Row],[PFBA]])</f>
        <v>-0.69897000433601875</v>
      </c>
      <c r="B60">
        <f>LOG(Table1_1__2[[#This Row],[PFPeA]])</f>
        <v>-1</v>
      </c>
      <c r="C60">
        <f>LOG(Table1_1__2[[#This Row],[PFHxA]])</f>
        <v>-0.85387196432176193</v>
      </c>
      <c r="D60">
        <f>LOG(Table1_1__2[[#This Row],[PFHpA]])</f>
        <v>-1.0457574905606752</v>
      </c>
      <c r="E60">
        <f>LOG(Table1_1__2[[#This Row],[PFOA]])</f>
        <v>-0.63827216398240705</v>
      </c>
      <c r="F60">
        <f>LOG(Table1_1__2[[#This Row],[PFNA]])</f>
        <v>-1.3053948010664314</v>
      </c>
      <c r="G60">
        <f>LOG(Table1_1__2[[#This Row],[PFDA]])</f>
        <v>-1.3053948010664314</v>
      </c>
      <c r="H60">
        <f>LOG(Table1_1__2[[#This Row],[PFUnA]])</f>
        <v>-1.3053948010664314</v>
      </c>
      <c r="I60">
        <f>LOG(Table1_1__2[[#This Row],[PFDoA]])</f>
        <v>-1.3053948010664314</v>
      </c>
      <c r="J60">
        <f>LOG(Table1_1__2[[#This Row],[PFTrDA]])</f>
        <v>-1.3053948010664314</v>
      </c>
      <c r="K60">
        <f>LOG(Table1_1__2[[#This Row],[PFTeDA]])</f>
        <v>-1.3053948010664314</v>
      </c>
      <c r="L60">
        <f>LOG(Table1_1__2[[#This Row],[PFBS]])</f>
        <v>-1.3053948010664314</v>
      </c>
      <c r="M60">
        <f>LOG(Table1_1__2[[#This Row],[PFPeS]])</f>
        <v>-1.3053948010664314</v>
      </c>
      <c r="N60">
        <f>LOG(Table1_1__2[[#This Row],[PFHxS]])</f>
        <v>-0.34678748622465633</v>
      </c>
      <c r="O60">
        <f>LOG(Table1_1__2[[#This Row],[PFHpS]])</f>
        <v>-1.3053948010664314</v>
      </c>
      <c r="P60">
        <f>LOG(Table1_1__2[[#This Row],[PFOS]])</f>
        <v>0.23044892137827391</v>
      </c>
      <c r="Q60">
        <f>LOG(Table1_1__2[[#This Row],[PFNS]])</f>
        <v>-1.3053948010664314</v>
      </c>
      <c r="R60">
        <f>LOG(Table1_1__2[[#This Row],[PFDS]])</f>
        <v>-1.3053948010664314</v>
      </c>
      <c r="S60">
        <f>LOG(Table1_1__2[[#This Row],[PFDoS]])</f>
        <v>-1.3053948010664314</v>
      </c>
      <c r="T60">
        <f>LOG(Table1_1__2[[#This Row],[4:2 FTS]])</f>
        <v>-0.69897000433601875</v>
      </c>
      <c r="U60">
        <f>LOG(Table1_1__2[[#This Row],[6:2 FTS]])</f>
        <v>-0.40340290437353976</v>
      </c>
      <c r="V60">
        <f>LOG(Table1_1__2[[#This Row],[8:2 FTS]])</f>
        <v>-0.40340290437353976</v>
      </c>
      <c r="W60">
        <f>LOG(Table1_1__2[[#This Row],[FOSA]])</f>
        <v>-1.0457574905606752</v>
      </c>
      <c r="X60">
        <f>LOG(Table1_1__2[[#This Row],[N-MeFOSA]])</f>
        <v>-1.3053948010664314</v>
      </c>
      <c r="Y60">
        <f>LOG(Table1_1__2[[#This Row],[N-MeFOSAA]])</f>
        <v>-1.3053948010664314</v>
      </c>
      <c r="Z60">
        <f>LOG(Table1_1__2[[#This Row],[N-EtFOSAA]])</f>
        <v>-1.3053948010664314</v>
      </c>
      <c r="AA60">
        <f>LOG(Table1_1__2[[#This Row],[ADONA]])</f>
        <v>-0.69897000433601875</v>
      </c>
      <c r="AB60">
        <f>LOG(Table1_1__2[[#This Row],[3:3 FTCA]])</f>
        <v>-0.6020599913279624</v>
      </c>
      <c r="AC60">
        <f>LOG(Table1_1__2[[#This Row],[5:3 FTCA]])</f>
        <v>9.691001300805642E-2</v>
      </c>
      <c r="AD60">
        <f>LOG(Table1_1__2[[#This Row],[7:3 FTCA]])</f>
        <v>9.691001300805642E-2</v>
      </c>
      <c r="AE60">
        <f>LOG(Table1_1__2[[#This Row],[N-EtFOSA]])</f>
        <v>-1.3053948010664314</v>
      </c>
      <c r="AF60">
        <f>LOG(Table1_1__2[[#This Row],[N-MeFOSE]])</f>
        <v>-0.3053948010664313</v>
      </c>
      <c r="AG60">
        <f>LOG(Table1_1__2[[#This Row],[N-EtFOSE]])</f>
        <v>-0.3053948010664313</v>
      </c>
      <c r="AH60">
        <f>LOG(Table1_1__2[[#This Row],[HFPO-DA]])</f>
        <v>-0.52287874528033762</v>
      </c>
      <c r="AI60">
        <f>LOG(Table1_1__2[[#This Row],[PFMBA]])</f>
        <v>-1</v>
      </c>
      <c r="AJ60">
        <f>LOG(Table1_1__2[[#This Row],[NFDHA]])</f>
        <v>-1</v>
      </c>
      <c r="AK60">
        <f>LOG(Table1_1__2[[#This Row],[9Cl-PF3ONS]])</f>
        <v>-0.69897000433601875</v>
      </c>
      <c r="AL60">
        <f>LOG(Table1_1__2[[#This Row],[11Cl-PF3OUdS]])</f>
        <v>-0.69897000433601875</v>
      </c>
      <c r="AM60">
        <f>LOG(Table1_1__2[[#This Row],[PFEESA]])</f>
        <v>-1</v>
      </c>
      <c r="AN60">
        <f>LOG(Table1_1__2[[#This Row],[PFMPA]])</f>
        <v>-1</v>
      </c>
    </row>
    <row r="61" spans="1:40" x14ac:dyDescent="0.3">
      <c r="A61">
        <f>LOG(Table1_1__2[[#This Row],[PFBA]])</f>
        <v>-0.69897000433601875</v>
      </c>
      <c r="B61">
        <f>LOG(Table1_1__2[[#This Row],[PFPeA]])</f>
        <v>-1</v>
      </c>
      <c r="C61">
        <f>LOG(Table1_1__2[[#This Row],[PFHxA]])</f>
        <v>-0.65757731917779372</v>
      </c>
      <c r="D61">
        <f>LOG(Table1_1__2[[#This Row],[PFHpA]])</f>
        <v>-1.0457574905606752</v>
      </c>
      <c r="E61">
        <f>LOG(Table1_1__2[[#This Row],[PFOA]])</f>
        <v>-0.49485002168009401</v>
      </c>
      <c r="F61">
        <f>LOG(Table1_1__2[[#This Row],[PFNA]])</f>
        <v>-1.3010299956639813</v>
      </c>
      <c r="G61">
        <f>LOG(Table1_1__2[[#This Row],[PFDA]])</f>
        <v>-1.3010299956639813</v>
      </c>
      <c r="H61">
        <f>LOG(Table1_1__2[[#This Row],[PFUnA]])</f>
        <v>-1.3010299956639813</v>
      </c>
      <c r="I61">
        <f>LOG(Table1_1__2[[#This Row],[PFDoA]])</f>
        <v>-1.3010299956639813</v>
      </c>
      <c r="J61">
        <f>LOG(Table1_1__2[[#This Row],[PFTrDA]])</f>
        <v>-1.3010299956639813</v>
      </c>
      <c r="K61">
        <f>LOG(Table1_1__2[[#This Row],[PFTeDA]])</f>
        <v>-1.3010299956639813</v>
      </c>
      <c r="L61">
        <f>LOG(Table1_1__2[[#This Row],[PFBS]])</f>
        <v>-1.3010299956639813</v>
      </c>
      <c r="M61">
        <f>LOG(Table1_1__2[[#This Row],[PFPeS]])</f>
        <v>-1.2839966563652008</v>
      </c>
      <c r="N61">
        <f>LOG(Table1_1__2[[#This Row],[PFHxS]])</f>
        <v>-0.18045606445813131</v>
      </c>
      <c r="O61">
        <f>LOG(Table1_1__2[[#This Row],[PFHpS]])</f>
        <v>-1.3010299956639813</v>
      </c>
      <c r="P61">
        <f>LOG(Table1_1__2[[#This Row],[PFOS]])</f>
        <v>7.9181246047624818E-2</v>
      </c>
      <c r="Q61">
        <f>LOG(Table1_1__2[[#This Row],[PFNS]])</f>
        <v>-1.3010299956639813</v>
      </c>
      <c r="R61">
        <f>LOG(Table1_1__2[[#This Row],[PFDS]])</f>
        <v>-1.3010299956639813</v>
      </c>
      <c r="S61">
        <f>LOG(Table1_1__2[[#This Row],[PFDoS]])</f>
        <v>-1.3010299956639813</v>
      </c>
      <c r="T61">
        <f>LOG(Table1_1__2[[#This Row],[4:2 FTS]])</f>
        <v>-0.69897000433601875</v>
      </c>
      <c r="U61">
        <f>LOG(Table1_1__2[[#This Row],[6:2 FTS]])</f>
        <v>-0.3979400086720376</v>
      </c>
      <c r="V61">
        <f>LOG(Table1_1__2[[#This Row],[8:2 FTS]])</f>
        <v>-0.3979400086720376</v>
      </c>
      <c r="W61">
        <f>LOG(Table1_1__2[[#This Row],[FOSA]])</f>
        <v>-1.0457574905606752</v>
      </c>
      <c r="X61">
        <f>LOG(Table1_1__2[[#This Row],[N-MeFOSA]])</f>
        <v>-1.3010299956639813</v>
      </c>
      <c r="Y61">
        <f>LOG(Table1_1__2[[#This Row],[N-MeFOSAA]])</f>
        <v>-1.3010299956639813</v>
      </c>
      <c r="Z61">
        <f>LOG(Table1_1__2[[#This Row],[N-EtFOSAA]])</f>
        <v>-1.3010299956639813</v>
      </c>
      <c r="AA61">
        <f>LOG(Table1_1__2[[#This Row],[ADONA]])</f>
        <v>-0.69897000433601875</v>
      </c>
      <c r="AB61">
        <f>LOG(Table1_1__2[[#This Row],[3:3 FTCA]])</f>
        <v>-0.6020599913279624</v>
      </c>
      <c r="AC61">
        <f>LOG(Table1_1__2[[#This Row],[5:3 FTCA]])</f>
        <v>9.691001300805642E-2</v>
      </c>
      <c r="AD61">
        <f>LOG(Table1_1__2[[#This Row],[7:3 FTCA]])</f>
        <v>9.691001300805642E-2</v>
      </c>
      <c r="AE61">
        <f>LOG(Table1_1__2[[#This Row],[N-EtFOSA]])</f>
        <v>-1.3010299956639813</v>
      </c>
      <c r="AF61">
        <f>LOG(Table1_1__2[[#This Row],[N-MeFOSE]])</f>
        <v>-0.3010299956639812</v>
      </c>
      <c r="AG61">
        <f>LOG(Table1_1__2[[#This Row],[N-EtFOSE]])</f>
        <v>-0.3010299956639812</v>
      </c>
      <c r="AH61">
        <f>LOG(Table1_1__2[[#This Row],[HFPO-DA]])</f>
        <v>-0.52287874528033762</v>
      </c>
      <c r="AI61">
        <f>LOG(Table1_1__2[[#This Row],[PFMBA]])</f>
        <v>-1</v>
      </c>
      <c r="AJ61">
        <f>LOG(Table1_1__2[[#This Row],[NFDHA]])</f>
        <v>-1</v>
      </c>
      <c r="AK61">
        <f>LOG(Table1_1__2[[#This Row],[9Cl-PF3ONS]])</f>
        <v>-0.69897000433601875</v>
      </c>
      <c r="AL61">
        <f>LOG(Table1_1__2[[#This Row],[11Cl-PF3OUdS]])</f>
        <v>-0.69897000433601875</v>
      </c>
      <c r="AM61">
        <f>LOG(Table1_1__2[[#This Row],[PFEESA]])</f>
        <v>-1</v>
      </c>
      <c r="AN61">
        <f>LOG(Table1_1__2[[#This Row],[PFMPA]])</f>
        <v>-1</v>
      </c>
    </row>
    <row r="62" spans="1:40" x14ac:dyDescent="0.3">
      <c r="A62">
        <f>LOG(Table1_1__2[[#This Row],[PFBA]])</f>
        <v>-1.0969100130080565</v>
      </c>
      <c r="B62">
        <f>LOG(Table1_1__2[[#This Row],[PFPeA]])</f>
        <v>-0.89279003035213167</v>
      </c>
      <c r="C62">
        <f>LOG(Table1_1__2[[#This Row],[PFHxA]])</f>
        <v>-0.62708799702989348</v>
      </c>
      <c r="D62">
        <f>LOG(Table1_1__2[[#This Row],[PFHpA]])</f>
        <v>-1.1938200260161129</v>
      </c>
      <c r="E62">
        <f>LOG(Table1_1__2[[#This Row],[PFOA]])</f>
        <v>-0.41680122603137726</v>
      </c>
      <c r="F62">
        <f>LOG(Table1_1__2[[#This Row],[PFNA]])</f>
        <v>-1.3565473235138126</v>
      </c>
      <c r="G62">
        <f>LOG(Table1_1__2[[#This Row],[PFDA]])</f>
        <v>-1.6989700043360187</v>
      </c>
      <c r="H62">
        <f>LOG(Table1_1__2[[#This Row],[PFUnA]])</f>
        <v>-1.6989700043360187</v>
      </c>
      <c r="I62">
        <f>LOG(Table1_1__2[[#This Row],[PFDoA]])</f>
        <v>-1.6989700043360187</v>
      </c>
      <c r="J62">
        <f>LOG(Table1_1__2[[#This Row],[PFTrDA]])</f>
        <v>-1.6989700043360187</v>
      </c>
      <c r="K62">
        <f>LOG(Table1_1__2[[#This Row],[PFTeDA]])</f>
        <v>-1.6989700043360187</v>
      </c>
      <c r="L62">
        <f>LOG(Table1_1__2[[#This Row],[PFBS]])</f>
        <v>-1.3872161432802645</v>
      </c>
      <c r="M62">
        <f>LOG(Table1_1__2[[#This Row],[PFPeS]])</f>
        <v>-1.3372421683184259</v>
      </c>
      <c r="N62">
        <f>LOG(Table1_1__2[[#This Row],[PFHxS]])</f>
        <v>-0.24872089601665776</v>
      </c>
      <c r="O62">
        <f>LOG(Table1_1__2[[#This Row],[PFHpS]])</f>
        <v>-1.6989700043360187</v>
      </c>
      <c r="P62">
        <f>LOG(Table1_1__2[[#This Row],[PFOS]])</f>
        <v>0.13987908640123647</v>
      </c>
      <c r="Q62">
        <f>LOG(Table1_1__2[[#This Row],[PFNS]])</f>
        <v>-1.6989700043360187</v>
      </c>
      <c r="R62">
        <f>LOG(Table1_1__2[[#This Row],[PFDS]])</f>
        <v>-1.6989700043360187</v>
      </c>
      <c r="S62">
        <f>LOG(Table1_1__2[[#This Row],[PFDoS]])</f>
        <v>-1.6989700043360187</v>
      </c>
      <c r="T62">
        <f>LOG(Table1_1__2[[#This Row],[4:2 FTS]])</f>
        <v>-1.0969100130080565</v>
      </c>
      <c r="U62">
        <f>LOG(Table1_1__2[[#This Row],[6:2 FTS]])</f>
        <v>-0.61439372640168788</v>
      </c>
      <c r="V62">
        <f>LOG(Table1_1__2[[#This Row],[8:2 FTS]])</f>
        <v>-1.0969100130080565</v>
      </c>
      <c r="W62">
        <f>LOG(Table1_1__2[[#This Row],[FOSA]])</f>
        <v>-1.6989700043360187</v>
      </c>
      <c r="X62">
        <f>LOG(Table1_1__2[[#This Row],[N-MeFOSA]])</f>
        <v>-1.6989700043360187</v>
      </c>
      <c r="Y62">
        <f>LOG(Table1_1__2[[#This Row],[N-MeFOSAA]])</f>
        <v>-1.6989700043360187</v>
      </c>
      <c r="Z62">
        <f>LOG(Table1_1__2[[#This Row],[N-EtFOSAA]])</f>
        <v>-1.6989700043360187</v>
      </c>
      <c r="AA62">
        <f>LOG(Table1_1__2[[#This Row],[ADONA]])</f>
        <v>-1.0969100130080565</v>
      </c>
      <c r="AB62">
        <f>LOG(Table1_1__2[[#This Row],[3:3 FTCA]])</f>
        <v>-1.0969100130080565</v>
      </c>
      <c r="AC62">
        <f>LOG(Table1_1__2[[#This Row],[5:3 FTCA]])</f>
        <v>-0.3010299956639812</v>
      </c>
      <c r="AD62">
        <f>LOG(Table1_1__2[[#This Row],[7:3 FTCA]])</f>
        <v>-0.3010299956639812</v>
      </c>
      <c r="AE62" t="e">
        <f>LOG(Table1_1__2[[#This Row],[N-EtFOSA]])</f>
        <v>#NUM!</v>
      </c>
      <c r="AF62" t="e">
        <f>LOG(Table1_1__2[[#This Row],[N-MeFOSE]])</f>
        <v>#NUM!</v>
      </c>
      <c r="AG62" t="e">
        <f>LOG(Table1_1__2[[#This Row],[N-EtFOSE]])</f>
        <v>#NUM!</v>
      </c>
      <c r="AH62" t="e">
        <f>LOG(Table1_1__2[[#This Row],[HFPO-DA]])</f>
        <v>#NUM!</v>
      </c>
      <c r="AI62" t="e">
        <f>LOG(Table1_1__2[[#This Row],[PFMBA]])</f>
        <v>#NUM!</v>
      </c>
      <c r="AJ62" t="e">
        <f>LOG(Table1_1__2[[#This Row],[NFDHA]])</f>
        <v>#NUM!</v>
      </c>
      <c r="AK62" t="e">
        <f>LOG(Table1_1__2[[#This Row],[9Cl-PF3ONS]])</f>
        <v>#NUM!</v>
      </c>
      <c r="AL62" t="e">
        <f>LOG(Table1_1__2[[#This Row],[11Cl-PF3OUdS]])</f>
        <v>#NUM!</v>
      </c>
      <c r="AM62" t="e">
        <f>LOG(Table1_1__2[[#This Row],[PFEESA]])</f>
        <v>#NUM!</v>
      </c>
      <c r="AN62" t="e">
        <f>LOG(Table1_1__2[[#This Row],[PFMPA]])</f>
        <v>#NUM!</v>
      </c>
    </row>
    <row r="63" spans="1:40" x14ac:dyDescent="0.3">
      <c r="A63">
        <f>LOG(Table1_1__2[[#This Row],[PFBA]])</f>
        <v>-0.83863199776502517</v>
      </c>
      <c r="B63">
        <f>LOG(Table1_1__2[[#This Row],[PFPeA]])</f>
        <v>-0.87942606879415008</v>
      </c>
      <c r="C63">
        <f>LOG(Table1_1__2[[#This Row],[PFHxA]])</f>
        <v>-0.32330639037513342</v>
      </c>
      <c r="D63">
        <f>LOG(Table1_1__2[[#This Row],[PFHpA]])</f>
        <v>-1.3279021420642825</v>
      </c>
      <c r="E63">
        <f>LOG(Table1_1__2[[#This Row],[PFOA]])</f>
        <v>-0.73282827159698616</v>
      </c>
      <c r="F63">
        <f>LOG(Table1_1__2[[#This Row],[PFNA]])</f>
        <v>-1.3372421683184259</v>
      </c>
      <c r="G63">
        <f>LOG(Table1_1__2[[#This Row],[PFDA]])</f>
        <v>-1.6989700043360187</v>
      </c>
      <c r="H63">
        <f>LOG(Table1_1__2[[#This Row],[PFUnA]])</f>
        <v>-1.6989700043360187</v>
      </c>
      <c r="I63">
        <f>LOG(Table1_1__2[[#This Row],[PFDoA]])</f>
        <v>-1.3372421683184259</v>
      </c>
      <c r="J63">
        <f>LOG(Table1_1__2[[#This Row],[PFTrDA]])</f>
        <v>-1.6989700043360187</v>
      </c>
      <c r="K63">
        <f>LOG(Table1_1__2[[#This Row],[PFTeDA]])</f>
        <v>-1.6989700043360187</v>
      </c>
      <c r="L63">
        <f>LOG(Table1_1__2[[#This Row],[PFBS]])</f>
        <v>-1.6989700043360187</v>
      </c>
      <c r="M63">
        <f>LOG(Table1_1__2[[#This Row],[PFPeS]])</f>
        <v>-1.6989700043360187</v>
      </c>
      <c r="N63">
        <f>LOG(Table1_1__2[[#This Row],[PFHxS]])</f>
        <v>-0.42250820016277468</v>
      </c>
      <c r="O63">
        <f>LOG(Table1_1__2[[#This Row],[PFHpS]])</f>
        <v>-1.6989700043360187</v>
      </c>
      <c r="P63">
        <f>LOG(Table1_1__2[[#This Row],[PFOS]])</f>
        <v>0.2355284469075489</v>
      </c>
      <c r="Q63">
        <f>LOG(Table1_1__2[[#This Row],[PFNS]])</f>
        <v>-1.6989700043360187</v>
      </c>
      <c r="R63">
        <f>LOG(Table1_1__2[[#This Row],[PFDS]])</f>
        <v>-1.6989700043360187</v>
      </c>
      <c r="S63">
        <f>LOG(Table1_1__2[[#This Row],[PFDoS]])</f>
        <v>-1.6989700043360187</v>
      </c>
      <c r="T63">
        <f>LOG(Table1_1__2[[#This Row],[4:2 FTS]])</f>
        <v>-1.0969100130080565</v>
      </c>
      <c r="U63">
        <f>LOG(Table1_1__2[[#This Row],[6:2 FTS]])</f>
        <v>-0.54821356447570979</v>
      </c>
      <c r="V63">
        <f>LOG(Table1_1__2[[#This Row],[8:2 FTS]])</f>
        <v>-1.0969100130080565</v>
      </c>
      <c r="W63">
        <f>LOG(Table1_1__2[[#This Row],[FOSA]])</f>
        <v>-0.58004425151024208</v>
      </c>
      <c r="X63">
        <f>LOG(Table1_1__2[[#This Row],[N-MeFOSA]])</f>
        <v>-1.6989700043360187</v>
      </c>
      <c r="Y63">
        <f>LOG(Table1_1__2[[#This Row],[N-MeFOSAA]])</f>
        <v>-1.6989700043360187</v>
      </c>
      <c r="Z63">
        <f>LOG(Table1_1__2[[#This Row],[N-EtFOSAA]])</f>
        <v>-1.6989700043360187</v>
      </c>
      <c r="AA63">
        <f>LOG(Table1_1__2[[#This Row],[ADONA]])</f>
        <v>-1.0969100130080565</v>
      </c>
      <c r="AB63">
        <f>LOG(Table1_1__2[[#This Row],[3:3 FTCA]])</f>
        <v>-1.0969100130080565</v>
      </c>
      <c r="AC63">
        <f>LOG(Table1_1__2[[#This Row],[5:3 FTCA]])</f>
        <v>-0.3010299956639812</v>
      </c>
      <c r="AD63">
        <f>LOG(Table1_1__2[[#This Row],[7:3 FTCA]])</f>
        <v>-0.3010299956639812</v>
      </c>
      <c r="AE63" t="e">
        <f>LOG(Table1_1__2[[#This Row],[N-EtFOSA]])</f>
        <v>#NUM!</v>
      </c>
      <c r="AF63" t="e">
        <f>LOG(Table1_1__2[[#This Row],[N-MeFOSE]])</f>
        <v>#NUM!</v>
      </c>
      <c r="AG63" t="e">
        <f>LOG(Table1_1__2[[#This Row],[N-EtFOSE]])</f>
        <v>#NUM!</v>
      </c>
      <c r="AH63" t="e">
        <f>LOG(Table1_1__2[[#This Row],[HFPO-DA]])</f>
        <v>#NUM!</v>
      </c>
      <c r="AI63" t="e">
        <f>LOG(Table1_1__2[[#This Row],[PFMBA]])</f>
        <v>#NUM!</v>
      </c>
      <c r="AJ63" t="e">
        <f>LOG(Table1_1__2[[#This Row],[NFDHA]])</f>
        <v>#NUM!</v>
      </c>
      <c r="AK63" t="e">
        <f>LOG(Table1_1__2[[#This Row],[9Cl-PF3ONS]])</f>
        <v>#NUM!</v>
      </c>
      <c r="AL63" t="e">
        <f>LOG(Table1_1__2[[#This Row],[11Cl-PF3OUdS]])</f>
        <v>#NUM!</v>
      </c>
      <c r="AM63" t="e">
        <f>LOG(Table1_1__2[[#This Row],[PFEESA]])</f>
        <v>#NUM!</v>
      </c>
      <c r="AN63" t="e">
        <f>LOG(Table1_1__2[[#This Row],[PFMPA]])</f>
        <v>#NUM!</v>
      </c>
    </row>
    <row r="64" spans="1:40" x14ac:dyDescent="0.3">
      <c r="A64">
        <f>LOG(Table1_1__2[[#This Row],[PFBA]])</f>
        <v>-1.0969100130080565</v>
      </c>
      <c r="B64">
        <f>LOG(Table1_1__2[[#This Row],[PFPeA]])</f>
        <v>-0.98296666070121963</v>
      </c>
      <c r="C64">
        <f>LOG(Table1_1__2[[#This Row],[PFHxA]])</f>
        <v>-0.54515513999148979</v>
      </c>
      <c r="D64">
        <f>LOG(Table1_1__2[[#This Row],[PFHpA]])</f>
        <v>-1.6989700043360187</v>
      </c>
      <c r="E64">
        <f>LOG(Table1_1__2[[#This Row],[PFOA]])</f>
        <v>-0.82390874094431876</v>
      </c>
      <c r="F64">
        <f>LOG(Table1_1__2[[#This Row],[PFNA]])</f>
        <v>-1.431798275933005</v>
      </c>
      <c r="G64">
        <f>LOG(Table1_1__2[[#This Row],[PFDA]])</f>
        <v>-1.6989700043360187</v>
      </c>
      <c r="H64">
        <f>LOG(Table1_1__2[[#This Row],[PFUnA]])</f>
        <v>-1.6989700043360187</v>
      </c>
      <c r="I64">
        <f>LOG(Table1_1__2[[#This Row],[PFDoA]])</f>
        <v>-1.6989700043360187</v>
      </c>
      <c r="J64">
        <f>LOG(Table1_1__2[[#This Row],[PFTrDA]])</f>
        <v>-1.6989700043360187</v>
      </c>
      <c r="K64">
        <f>LOG(Table1_1__2[[#This Row],[PFTeDA]])</f>
        <v>-1.6989700043360187</v>
      </c>
      <c r="L64">
        <f>LOG(Table1_1__2[[#This Row],[PFBS]])</f>
        <v>-1.6989700043360187</v>
      </c>
      <c r="M64">
        <f>LOG(Table1_1__2[[#This Row],[PFPeS]])</f>
        <v>-1.6989700043360187</v>
      </c>
      <c r="N64">
        <f>LOG(Table1_1__2[[#This Row],[PFHxS]])</f>
        <v>-0.40450377817442584</v>
      </c>
      <c r="O64">
        <f>LOG(Table1_1__2[[#This Row],[PFHpS]])</f>
        <v>-1.6989700043360187</v>
      </c>
      <c r="P64">
        <f>LOG(Table1_1__2[[#This Row],[PFOS]])</f>
        <v>0.29003461136251801</v>
      </c>
      <c r="Q64">
        <f>LOG(Table1_1__2[[#This Row],[PFNS]])</f>
        <v>-1.6989700043360187</v>
      </c>
      <c r="R64">
        <f>LOG(Table1_1__2[[#This Row],[PFDS]])</f>
        <v>-1.6989700043360187</v>
      </c>
      <c r="S64">
        <f>LOG(Table1_1__2[[#This Row],[PFDoS]])</f>
        <v>-1.6989700043360187</v>
      </c>
      <c r="T64">
        <f>LOG(Table1_1__2[[#This Row],[4:2 FTS]])</f>
        <v>-1.0969100130080565</v>
      </c>
      <c r="U64">
        <f>LOG(Table1_1__2[[#This Row],[6:2 FTS]])</f>
        <v>-0.31515463835558755</v>
      </c>
      <c r="V64">
        <f>LOG(Table1_1__2[[#This Row],[8:2 FTS]])</f>
        <v>-0.83564714421556296</v>
      </c>
      <c r="W64">
        <f>LOG(Table1_1__2[[#This Row],[FOSA]])</f>
        <v>-0.8507808873446201</v>
      </c>
      <c r="X64">
        <f>LOG(Table1_1__2[[#This Row],[N-MeFOSA]])</f>
        <v>-1.6989700043360187</v>
      </c>
      <c r="Y64">
        <f>LOG(Table1_1__2[[#This Row],[N-MeFOSAA]])</f>
        <v>-1.6989700043360187</v>
      </c>
      <c r="Z64">
        <f>LOG(Table1_1__2[[#This Row],[N-EtFOSAA]])</f>
        <v>-1.6989700043360187</v>
      </c>
      <c r="AA64">
        <f>LOG(Table1_1__2[[#This Row],[ADONA]])</f>
        <v>-1.0969100130080565</v>
      </c>
      <c r="AB64">
        <f>LOG(Table1_1__2[[#This Row],[3:3 FTCA]])</f>
        <v>-1.0969100130080565</v>
      </c>
      <c r="AC64">
        <f>LOG(Table1_1__2[[#This Row],[5:3 FTCA]])</f>
        <v>-0.3010299956639812</v>
      </c>
      <c r="AD64">
        <f>LOG(Table1_1__2[[#This Row],[7:3 FTCA]])</f>
        <v>-0.3010299956639812</v>
      </c>
      <c r="AE64" t="e">
        <f>LOG(Table1_1__2[[#This Row],[N-EtFOSA]])</f>
        <v>#NUM!</v>
      </c>
      <c r="AF64" t="e">
        <f>LOG(Table1_1__2[[#This Row],[N-MeFOSE]])</f>
        <v>#NUM!</v>
      </c>
      <c r="AG64" t="e">
        <f>LOG(Table1_1__2[[#This Row],[N-EtFOSE]])</f>
        <v>#NUM!</v>
      </c>
      <c r="AH64" t="e">
        <f>LOG(Table1_1__2[[#This Row],[HFPO-DA]])</f>
        <v>#NUM!</v>
      </c>
      <c r="AI64" t="e">
        <f>LOG(Table1_1__2[[#This Row],[PFMBA]])</f>
        <v>#NUM!</v>
      </c>
      <c r="AJ64" t="e">
        <f>LOG(Table1_1__2[[#This Row],[NFDHA]])</f>
        <v>#NUM!</v>
      </c>
      <c r="AK64" t="e">
        <f>LOG(Table1_1__2[[#This Row],[9Cl-PF3ONS]])</f>
        <v>#NUM!</v>
      </c>
      <c r="AL64" t="e">
        <f>LOG(Table1_1__2[[#This Row],[11Cl-PF3OUdS]])</f>
        <v>#NUM!</v>
      </c>
      <c r="AM64" t="e">
        <f>LOG(Table1_1__2[[#This Row],[PFEESA]])</f>
        <v>#NUM!</v>
      </c>
      <c r="AN64" t="e">
        <f>LOG(Table1_1__2[[#This Row],[PFMPA]])</f>
        <v>#NUM!</v>
      </c>
    </row>
    <row r="65" spans="1:40" x14ac:dyDescent="0.3">
      <c r="A65">
        <f>LOG(Table1_1__2[[#This Row],[PFBA]])</f>
        <v>-1.0969100130080565</v>
      </c>
      <c r="B65">
        <f>LOG(Table1_1__2[[#This Row],[PFPeA]])</f>
        <v>-0.88605664769316317</v>
      </c>
      <c r="C65">
        <f>LOG(Table1_1__2[[#This Row],[PFHxA]])</f>
        <v>-0.77989191195994489</v>
      </c>
      <c r="D65">
        <f>LOG(Table1_1__2[[#This Row],[PFHpA]])</f>
        <v>-1.3565473235138126</v>
      </c>
      <c r="E65">
        <f>LOG(Table1_1__2[[#This Row],[PFOA]])</f>
        <v>-0.73754891026957059</v>
      </c>
      <c r="F65">
        <f>LOG(Table1_1__2[[#This Row],[PFNA]])</f>
        <v>-1.6989700043360187</v>
      </c>
      <c r="G65">
        <f>LOG(Table1_1__2[[#This Row],[PFDA]])</f>
        <v>-1.6989700043360187</v>
      </c>
      <c r="H65">
        <f>LOG(Table1_1__2[[#This Row],[PFUnA]])</f>
        <v>-1.6989700043360187</v>
      </c>
      <c r="I65">
        <f>LOG(Table1_1__2[[#This Row],[PFDoA]])</f>
        <v>-1.6989700043360187</v>
      </c>
      <c r="J65">
        <f>LOG(Table1_1__2[[#This Row],[PFTrDA]])</f>
        <v>-1.6989700043360187</v>
      </c>
      <c r="K65">
        <f>LOG(Table1_1__2[[#This Row],[PFTeDA]])</f>
        <v>-1.6989700043360187</v>
      </c>
      <c r="L65">
        <f>LOG(Table1_1__2[[#This Row],[PFBS]])</f>
        <v>-1.6989700043360187</v>
      </c>
      <c r="M65">
        <f>LOG(Table1_1__2[[#This Row],[PFPeS]])</f>
        <v>-1.3979400086720375</v>
      </c>
      <c r="N65">
        <f>LOG(Table1_1__2[[#This Row],[PFHxS]])</f>
        <v>-0.36051351073141397</v>
      </c>
      <c r="O65">
        <f>LOG(Table1_1__2[[#This Row],[PFHpS]])</f>
        <v>-1.6989700043360187</v>
      </c>
      <c r="P65">
        <f>LOG(Table1_1__2[[#This Row],[PFOS]])</f>
        <v>2.5305865264770262E-2</v>
      </c>
      <c r="Q65">
        <f>LOG(Table1_1__2[[#This Row],[PFNS]])</f>
        <v>-1.6989700043360187</v>
      </c>
      <c r="R65">
        <f>LOG(Table1_1__2[[#This Row],[PFDS]])</f>
        <v>-1.6989700043360187</v>
      </c>
      <c r="S65">
        <f>LOG(Table1_1__2[[#This Row],[PFDoS]])</f>
        <v>-1.6989700043360187</v>
      </c>
      <c r="T65">
        <f>LOG(Table1_1__2[[#This Row],[4:2 FTS]])</f>
        <v>-1.0969100130080565</v>
      </c>
      <c r="U65">
        <f>LOG(Table1_1__2[[#This Row],[6:2 FTS]])</f>
        <v>-1.0969100130080565</v>
      </c>
      <c r="V65">
        <f>LOG(Table1_1__2[[#This Row],[8:2 FTS]])</f>
        <v>-1.0969100130080565</v>
      </c>
      <c r="W65">
        <f>LOG(Table1_1__2[[#This Row],[FOSA]])</f>
        <v>-1.6989700043360187</v>
      </c>
      <c r="X65">
        <f>LOG(Table1_1__2[[#This Row],[N-MeFOSA]])</f>
        <v>-1.6989700043360187</v>
      </c>
      <c r="Y65">
        <f>LOG(Table1_1__2[[#This Row],[N-MeFOSAA]])</f>
        <v>-1.6989700043360187</v>
      </c>
      <c r="Z65">
        <f>LOG(Table1_1__2[[#This Row],[N-EtFOSAA]])</f>
        <v>-1.6989700043360187</v>
      </c>
      <c r="AA65">
        <f>LOG(Table1_1__2[[#This Row],[ADONA]])</f>
        <v>-1.0969100130080565</v>
      </c>
      <c r="AB65">
        <f>LOG(Table1_1__2[[#This Row],[3:3 FTCA]])</f>
        <v>-1.0969100130080565</v>
      </c>
      <c r="AC65">
        <f>LOG(Table1_1__2[[#This Row],[5:3 FTCA]])</f>
        <v>-0.3010299956639812</v>
      </c>
      <c r="AD65">
        <f>LOG(Table1_1__2[[#This Row],[7:3 FTCA]])</f>
        <v>-0.3010299956639812</v>
      </c>
      <c r="AE65" t="e">
        <f>LOG(Table1_1__2[[#This Row],[N-EtFOSA]])</f>
        <v>#NUM!</v>
      </c>
      <c r="AF65" t="e">
        <f>LOG(Table1_1__2[[#This Row],[N-MeFOSE]])</f>
        <v>#NUM!</v>
      </c>
      <c r="AG65" t="e">
        <f>LOG(Table1_1__2[[#This Row],[N-EtFOSE]])</f>
        <v>#NUM!</v>
      </c>
      <c r="AH65" t="e">
        <f>LOG(Table1_1__2[[#This Row],[HFPO-DA]])</f>
        <v>#NUM!</v>
      </c>
      <c r="AI65" t="e">
        <f>LOG(Table1_1__2[[#This Row],[PFMBA]])</f>
        <v>#NUM!</v>
      </c>
      <c r="AJ65" t="e">
        <f>LOG(Table1_1__2[[#This Row],[NFDHA]])</f>
        <v>#NUM!</v>
      </c>
      <c r="AK65" t="e">
        <f>LOG(Table1_1__2[[#This Row],[9Cl-PF3ONS]])</f>
        <v>#NUM!</v>
      </c>
      <c r="AL65" t="e">
        <f>LOG(Table1_1__2[[#This Row],[11Cl-PF3OUdS]])</f>
        <v>#NUM!</v>
      </c>
      <c r="AM65" t="e">
        <f>LOG(Table1_1__2[[#This Row],[PFEESA]])</f>
        <v>#NUM!</v>
      </c>
      <c r="AN65" t="e">
        <f>LOG(Table1_1__2[[#This Row],[PFMPA]])</f>
        <v>#NUM!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4E3F-7BF0-4BAA-9491-987D87FF8806}">
  <dimension ref="A1:I2401"/>
  <sheetViews>
    <sheetView topLeftCell="A2381" workbookViewId="0">
      <selection sqref="A1:I2401"/>
    </sheetView>
  </sheetViews>
  <sheetFormatPr defaultRowHeight="15.6" x14ac:dyDescent="0.3"/>
  <cols>
    <col min="1" max="1" width="27.59765625" bestFit="1" customWidth="1"/>
    <col min="2" max="2" width="14.296875" bestFit="1" customWidth="1"/>
    <col min="3" max="3" width="9.09765625" bestFit="1" customWidth="1"/>
    <col min="4" max="4" width="10.296875" bestFit="1" customWidth="1"/>
    <col min="5" max="5" width="12.5" bestFit="1" customWidth="1"/>
    <col min="6" max="6" width="11.8984375" bestFit="1" customWidth="1"/>
    <col min="7" max="8" width="11.8984375" customWidth="1"/>
    <col min="9" max="9" width="8.29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47</v>
      </c>
      <c r="G1" t="s">
        <v>55</v>
      </c>
      <c r="H1" t="s">
        <v>56</v>
      </c>
      <c r="I1" t="s">
        <v>48</v>
      </c>
    </row>
    <row r="2" spans="1:9" x14ac:dyDescent="0.3">
      <c r="A2" t="s">
        <v>25</v>
      </c>
      <c r="B2" s="1">
        <v>44288</v>
      </c>
      <c r="C2" s="1" t="str">
        <f>TEXT(B2,"yy")&amp;TEXT((B2-DATEVALUE("1/1/"&amp;TEXT(B2,"yy"))+1),"000")</f>
        <v>21092</v>
      </c>
      <c r="D2" t="s">
        <v>26</v>
      </c>
      <c r="E2" t="s">
        <v>27</v>
      </c>
      <c r="F2" t="s">
        <v>5</v>
      </c>
      <c r="G2" t="str">
        <f>_xlfn.XLOOKUP(Table1_1[[#This Row],[Parameter]],[1]analyte_order!$B:$B,[1]analyte_order!$C:$C)</f>
        <v>375-22-4</v>
      </c>
      <c r="H2">
        <f>_xlfn.XLOOKUP(Table1_1[[#This Row],[CAS_rn]],[1]analyte_order!$C:$C,[1]analyte_order!$E:$E)</f>
        <v>1</v>
      </c>
      <c r="I2">
        <v>0.08</v>
      </c>
    </row>
    <row r="3" spans="1:9" x14ac:dyDescent="0.3">
      <c r="A3" t="s">
        <v>25</v>
      </c>
      <c r="B3" s="1">
        <v>44288</v>
      </c>
      <c r="C3" s="1" t="str">
        <f t="shared" ref="C3:C66" si="0">TEXT(B3,"yy")&amp;TEXT((B3-DATEVALUE("1/1/"&amp;TEXT(B3,"yy"))+1),"000")</f>
        <v>21092</v>
      </c>
      <c r="D3" t="s">
        <v>26</v>
      </c>
      <c r="E3" t="s">
        <v>27</v>
      </c>
      <c r="F3" t="s">
        <v>6</v>
      </c>
      <c r="G3" t="str">
        <f>_xlfn.XLOOKUP(Table1_1[[#This Row],[Parameter]],[1]analyte_order!$B:$B,[1]analyte_order!$C:$C)</f>
        <v>2706-90-3</v>
      </c>
      <c r="H3">
        <f>_xlfn.XLOOKUP(Table1_1[[#This Row],[CAS_rn]],[1]analyte_order!$C:$C,[1]analyte_order!$E:$E)</f>
        <v>2</v>
      </c>
      <c r="I3">
        <v>0.04</v>
      </c>
    </row>
    <row r="4" spans="1:9" x14ac:dyDescent="0.3">
      <c r="A4" t="s">
        <v>25</v>
      </c>
      <c r="B4" s="1">
        <v>44288</v>
      </c>
      <c r="C4" s="1" t="str">
        <f t="shared" si="0"/>
        <v>21092</v>
      </c>
      <c r="D4" t="s">
        <v>26</v>
      </c>
      <c r="E4" t="s">
        <v>27</v>
      </c>
      <c r="F4" t="s">
        <v>7</v>
      </c>
      <c r="G4" t="str">
        <f>_xlfn.XLOOKUP(Table1_1[[#This Row],[Parameter]],[1]analyte_order!$B:$B,[1]analyte_order!$C:$C)</f>
        <v>307-24-4</v>
      </c>
      <c r="H4">
        <f>_xlfn.XLOOKUP(Table1_1[[#This Row],[CAS_rn]],[1]analyte_order!$C:$C,[1]analyte_order!$E:$E)</f>
        <v>3</v>
      </c>
      <c r="I4">
        <v>0.17</v>
      </c>
    </row>
    <row r="5" spans="1:9" x14ac:dyDescent="0.3">
      <c r="A5" t="s">
        <v>25</v>
      </c>
      <c r="B5" s="1">
        <v>44288</v>
      </c>
      <c r="C5" s="1" t="str">
        <f t="shared" si="0"/>
        <v>21092</v>
      </c>
      <c r="D5" t="s">
        <v>26</v>
      </c>
      <c r="E5" t="s">
        <v>27</v>
      </c>
      <c r="F5" t="s">
        <v>8</v>
      </c>
      <c r="G5" t="str">
        <f>_xlfn.XLOOKUP(Table1_1[[#This Row],[Parameter]],[1]analyte_order!$B:$B,[1]analyte_order!$C:$C)</f>
        <v>375-85-9</v>
      </c>
      <c r="H5">
        <f>_xlfn.XLOOKUP(Table1_1[[#This Row],[CAS_rn]],[1]analyte_order!$C:$C,[1]analyte_order!$E:$E)</f>
        <v>4</v>
      </c>
      <c r="I5">
        <v>0.02</v>
      </c>
    </row>
    <row r="6" spans="1:9" x14ac:dyDescent="0.3">
      <c r="A6" t="s">
        <v>25</v>
      </c>
      <c r="B6" s="1">
        <v>44288</v>
      </c>
      <c r="C6" s="1" t="str">
        <f t="shared" si="0"/>
        <v>21092</v>
      </c>
      <c r="D6" t="s">
        <v>26</v>
      </c>
      <c r="E6" t="s">
        <v>27</v>
      </c>
      <c r="F6" t="s">
        <v>9</v>
      </c>
      <c r="G6" t="str">
        <f>_xlfn.XLOOKUP(Table1_1[[#This Row],[Parameter]],[1]analyte_order!$B:$B,[1]analyte_order!$C:$C)</f>
        <v>335-67-1</v>
      </c>
      <c r="H6">
        <f>_xlfn.XLOOKUP(Table1_1[[#This Row],[CAS_rn]],[1]analyte_order!$C:$C,[1]analyte_order!$E:$E)</f>
        <v>5</v>
      </c>
      <c r="I6">
        <v>0.33200000000000002</v>
      </c>
    </row>
    <row r="7" spans="1:9" x14ac:dyDescent="0.3">
      <c r="A7" t="s">
        <v>25</v>
      </c>
      <c r="B7" s="1">
        <v>44288</v>
      </c>
      <c r="C7" s="1" t="str">
        <f t="shared" si="0"/>
        <v>21092</v>
      </c>
      <c r="D7" t="s">
        <v>26</v>
      </c>
      <c r="E7" t="s">
        <v>27</v>
      </c>
      <c r="F7" t="s">
        <v>10</v>
      </c>
      <c r="G7" t="str">
        <f>_xlfn.XLOOKUP(Table1_1[[#This Row],[Parameter]],[1]analyte_order!$B:$B,[1]analyte_order!$C:$C)</f>
        <v>375-95-1</v>
      </c>
      <c r="H7">
        <f>_xlfn.XLOOKUP(Table1_1[[#This Row],[CAS_rn]],[1]analyte_order!$C:$C,[1]analyte_order!$E:$E)</f>
        <v>6</v>
      </c>
      <c r="I7">
        <v>6.6000000000000003E-2</v>
      </c>
    </row>
    <row r="8" spans="1:9" x14ac:dyDescent="0.3">
      <c r="A8" t="s">
        <v>25</v>
      </c>
      <c r="B8" s="1">
        <v>44288</v>
      </c>
      <c r="C8" s="1" t="str">
        <f t="shared" si="0"/>
        <v>21092</v>
      </c>
      <c r="D8" t="s">
        <v>26</v>
      </c>
      <c r="E8" t="s">
        <v>27</v>
      </c>
      <c r="F8" t="s">
        <v>11</v>
      </c>
      <c r="G8" t="str">
        <f>_xlfn.XLOOKUP(Table1_1[[#This Row],[Parameter]],[1]analyte_order!$B:$B,[1]analyte_order!$C:$C)</f>
        <v>335-76-2</v>
      </c>
      <c r="H8">
        <f>_xlfn.XLOOKUP(Table1_1[[#This Row],[CAS_rn]],[1]analyte_order!$C:$C,[1]analyte_order!$E:$E)</f>
        <v>7</v>
      </c>
      <c r="I8">
        <v>0.02</v>
      </c>
    </row>
    <row r="9" spans="1:9" x14ac:dyDescent="0.3">
      <c r="A9" t="s">
        <v>25</v>
      </c>
      <c r="B9" s="1">
        <v>44288</v>
      </c>
      <c r="C9" s="1" t="str">
        <f t="shared" si="0"/>
        <v>21092</v>
      </c>
      <c r="D9" t="s">
        <v>26</v>
      </c>
      <c r="E9" t="s">
        <v>27</v>
      </c>
      <c r="F9" t="s">
        <v>12</v>
      </c>
      <c r="G9" t="str">
        <f>_xlfn.XLOOKUP(Table1_1[[#This Row],[Parameter]],[1]analyte_order!$B:$B,[1]analyte_order!$C:$C)</f>
        <v>2058-94-8</v>
      </c>
      <c r="H9">
        <f>_xlfn.XLOOKUP(Table1_1[[#This Row],[CAS_rn]],[1]analyte_order!$C:$C,[1]analyte_order!$E:$E)</f>
        <v>8</v>
      </c>
      <c r="I9">
        <v>0.02</v>
      </c>
    </row>
    <row r="10" spans="1:9" x14ac:dyDescent="0.3">
      <c r="A10" t="s">
        <v>25</v>
      </c>
      <c r="B10" s="1">
        <v>44288</v>
      </c>
      <c r="C10" s="1" t="str">
        <f t="shared" si="0"/>
        <v>21092</v>
      </c>
      <c r="D10" t="s">
        <v>26</v>
      </c>
      <c r="E10" t="s">
        <v>27</v>
      </c>
      <c r="F10" t="s">
        <v>13</v>
      </c>
      <c r="G10" t="str">
        <f>_xlfn.XLOOKUP(Table1_1[[#This Row],[Parameter]],[1]analyte_order!$B:$B,[1]analyte_order!$C:$C)</f>
        <v>307-55-1</v>
      </c>
      <c r="H10">
        <f>_xlfn.XLOOKUP(Table1_1[[#This Row],[CAS_rn]],[1]analyte_order!$C:$C,[1]analyte_order!$E:$E)</f>
        <v>9</v>
      </c>
      <c r="I10">
        <v>0.02</v>
      </c>
    </row>
    <row r="11" spans="1:9" x14ac:dyDescent="0.3">
      <c r="A11" t="s">
        <v>25</v>
      </c>
      <c r="B11" s="1">
        <v>44288</v>
      </c>
      <c r="C11" s="1" t="str">
        <f t="shared" si="0"/>
        <v>21092</v>
      </c>
      <c r="D11" t="s">
        <v>26</v>
      </c>
      <c r="E11" t="s">
        <v>27</v>
      </c>
      <c r="F11" t="s">
        <v>14</v>
      </c>
      <c r="G11" t="str">
        <f>_xlfn.XLOOKUP(Table1_1[[#This Row],[Parameter]],[1]analyte_order!$B:$B,[1]analyte_order!$C:$C)</f>
        <v>72629-94-8</v>
      </c>
      <c r="H11">
        <f>_xlfn.XLOOKUP(Table1_1[[#This Row],[CAS_rn]],[1]analyte_order!$C:$C,[1]analyte_order!$E:$E)</f>
        <v>10</v>
      </c>
      <c r="I11">
        <v>0.02</v>
      </c>
    </row>
    <row r="12" spans="1:9" x14ac:dyDescent="0.3">
      <c r="A12" t="s">
        <v>25</v>
      </c>
      <c r="B12" s="1">
        <v>44288</v>
      </c>
      <c r="C12" s="1" t="str">
        <f t="shared" si="0"/>
        <v>21092</v>
      </c>
      <c r="D12" t="s">
        <v>26</v>
      </c>
      <c r="E12" t="s">
        <v>27</v>
      </c>
      <c r="F12" t="s">
        <v>15</v>
      </c>
      <c r="G12" t="str">
        <f>_xlfn.XLOOKUP(Table1_1[[#This Row],[Parameter]],[1]analyte_order!$B:$B,[1]analyte_order!$C:$C)</f>
        <v>376-06-7</v>
      </c>
      <c r="H12">
        <f>_xlfn.XLOOKUP(Table1_1[[#This Row],[CAS_rn]],[1]analyte_order!$C:$C,[1]analyte_order!$E:$E)</f>
        <v>11</v>
      </c>
      <c r="I12">
        <v>0.02</v>
      </c>
    </row>
    <row r="13" spans="1:9" x14ac:dyDescent="0.3">
      <c r="A13" t="s">
        <v>25</v>
      </c>
      <c r="B13" s="1">
        <v>44288</v>
      </c>
      <c r="C13" s="1" t="str">
        <f t="shared" si="0"/>
        <v>21092</v>
      </c>
      <c r="D13" t="s">
        <v>26</v>
      </c>
      <c r="E13" t="s">
        <v>27</v>
      </c>
      <c r="F13" t="s">
        <v>16</v>
      </c>
      <c r="G13" t="str">
        <f>_xlfn.XLOOKUP(Table1_1[[#This Row],[Parameter]],[1]analyte_order!$B:$B,[1]analyte_order!$C:$C)</f>
        <v>375-73-5</v>
      </c>
      <c r="H13">
        <f>_xlfn.XLOOKUP(Table1_1[[#This Row],[CAS_rn]],[1]analyte_order!$C:$C,[1]analyte_order!$E:$E)</f>
        <v>14</v>
      </c>
      <c r="I13">
        <v>0.02</v>
      </c>
    </row>
    <row r="14" spans="1:9" x14ac:dyDescent="0.3">
      <c r="A14" t="s">
        <v>25</v>
      </c>
      <c r="B14" s="1">
        <v>44288</v>
      </c>
      <c r="C14" s="1" t="str">
        <f t="shared" si="0"/>
        <v>21092</v>
      </c>
      <c r="D14" t="s">
        <v>26</v>
      </c>
      <c r="E14" t="s">
        <v>27</v>
      </c>
      <c r="F14" t="s">
        <v>17</v>
      </c>
      <c r="G14" t="str">
        <f>_xlfn.XLOOKUP(Table1_1[[#This Row],[Parameter]],[1]analyte_order!$B:$B,[1]analyte_order!$C:$C)</f>
        <v>2706-91-4</v>
      </c>
      <c r="H14">
        <f>_xlfn.XLOOKUP(Table1_1[[#This Row],[CAS_rn]],[1]analyte_order!$C:$C,[1]analyte_order!$E:$E)</f>
        <v>15</v>
      </c>
      <c r="I14">
        <v>0.02</v>
      </c>
    </row>
    <row r="15" spans="1:9" x14ac:dyDescent="0.3">
      <c r="A15" t="s">
        <v>25</v>
      </c>
      <c r="B15" s="1">
        <v>44288</v>
      </c>
      <c r="C15" s="1" t="str">
        <f t="shared" si="0"/>
        <v>21092</v>
      </c>
      <c r="D15" t="s">
        <v>26</v>
      </c>
      <c r="E15" t="s">
        <v>27</v>
      </c>
      <c r="F15" t="s">
        <v>18</v>
      </c>
      <c r="G15" t="str">
        <f>_xlfn.XLOOKUP(Table1_1[[#This Row],[Parameter]],[1]analyte_order!$B:$B,[1]analyte_order!$C:$C)</f>
        <v>355-46-4</v>
      </c>
      <c r="H15">
        <f>_xlfn.XLOOKUP(Table1_1[[#This Row],[CAS_rn]],[1]analyte_order!$C:$C,[1]analyte_order!$E:$E)</f>
        <v>16</v>
      </c>
      <c r="I15">
        <v>0.33</v>
      </c>
    </row>
    <row r="16" spans="1:9" x14ac:dyDescent="0.3">
      <c r="A16" t="s">
        <v>25</v>
      </c>
      <c r="B16" s="1">
        <v>44288</v>
      </c>
      <c r="C16" s="1" t="str">
        <f t="shared" si="0"/>
        <v>21092</v>
      </c>
      <c r="D16" t="s">
        <v>26</v>
      </c>
      <c r="E16" t="s">
        <v>27</v>
      </c>
      <c r="F16" t="s">
        <v>19</v>
      </c>
      <c r="G16" t="str">
        <f>_xlfn.XLOOKUP(Table1_1[[#This Row],[Parameter]],[1]analyte_order!$B:$B,[1]analyte_order!$C:$C)</f>
        <v>375-92-8</v>
      </c>
      <c r="H16">
        <f>_xlfn.XLOOKUP(Table1_1[[#This Row],[CAS_rn]],[1]analyte_order!$C:$C,[1]analyte_order!$E:$E)</f>
        <v>17</v>
      </c>
      <c r="I16">
        <v>0.02</v>
      </c>
    </row>
    <row r="17" spans="1:9" x14ac:dyDescent="0.3">
      <c r="A17" t="s">
        <v>25</v>
      </c>
      <c r="B17" s="1">
        <v>44288</v>
      </c>
      <c r="C17" s="1" t="str">
        <f t="shared" si="0"/>
        <v>21092</v>
      </c>
      <c r="D17" t="s">
        <v>26</v>
      </c>
      <c r="E17" t="s">
        <v>27</v>
      </c>
      <c r="F17" t="s">
        <v>20</v>
      </c>
      <c r="G17" t="str">
        <f>_xlfn.XLOOKUP(Table1_1[[#This Row],[Parameter]],[1]analyte_order!$B:$B,[1]analyte_order!$C:$C)</f>
        <v>1763-23-1</v>
      </c>
      <c r="H17">
        <f>_xlfn.XLOOKUP(Table1_1[[#This Row],[CAS_rn]],[1]analyte_order!$C:$C,[1]analyte_order!$E:$E)</f>
        <v>18</v>
      </c>
      <c r="I17">
        <v>0.97199999999999998</v>
      </c>
    </row>
    <row r="18" spans="1:9" x14ac:dyDescent="0.3">
      <c r="A18" t="s">
        <v>25</v>
      </c>
      <c r="B18" s="1">
        <v>44288</v>
      </c>
      <c r="C18" s="1" t="str">
        <f t="shared" si="0"/>
        <v>21092</v>
      </c>
      <c r="D18" t="s">
        <v>26</v>
      </c>
      <c r="E18" t="s">
        <v>27</v>
      </c>
      <c r="F18" t="s">
        <v>21</v>
      </c>
      <c r="G18" t="str">
        <f>_xlfn.XLOOKUP(Table1_1[[#This Row],[Parameter]],[1]analyte_order!$B:$B,[1]analyte_order!$C:$C)</f>
        <v>68259-12-1</v>
      </c>
      <c r="H18">
        <f>_xlfn.XLOOKUP(Table1_1[[#This Row],[CAS_rn]],[1]analyte_order!$C:$C,[1]analyte_order!$E:$E)</f>
        <v>19</v>
      </c>
      <c r="I18">
        <v>0.02</v>
      </c>
    </row>
    <row r="19" spans="1:9" x14ac:dyDescent="0.3">
      <c r="A19" t="s">
        <v>25</v>
      </c>
      <c r="B19" s="1">
        <v>44288</v>
      </c>
      <c r="C19" s="1" t="str">
        <f t="shared" si="0"/>
        <v>21092</v>
      </c>
      <c r="D19" t="s">
        <v>26</v>
      </c>
      <c r="E19" t="s">
        <v>27</v>
      </c>
      <c r="F19" t="s">
        <v>22</v>
      </c>
      <c r="G19" t="str">
        <f>_xlfn.XLOOKUP(Table1_1[[#This Row],[Parameter]],[1]analyte_order!$B:$B,[1]analyte_order!$C:$C)</f>
        <v>335-77-3</v>
      </c>
      <c r="H19">
        <f>_xlfn.XLOOKUP(Table1_1[[#This Row],[CAS_rn]],[1]analyte_order!$C:$C,[1]analyte_order!$E:$E)</f>
        <v>20</v>
      </c>
      <c r="I19">
        <v>0.02</v>
      </c>
    </row>
    <row r="20" spans="1:9" x14ac:dyDescent="0.3">
      <c r="A20" t="s">
        <v>25</v>
      </c>
      <c r="B20" s="1">
        <v>44288</v>
      </c>
      <c r="C20" s="1" t="str">
        <f t="shared" si="0"/>
        <v>21092</v>
      </c>
      <c r="D20" t="s">
        <v>26</v>
      </c>
      <c r="E20" t="s">
        <v>27</v>
      </c>
      <c r="F20" t="s">
        <v>23</v>
      </c>
      <c r="G20" t="str">
        <f>_xlfn.XLOOKUP(Table1_1[[#This Row],[Parameter]],[1]analyte_order!$B:$B,[1]analyte_order!$C:$C)</f>
        <v>79780-39-5</v>
      </c>
      <c r="H20">
        <f>_xlfn.XLOOKUP(Table1_1[[#This Row],[CAS_rn]],[1]analyte_order!$C:$C,[1]analyte_order!$E:$E)</f>
        <v>21</v>
      </c>
      <c r="I20">
        <v>0.02</v>
      </c>
    </row>
    <row r="21" spans="1:9" x14ac:dyDescent="0.3">
      <c r="A21" t="s">
        <v>25</v>
      </c>
      <c r="B21" s="1">
        <v>44288</v>
      </c>
      <c r="C21" s="1" t="str">
        <f t="shared" si="0"/>
        <v>21092</v>
      </c>
      <c r="D21" t="s">
        <v>26</v>
      </c>
      <c r="E21" t="s">
        <v>27</v>
      </c>
      <c r="F21" t="s">
        <v>49</v>
      </c>
      <c r="G21" t="str">
        <f>_xlfn.XLOOKUP(Table1_1[[#This Row],[Parameter]],[1]analyte_order!$B:$B,[1]analyte_order!$C:$C)</f>
        <v>757124-72-4</v>
      </c>
      <c r="H21">
        <f>_xlfn.XLOOKUP(Table1_1[[#This Row],[CAS_rn]],[1]analyte_order!$C:$C,[1]analyte_order!$E:$E)</f>
        <v>22</v>
      </c>
      <c r="I21">
        <v>0.08</v>
      </c>
    </row>
    <row r="22" spans="1:9" x14ac:dyDescent="0.3">
      <c r="A22" t="s">
        <v>25</v>
      </c>
      <c r="B22" s="1">
        <v>44288</v>
      </c>
      <c r="C22" s="1" t="str">
        <f t="shared" si="0"/>
        <v>21092</v>
      </c>
      <c r="D22" t="s">
        <v>26</v>
      </c>
      <c r="E22" t="s">
        <v>27</v>
      </c>
      <c r="F22" t="s">
        <v>50</v>
      </c>
      <c r="G22" t="str">
        <f>_xlfn.XLOOKUP(Table1_1[[#This Row],[Parameter]],[1]analyte_order!$B:$B,[1]analyte_order!$C:$C)</f>
        <v>27619-97-2</v>
      </c>
      <c r="H22">
        <f>_xlfn.XLOOKUP(Table1_1[[#This Row],[CAS_rn]],[1]analyte_order!$C:$C,[1]analyte_order!$E:$E)</f>
        <v>23</v>
      </c>
      <c r="I22">
        <v>0.08</v>
      </c>
    </row>
    <row r="23" spans="1:9" x14ac:dyDescent="0.3">
      <c r="A23" t="s">
        <v>25</v>
      </c>
      <c r="B23" s="1">
        <v>44288</v>
      </c>
      <c r="C23" s="1" t="str">
        <f t="shared" si="0"/>
        <v>21092</v>
      </c>
      <c r="D23" t="s">
        <v>26</v>
      </c>
      <c r="E23" t="s">
        <v>27</v>
      </c>
      <c r="F23" t="s">
        <v>51</v>
      </c>
      <c r="G23" t="str">
        <f>_xlfn.XLOOKUP(Table1_1[[#This Row],[Parameter]],[1]analyte_order!$B:$B,[1]analyte_order!$C:$C)</f>
        <v>39108-34-4</v>
      </c>
      <c r="H23">
        <f>_xlfn.XLOOKUP(Table1_1[[#This Row],[CAS_rn]],[1]analyte_order!$C:$C,[1]analyte_order!$E:$E)</f>
        <v>24</v>
      </c>
      <c r="I23">
        <v>0.08</v>
      </c>
    </row>
    <row r="24" spans="1:9" x14ac:dyDescent="0.3">
      <c r="A24" t="s">
        <v>25</v>
      </c>
      <c r="B24" s="1">
        <v>44288</v>
      </c>
      <c r="C24" s="1" t="str">
        <f t="shared" si="0"/>
        <v>21092</v>
      </c>
      <c r="D24" t="s">
        <v>26</v>
      </c>
      <c r="E24" t="s">
        <v>27</v>
      </c>
      <c r="F24" t="s">
        <v>60</v>
      </c>
      <c r="G24" t="str">
        <f>_xlfn.XLOOKUP(Table1_1[[#This Row],[Parameter]],[1]analyte_order!$B:$B,[1]analyte_order!$C:$C)</f>
        <v>754-91-6</v>
      </c>
      <c r="H24">
        <f>_xlfn.XLOOKUP(Table1_1[[#This Row],[CAS_rn]],[1]analyte_order!$C:$C,[1]analyte_order!$E:$E)</f>
        <v>28</v>
      </c>
      <c r="I24">
        <v>0.02</v>
      </c>
    </row>
    <row r="25" spans="1:9" x14ac:dyDescent="0.3">
      <c r="A25" t="s">
        <v>25</v>
      </c>
      <c r="B25" s="1">
        <v>44288</v>
      </c>
      <c r="C25" s="1" t="str">
        <f t="shared" si="0"/>
        <v>21092</v>
      </c>
      <c r="D25" t="s">
        <v>26</v>
      </c>
      <c r="E25" t="s">
        <v>27</v>
      </c>
      <c r="F25" t="s">
        <v>58</v>
      </c>
      <c r="G25" t="str">
        <f>_xlfn.XLOOKUP(Table1_1[[#This Row],[Parameter]],[1]analyte_order!$B:$B,[1]analyte_order!$C:$C)</f>
        <v>31506-32-8</v>
      </c>
      <c r="H25">
        <f>_xlfn.XLOOKUP(Table1_1[[#This Row],[CAS_rn]],[1]analyte_order!$C:$C,[1]analyte_order!$E:$E)</f>
        <v>30</v>
      </c>
      <c r="I25">
        <v>0.02</v>
      </c>
    </row>
    <row r="26" spans="1:9" x14ac:dyDescent="0.3">
      <c r="A26" t="s">
        <v>25</v>
      </c>
      <c r="B26" s="1">
        <v>44288</v>
      </c>
      <c r="C26" s="1" t="str">
        <f t="shared" si="0"/>
        <v>21092</v>
      </c>
      <c r="D26" t="s">
        <v>26</v>
      </c>
      <c r="E26" t="s">
        <v>27</v>
      </c>
      <c r="F26" t="s">
        <v>59</v>
      </c>
      <c r="G26" t="str">
        <f>_xlfn.XLOOKUP(Table1_1[[#This Row],[Parameter]],[1]analyte_order!$B:$B,[1]analyte_order!$C:$C)</f>
        <v>2355-31-9</v>
      </c>
      <c r="H26">
        <f>_xlfn.XLOOKUP(Table1_1[[#This Row],[CAS_rn]],[1]analyte_order!$C:$C,[1]analyte_order!$E:$E)</f>
        <v>26</v>
      </c>
      <c r="I26">
        <v>0.02</v>
      </c>
    </row>
    <row r="27" spans="1:9" x14ac:dyDescent="0.3">
      <c r="A27" t="s">
        <v>25</v>
      </c>
      <c r="B27" s="1">
        <v>44288</v>
      </c>
      <c r="C27" s="1" t="str">
        <f t="shared" si="0"/>
        <v>21092</v>
      </c>
      <c r="D27" t="s">
        <v>26</v>
      </c>
      <c r="E27" t="s">
        <v>27</v>
      </c>
      <c r="F27" t="s">
        <v>57</v>
      </c>
      <c r="G27" t="str">
        <f>_xlfn.XLOOKUP(Table1_1[[#This Row],[Parameter]],[1]analyte_order!$B:$B,[1]analyte_order!$C:$C)</f>
        <v>2991-50-6</v>
      </c>
      <c r="H27">
        <f>_xlfn.XLOOKUP(Table1_1[[#This Row],[CAS_rn]],[1]analyte_order!$C:$C,[1]analyte_order!$E:$E)</f>
        <v>27</v>
      </c>
      <c r="I27">
        <v>0.02</v>
      </c>
    </row>
    <row r="28" spans="1:9" x14ac:dyDescent="0.3">
      <c r="A28" t="s">
        <v>25</v>
      </c>
      <c r="B28" s="1">
        <v>44288</v>
      </c>
      <c r="C28" s="1" t="str">
        <f t="shared" si="0"/>
        <v>21092</v>
      </c>
      <c r="D28" t="s">
        <v>26</v>
      </c>
      <c r="E28" t="s">
        <v>27</v>
      </c>
      <c r="F28" t="s">
        <v>24</v>
      </c>
      <c r="G28" t="str">
        <f>_xlfn.XLOOKUP(Table1_1[[#This Row],[Parameter]],[1]analyte_order!$B:$B,[1]analyte_order!$C:$C)</f>
        <v>919005-14-4</v>
      </c>
      <c r="H28">
        <f>_xlfn.XLOOKUP(Table1_1[[#This Row],[CAS_rn]],[1]analyte_order!$C:$C,[1]analyte_order!$E:$E)</f>
        <v>35</v>
      </c>
      <c r="I28">
        <v>0.08</v>
      </c>
    </row>
    <row r="29" spans="1:9" x14ac:dyDescent="0.3">
      <c r="A29" t="s">
        <v>25</v>
      </c>
      <c r="B29" s="1">
        <v>44288</v>
      </c>
      <c r="C29" s="1" t="str">
        <f t="shared" si="0"/>
        <v>21092</v>
      </c>
      <c r="D29" t="s">
        <v>26</v>
      </c>
      <c r="E29" t="s">
        <v>27</v>
      </c>
      <c r="F29" t="s">
        <v>52</v>
      </c>
      <c r="G29" t="str">
        <f>_xlfn.XLOOKUP(Table1_1[[#This Row],[Parameter]],[1]analyte_order!$B:$B,[1]analyte_order!$C:$C)</f>
        <v>356-02-5</v>
      </c>
      <c r="H29">
        <f>_xlfn.XLOOKUP(Table1_1[[#This Row],[CAS_rn]],[1]analyte_order!$C:$C,[1]analyte_order!$E:$E)</f>
        <v>38</v>
      </c>
      <c r="I29">
        <v>0.08</v>
      </c>
    </row>
    <row r="30" spans="1:9" x14ac:dyDescent="0.3">
      <c r="A30" t="s">
        <v>25</v>
      </c>
      <c r="B30" s="1">
        <v>44288</v>
      </c>
      <c r="C30" s="1" t="str">
        <f t="shared" si="0"/>
        <v>21092</v>
      </c>
      <c r="D30" t="s">
        <v>26</v>
      </c>
      <c r="E30" t="s">
        <v>27</v>
      </c>
      <c r="F30" t="s">
        <v>53</v>
      </c>
      <c r="G30" t="str">
        <f>_xlfn.XLOOKUP(Table1_1[[#This Row],[Parameter]],[1]analyte_order!$B:$B,[1]analyte_order!$C:$C)</f>
        <v>914637-49-3</v>
      </c>
      <c r="H30">
        <f>_xlfn.XLOOKUP(Table1_1[[#This Row],[CAS_rn]],[1]analyte_order!$C:$C,[1]analyte_order!$E:$E)</f>
        <v>39</v>
      </c>
      <c r="I30">
        <v>0.5</v>
      </c>
    </row>
    <row r="31" spans="1:9" x14ac:dyDescent="0.3">
      <c r="A31" t="s">
        <v>25</v>
      </c>
      <c r="B31" s="1">
        <v>44288</v>
      </c>
      <c r="C31" s="1" t="str">
        <f t="shared" si="0"/>
        <v>21092</v>
      </c>
      <c r="D31" t="s">
        <v>26</v>
      </c>
      <c r="E31" t="s">
        <v>27</v>
      </c>
      <c r="F31" t="s">
        <v>54</v>
      </c>
      <c r="G31" t="str">
        <f>_xlfn.XLOOKUP(Table1_1[[#This Row],[Parameter]],[1]analyte_order!$B:$B,[1]analyte_order!$C:$C)</f>
        <v>812-70-4</v>
      </c>
      <c r="H31">
        <f>_xlfn.XLOOKUP(Table1_1[[#This Row],[CAS_rn]],[1]analyte_order!$C:$C,[1]analyte_order!$E:$E)</f>
        <v>40</v>
      </c>
      <c r="I31">
        <v>0.5</v>
      </c>
    </row>
    <row r="32" spans="1:9" x14ac:dyDescent="0.3">
      <c r="A32" t="s">
        <v>28</v>
      </c>
      <c r="B32" s="1">
        <v>44288</v>
      </c>
      <c r="C32" s="1" t="str">
        <f t="shared" si="0"/>
        <v>21092</v>
      </c>
      <c r="D32" t="s">
        <v>29</v>
      </c>
      <c r="E32" t="s">
        <v>27</v>
      </c>
      <c r="F32" t="s">
        <v>5</v>
      </c>
      <c r="G32" t="str">
        <f>_xlfn.XLOOKUP(Table1_1[[#This Row],[Parameter]],[1]analyte_order!$B:$B,[1]analyte_order!$C:$C)</f>
        <v>375-22-4</v>
      </c>
      <c r="H32">
        <f>_xlfn.XLOOKUP(Table1_1[[#This Row],[CAS_rn]],[1]analyte_order!$C:$C,[1]analyte_order!$E:$E)</f>
        <v>1</v>
      </c>
      <c r="I32">
        <v>0.08</v>
      </c>
    </row>
    <row r="33" spans="1:9" x14ac:dyDescent="0.3">
      <c r="A33" t="s">
        <v>28</v>
      </c>
      <c r="B33" s="1">
        <v>44288</v>
      </c>
      <c r="C33" s="1" t="str">
        <f t="shared" si="0"/>
        <v>21092</v>
      </c>
      <c r="D33" t="s">
        <v>29</v>
      </c>
      <c r="E33" t="s">
        <v>27</v>
      </c>
      <c r="F33" t="s">
        <v>6</v>
      </c>
      <c r="G33" t="str">
        <f>_xlfn.XLOOKUP(Table1_1[[#This Row],[Parameter]],[1]analyte_order!$B:$B,[1]analyte_order!$C:$C)</f>
        <v>2706-90-3</v>
      </c>
      <c r="H33">
        <f>_xlfn.XLOOKUP(Table1_1[[#This Row],[CAS_rn]],[1]analyte_order!$C:$C,[1]analyte_order!$E:$E)</f>
        <v>2</v>
      </c>
      <c r="I33">
        <v>0.04</v>
      </c>
    </row>
    <row r="34" spans="1:9" x14ac:dyDescent="0.3">
      <c r="A34" t="s">
        <v>28</v>
      </c>
      <c r="B34" s="1">
        <v>44288</v>
      </c>
      <c r="C34" s="1" t="str">
        <f t="shared" si="0"/>
        <v>21092</v>
      </c>
      <c r="D34" t="s">
        <v>29</v>
      </c>
      <c r="E34" t="s">
        <v>27</v>
      </c>
      <c r="F34" t="s">
        <v>7</v>
      </c>
      <c r="G34" t="str">
        <f>_xlfn.XLOOKUP(Table1_1[[#This Row],[Parameter]],[1]analyte_order!$B:$B,[1]analyte_order!$C:$C)</f>
        <v>307-24-4</v>
      </c>
      <c r="H34">
        <f>_xlfn.XLOOKUP(Table1_1[[#This Row],[CAS_rn]],[1]analyte_order!$C:$C,[1]analyte_order!$E:$E)</f>
        <v>3</v>
      </c>
      <c r="I34">
        <v>0.02</v>
      </c>
    </row>
    <row r="35" spans="1:9" x14ac:dyDescent="0.3">
      <c r="A35" t="s">
        <v>28</v>
      </c>
      <c r="B35" s="1">
        <v>44288</v>
      </c>
      <c r="C35" s="1" t="str">
        <f t="shared" si="0"/>
        <v>21092</v>
      </c>
      <c r="D35" t="s">
        <v>29</v>
      </c>
      <c r="E35" t="s">
        <v>27</v>
      </c>
      <c r="F35" t="s">
        <v>8</v>
      </c>
      <c r="G35" t="str">
        <f>_xlfn.XLOOKUP(Table1_1[[#This Row],[Parameter]],[1]analyte_order!$B:$B,[1]analyte_order!$C:$C)</f>
        <v>375-85-9</v>
      </c>
      <c r="H35">
        <f>_xlfn.XLOOKUP(Table1_1[[#This Row],[CAS_rn]],[1]analyte_order!$C:$C,[1]analyte_order!$E:$E)</f>
        <v>4</v>
      </c>
      <c r="I35">
        <v>0.02</v>
      </c>
    </row>
    <row r="36" spans="1:9" x14ac:dyDescent="0.3">
      <c r="A36" t="s">
        <v>28</v>
      </c>
      <c r="B36" s="1">
        <v>44288</v>
      </c>
      <c r="C36" s="1" t="str">
        <f t="shared" si="0"/>
        <v>21092</v>
      </c>
      <c r="D36" t="s">
        <v>29</v>
      </c>
      <c r="E36" t="s">
        <v>27</v>
      </c>
      <c r="F36" t="s">
        <v>9</v>
      </c>
      <c r="G36" t="str">
        <f>_xlfn.XLOOKUP(Table1_1[[#This Row],[Parameter]],[1]analyte_order!$B:$B,[1]analyte_order!$C:$C)</f>
        <v>335-67-1</v>
      </c>
      <c r="H36">
        <f>_xlfn.XLOOKUP(Table1_1[[#This Row],[CAS_rn]],[1]analyte_order!$C:$C,[1]analyte_order!$E:$E)</f>
        <v>5</v>
      </c>
      <c r="I36">
        <v>4.3999999999999997E-2</v>
      </c>
    </row>
    <row r="37" spans="1:9" x14ac:dyDescent="0.3">
      <c r="A37" t="s">
        <v>28</v>
      </c>
      <c r="B37" s="1">
        <v>44288</v>
      </c>
      <c r="C37" s="1" t="str">
        <f t="shared" si="0"/>
        <v>21092</v>
      </c>
      <c r="D37" t="s">
        <v>29</v>
      </c>
      <c r="E37" t="s">
        <v>27</v>
      </c>
      <c r="F37" t="s">
        <v>10</v>
      </c>
      <c r="G37" t="str">
        <f>_xlfn.XLOOKUP(Table1_1[[#This Row],[Parameter]],[1]analyte_order!$B:$B,[1]analyte_order!$C:$C)</f>
        <v>375-95-1</v>
      </c>
      <c r="H37">
        <f>_xlfn.XLOOKUP(Table1_1[[#This Row],[CAS_rn]],[1]analyte_order!$C:$C,[1]analyte_order!$E:$E)</f>
        <v>6</v>
      </c>
      <c r="I37">
        <v>0.02</v>
      </c>
    </row>
    <row r="38" spans="1:9" x14ac:dyDescent="0.3">
      <c r="A38" t="s">
        <v>28</v>
      </c>
      <c r="B38" s="1">
        <v>44288</v>
      </c>
      <c r="C38" s="1" t="str">
        <f t="shared" si="0"/>
        <v>21092</v>
      </c>
      <c r="D38" t="s">
        <v>29</v>
      </c>
      <c r="E38" t="s">
        <v>27</v>
      </c>
      <c r="F38" t="s">
        <v>11</v>
      </c>
      <c r="G38" t="str">
        <f>_xlfn.XLOOKUP(Table1_1[[#This Row],[Parameter]],[1]analyte_order!$B:$B,[1]analyte_order!$C:$C)</f>
        <v>335-76-2</v>
      </c>
      <c r="H38">
        <f>_xlfn.XLOOKUP(Table1_1[[#This Row],[CAS_rn]],[1]analyte_order!$C:$C,[1]analyte_order!$E:$E)</f>
        <v>7</v>
      </c>
      <c r="I38">
        <v>0.02</v>
      </c>
    </row>
    <row r="39" spans="1:9" x14ac:dyDescent="0.3">
      <c r="A39" t="s">
        <v>28</v>
      </c>
      <c r="B39" s="1">
        <v>44288</v>
      </c>
      <c r="C39" s="1" t="str">
        <f t="shared" si="0"/>
        <v>21092</v>
      </c>
      <c r="D39" t="s">
        <v>29</v>
      </c>
      <c r="E39" t="s">
        <v>27</v>
      </c>
      <c r="F39" t="s">
        <v>12</v>
      </c>
      <c r="G39" t="str">
        <f>_xlfn.XLOOKUP(Table1_1[[#This Row],[Parameter]],[1]analyte_order!$B:$B,[1]analyte_order!$C:$C)</f>
        <v>2058-94-8</v>
      </c>
      <c r="H39">
        <f>_xlfn.XLOOKUP(Table1_1[[#This Row],[CAS_rn]],[1]analyte_order!$C:$C,[1]analyte_order!$E:$E)</f>
        <v>8</v>
      </c>
      <c r="I39">
        <v>0.02</v>
      </c>
    </row>
    <row r="40" spans="1:9" x14ac:dyDescent="0.3">
      <c r="A40" t="s">
        <v>28</v>
      </c>
      <c r="B40" s="1">
        <v>44288</v>
      </c>
      <c r="C40" s="1" t="str">
        <f t="shared" si="0"/>
        <v>21092</v>
      </c>
      <c r="D40" t="s">
        <v>29</v>
      </c>
      <c r="E40" t="s">
        <v>27</v>
      </c>
      <c r="F40" t="s">
        <v>13</v>
      </c>
      <c r="G40" t="str">
        <f>_xlfn.XLOOKUP(Table1_1[[#This Row],[Parameter]],[1]analyte_order!$B:$B,[1]analyte_order!$C:$C)</f>
        <v>307-55-1</v>
      </c>
      <c r="H40">
        <f>_xlfn.XLOOKUP(Table1_1[[#This Row],[CAS_rn]],[1]analyte_order!$C:$C,[1]analyte_order!$E:$E)</f>
        <v>9</v>
      </c>
      <c r="I40">
        <v>0.02</v>
      </c>
    </row>
    <row r="41" spans="1:9" x14ac:dyDescent="0.3">
      <c r="A41" t="s">
        <v>28</v>
      </c>
      <c r="B41" s="1">
        <v>44288</v>
      </c>
      <c r="C41" s="1" t="str">
        <f t="shared" si="0"/>
        <v>21092</v>
      </c>
      <c r="D41" t="s">
        <v>29</v>
      </c>
      <c r="E41" t="s">
        <v>27</v>
      </c>
      <c r="F41" t="s">
        <v>14</v>
      </c>
      <c r="G41" t="str">
        <f>_xlfn.XLOOKUP(Table1_1[[#This Row],[Parameter]],[1]analyte_order!$B:$B,[1]analyte_order!$C:$C)</f>
        <v>72629-94-8</v>
      </c>
      <c r="H41">
        <f>_xlfn.XLOOKUP(Table1_1[[#This Row],[CAS_rn]],[1]analyte_order!$C:$C,[1]analyte_order!$E:$E)</f>
        <v>10</v>
      </c>
      <c r="I41">
        <v>0.02</v>
      </c>
    </row>
    <row r="42" spans="1:9" x14ac:dyDescent="0.3">
      <c r="A42" t="s">
        <v>28</v>
      </c>
      <c r="B42" s="1">
        <v>44288</v>
      </c>
      <c r="C42" s="1" t="str">
        <f t="shared" si="0"/>
        <v>21092</v>
      </c>
      <c r="D42" t="s">
        <v>29</v>
      </c>
      <c r="E42" t="s">
        <v>27</v>
      </c>
      <c r="F42" t="s">
        <v>15</v>
      </c>
      <c r="G42" t="str">
        <f>_xlfn.XLOOKUP(Table1_1[[#This Row],[Parameter]],[1]analyte_order!$B:$B,[1]analyte_order!$C:$C)</f>
        <v>376-06-7</v>
      </c>
      <c r="H42">
        <f>_xlfn.XLOOKUP(Table1_1[[#This Row],[CAS_rn]],[1]analyte_order!$C:$C,[1]analyte_order!$E:$E)</f>
        <v>11</v>
      </c>
      <c r="I42">
        <v>0.02</v>
      </c>
    </row>
    <row r="43" spans="1:9" x14ac:dyDescent="0.3">
      <c r="A43" t="s">
        <v>28</v>
      </c>
      <c r="B43" s="1">
        <v>44288</v>
      </c>
      <c r="C43" s="1" t="str">
        <f t="shared" si="0"/>
        <v>21092</v>
      </c>
      <c r="D43" t="s">
        <v>29</v>
      </c>
      <c r="E43" t="s">
        <v>27</v>
      </c>
      <c r="F43" t="s">
        <v>16</v>
      </c>
      <c r="G43" t="str">
        <f>_xlfn.XLOOKUP(Table1_1[[#This Row],[Parameter]],[1]analyte_order!$B:$B,[1]analyte_order!$C:$C)</f>
        <v>375-73-5</v>
      </c>
      <c r="H43">
        <f>_xlfn.XLOOKUP(Table1_1[[#This Row],[CAS_rn]],[1]analyte_order!$C:$C,[1]analyte_order!$E:$E)</f>
        <v>14</v>
      </c>
      <c r="I43">
        <v>0.02</v>
      </c>
    </row>
    <row r="44" spans="1:9" x14ac:dyDescent="0.3">
      <c r="A44" t="s">
        <v>28</v>
      </c>
      <c r="B44" s="1">
        <v>44288</v>
      </c>
      <c r="C44" s="1" t="str">
        <f t="shared" si="0"/>
        <v>21092</v>
      </c>
      <c r="D44" t="s">
        <v>29</v>
      </c>
      <c r="E44" t="s">
        <v>27</v>
      </c>
      <c r="F44" t="s">
        <v>17</v>
      </c>
      <c r="G44" t="str">
        <f>_xlfn.XLOOKUP(Table1_1[[#This Row],[Parameter]],[1]analyte_order!$B:$B,[1]analyte_order!$C:$C)</f>
        <v>2706-91-4</v>
      </c>
      <c r="H44">
        <f>_xlfn.XLOOKUP(Table1_1[[#This Row],[CAS_rn]],[1]analyte_order!$C:$C,[1]analyte_order!$E:$E)</f>
        <v>15</v>
      </c>
      <c r="I44">
        <v>0.02</v>
      </c>
    </row>
    <row r="45" spans="1:9" x14ac:dyDescent="0.3">
      <c r="A45" t="s">
        <v>28</v>
      </c>
      <c r="B45" s="1">
        <v>44288</v>
      </c>
      <c r="C45" s="1" t="str">
        <f t="shared" si="0"/>
        <v>21092</v>
      </c>
      <c r="D45" t="s">
        <v>29</v>
      </c>
      <c r="E45" t="s">
        <v>27</v>
      </c>
      <c r="F45" t="s">
        <v>18</v>
      </c>
      <c r="G45" t="str">
        <f>_xlfn.XLOOKUP(Table1_1[[#This Row],[Parameter]],[1]analyte_order!$B:$B,[1]analyte_order!$C:$C)</f>
        <v>355-46-4</v>
      </c>
      <c r="H45">
        <f>_xlfn.XLOOKUP(Table1_1[[#This Row],[CAS_rn]],[1]analyte_order!$C:$C,[1]analyte_order!$E:$E)</f>
        <v>16</v>
      </c>
      <c r="I45">
        <v>8.2000000000000003E-2</v>
      </c>
    </row>
    <row r="46" spans="1:9" x14ac:dyDescent="0.3">
      <c r="A46" t="s">
        <v>28</v>
      </c>
      <c r="B46" s="1">
        <v>44288</v>
      </c>
      <c r="C46" s="1" t="str">
        <f t="shared" si="0"/>
        <v>21092</v>
      </c>
      <c r="D46" t="s">
        <v>29</v>
      </c>
      <c r="E46" t="s">
        <v>27</v>
      </c>
      <c r="F46" t="s">
        <v>19</v>
      </c>
      <c r="G46" t="str">
        <f>_xlfn.XLOOKUP(Table1_1[[#This Row],[Parameter]],[1]analyte_order!$B:$B,[1]analyte_order!$C:$C)</f>
        <v>375-92-8</v>
      </c>
      <c r="H46">
        <f>_xlfn.XLOOKUP(Table1_1[[#This Row],[CAS_rn]],[1]analyte_order!$C:$C,[1]analyte_order!$E:$E)</f>
        <v>17</v>
      </c>
      <c r="I46">
        <v>0.02</v>
      </c>
    </row>
    <row r="47" spans="1:9" x14ac:dyDescent="0.3">
      <c r="A47" t="s">
        <v>28</v>
      </c>
      <c r="B47" s="1">
        <v>44288</v>
      </c>
      <c r="C47" s="1" t="str">
        <f t="shared" si="0"/>
        <v>21092</v>
      </c>
      <c r="D47" t="s">
        <v>29</v>
      </c>
      <c r="E47" t="s">
        <v>27</v>
      </c>
      <c r="F47" t="s">
        <v>20</v>
      </c>
      <c r="G47" t="str">
        <f>_xlfn.XLOOKUP(Table1_1[[#This Row],[Parameter]],[1]analyte_order!$B:$B,[1]analyte_order!$C:$C)</f>
        <v>1763-23-1</v>
      </c>
      <c r="H47">
        <f>_xlfn.XLOOKUP(Table1_1[[#This Row],[CAS_rn]],[1]analyte_order!$C:$C,[1]analyte_order!$E:$E)</f>
        <v>18</v>
      </c>
      <c r="I47">
        <v>0.65300000000000002</v>
      </c>
    </row>
    <row r="48" spans="1:9" x14ac:dyDescent="0.3">
      <c r="A48" t="s">
        <v>28</v>
      </c>
      <c r="B48" s="1">
        <v>44288</v>
      </c>
      <c r="C48" s="1" t="str">
        <f t="shared" si="0"/>
        <v>21092</v>
      </c>
      <c r="D48" t="s">
        <v>29</v>
      </c>
      <c r="E48" t="s">
        <v>27</v>
      </c>
      <c r="F48" t="s">
        <v>21</v>
      </c>
      <c r="G48" t="str">
        <f>_xlfn.XLOOKUP(Table1_1[[#This Row],[Parameter]],[1]analyte_order!$B:$B,[1]analyte_order!$C:$C)</f>
        <v>68259-12-1</v>
      </c>
      <c r="H48">
        <f>_xlfn.XLOOKUP(Table1_1[[#This Row],[CAS_rn]],[1]analyte_order!$C:$C,[1]analyte_order!$E:$E)</f>
        <v>19</v>
      </c>
      <c r="I48">
        <v>0.02</v>
      </c>
    </row>
    <row r="49" spans="1:9" x14ac:dyDescent="0.3">
      <c r="A49" t="s">
        <v>28</v>
      </c>
      <c r="B49" s="1">
        <v>44288</v>
      </c>
      <c r="C49" s="1" t="str">
        <f t="shared" si="0"/>
        <v>21092</v>
      </c>
      <c r="D49" t="s">
        <v>29</v>
      </c>
      <c r="E49" t="s">
        <v>27</v>
      </c>
      <c r="F49" t="s">
        <v>22</v>
      </c>
      <c r="G49" t="str">
        <f>_xlfn.XLOOKUP(Table1_1[[#This Row],[Parameter]],[1]analyte_order!$B:$B,[1]analyte_order!$C:$C)</f>
        <v>335-77-3</v>
      </c>
      <c r="H49">
        <f>_xlfn.XLOOKUP(Table1_1[[#This Row],[CAS_rn]],[1]analyte_order!$C:$C,[1]analyte_order!$E:$E)</f>
        <v>20</v>
      </c>
      <c r="I49">
        <v>0.02</v>
      </c>
    </row>
    <row r="50" spans="1:9" x14ac:dyDescent="0.3">
      <c r="A50" t="s">
        <v>28</v>
      </c>
      <c r="B50" s="1">
        <v>44288</v>
      </c>
      <c r="C50" s="1" t="str">
        <f t="shared" si="0"/>
        <v>21092</v>
      </c>
      <c r="D50" t="s">
        <v>29</v>
      </c>
      <c r="E50" t="s">
        <v>27</v>
      </c>
      <c r="F50" t="s">
        <v>23</v>
      </c>
      <c r="G50" t="str">
        <f>_xlfn.XLOOKUP(Table1_1[[#This Row],[Parameter]],[1]analyte_order!$B:$B,[1]analyte_order!$C:$C)</f>
        <v>79780-39-5</v>
      </c>
      <c r="H50">
        <f>_xlfn.XLOOKUP(Table1_1[[#This Row],[CAS_rn]],[1]analyte_order!$C:$C,[1]analyte_order!$E:$E)</f>
        <v>21</v>
      </c>
      <c r="I50">
        <v>0.02</v>
      </c>
    </row>
    <row r="51" spans="1:9" x14ac:dyDescent="0.3">
      <c r="A51" t="s">
        <v>28</v>
      </c>
      <c r="B51" s="1">
        <v>44288</v>
      </c>
      <c r="C51" s="1" t="str">
        <f t="shared" si="0"/>
        <v>21092</v>
      </c>
      <c r="D51" t="s">
        <v>29</v>
      </c>
      <c r="E51" t="s">
        <v>27</v>
      </c>
      <c r="F51" t="s">
        <v>49</v>
      </c>
      <c r="G51" t="str">
        <f>_xlfn.XLOOKUP(Table1_1[[#This Row],[Parameter]],[1]analyte_order!$B:$B,[1]analyte_order!$C:$C)</f>
        <v>757124-72-4</v>
      </c>
      <c r="H51">
        <f>_xlfn.XLOOKUP(Table1_1[[#This Row],[CAS_rn]],[1]analyte_order!$C:$C,[1]analyte_order!$E:$E)</f>
        <v>22</v>
      </c>
      <c r="I51">
        <v>0.08</v>
      </c>
    </row>
    <row r="52" spans="1:9" x14ac:dyDescent="0.3">
      <c r="A52" t="s">
        <v>28</v>
      </c>
      <c r="B52" s="1">
        <v>44288</v>
      </c>
      <c r="C52" s="1" t="str">
        <f t="shared" si="0"/>
        <v>21092</v>
      </c>
      <c r="D52" t="s">
        <v>29</v>
      </c>
      <c r="E52" t="s">
        <v>27</v>
      </c>
      <c r="F52" t="s">
        <v>50</v>
      </c>
      <c r="G52" t="str">
        <f>_xlfn.XLOOKUP(Table1_1[[#This Row],[Parameter]],[1]analyte_order!$B:$B,[1]analyte_order!$C:$C)</f>
        <v>27619-97-2</v>
      </c>
      <c r="H52">
        <f>_xlfn.XLOOKUP(Table1_1[[#This Row],[CAS_rn]],[1]analyte_order!$C:$C,[1]analyte_order!$E:$E)</f>
        <v>23</v>
      </c>
      <c r="I52">
        <v>0.08</v>
      </c>
    </row>
    <row r="53" spans="1:9" x14ac:dyDescent="0.3">
      <c r="A53" t="s">
        <v>28</v>
      </c>
      <c r="B53" s="1">
        <v>44288</v>
      </c>
      <c r="C53" s="1" t="str">
        <f t="shared" si="0"/>
        <v>21092</v>
      </c>
      <c r="D53" t="s">
        <v>29</v>
      </c>
      <c r="E53" t="s">
        <v>27</v>
      </c>
      <c r="F53" t="s">
        <v>51</v>
      </c>
      <c r="G53" t="str">
        <f>_xlfn.XLOOKUP(Table1_1[[#This Row],[Parameter]],[1]analyte_order!$B:$B,[1]analyte_order!$C:$C)</f>
        <v>39108-34-4</v>
      </c>
      <c r="H53">
        <f>_xlfn.XLOOKUP(Table1_1[[#This Row],[CAS_rn]],[1]analyte_order!$C:$C,[1]analyte_order!$E:$E)</f>
        <v>24</v>
      </c>
      <c r="I53">
        <v>0.08</v>
      </c>
    </row>
    <row r="54" spans="1:9" x14ac:dyDescent="0.3">
      <c r="A54" t="s">
        <v>28</v>
      </c>
      <c r="B54" s="1">
        <v>44288</v>
      </c>
      <c r="C54" s="1" t="str">
        <f t="shared" si="0"/>
        <v>21092</v>
      </c>
      <c r="D54" t="s">
        <v>29</v>
      </c>
      <c r="E54" t="s">
        <v>27</v>
      </c>
      <c r="F54" t="s">
        <v>60</v>
      </c>
      <c r="G54" t="str">
        <f>_xlfn.XLOOKUP(Table1_1[[#This Row],[Parameter]],[1]analyte_order!$B:$B,[1]analyte_order!$C:$C)</f>
        <v>754-91-6</v>
      </c>
      <c r="H54">
        <f>_xlfn.XLOOKUP(Table1_1[[#This Row],[CAS_rn]],[1]analyte_order!$C:$C,[1]analyte_order!$E:$E)</f>
        <v>28</v>
      </c>
      <c r="I54">
        <v>4.3999999999999997E-2</v>
      </c>
    </row>
    <row r="55" spans="1:9" x14ac:dyDescent="0.3">
      <c r="A55" t="s">
        <v>28</v>
      </c>
      <c r="B55" s="1">
        <v>44288</v>
      </c>
      <c r="C55" s="1" t="str">
        <f t="shared" si="0"/>
        <v>21092</v>
      </c>
      <c r="D55" t="s">
        <v>29</v>
      </c>
      <c r="E55" t="s">
        <v>27</v>
      </c>
      <c r="F55" t="s">
        <v>58</v>
      </c>
      <c r="G55" t="str">
        <f>_xlfn.XLOOKUP(Table1_1[[#This Row],[Parameter]],[1]analyte_order!$B:$B,[1]analyte_order!$C:$C)</f>
        <v>31506-32-8</v>
      </c>
      <c r="H55">
        <f>_xlfn.XLOOKUP(Table1_1[[#This Row],[CAS_rn]],[1]analyte_order!$C:$C,[1]analyte_order!$E:$E)</f>
        <v>30</v>
      </c>
      <c r="I55">
        <v>0.02</v>
      </c>
    </row>
    <row r="56" spans="1:9" x14ac:dyDescent="0.3">
      <c r="A56" t="s">
        <v>28</v>
      </c>
      <c r="B56" s="1">
        <v>44288</v>
      </c>
      <c r="C56" s="1" t="str">
        <f t="shared" si="0"/>
        <v>21092</v>
      </c>
      <c r="D56" t="s">
        <v>29</v>
      </c>
      <c r="E56" t="s">
        <v>27</v>
      </c>
      <c r="F56" t="s">
        <v>59</v>
      </c>
      <c r="G56" t="str">
        <f>_xlfn.XLOOKUP(Table1_1[[#This Row],[Parameter]],[1]analyte_order!$B:$B,[1]analyte_order!$C:$C)</f>
        <v>2355-31-9</v>
      </c>
      <c r="H56">
        <f>_xlfn.XLOOKUP(Table1_1[[#This Row],[CAS_rn]],[1]analyte_order!$C:$C,[1]analyte_order!$E:$E)</f>
        <v>26</v>
      </c>
      <c r="I56">
        <v>0.02</v>
      </c>
    </row>
    <row r="57" spans="1:9" x14ac:dyDescent="0.3">
      <c r="A57" t="s">
        <v>28</v>
      </c>
      <c r="B57" s="1">
        <v>44288</v>
      </c>
      <c r="C57" s="1" t="str">
        <f t="shared" si="0"/>
        <v>21092</v>
      </c>
      <c r="D57" t="s">
        <v>29</v>
      </c>
      <c r="E57" t="s">
        <v>27</v>
      </c>
      <c r="F57" t="s">
        <v>57</v>
      </c>
      <c r="G57" t="str">
        <f>_xlfn.XLOOKUP(Table1_1[[#This Row],[Parameter]],[1]analyte_order!$B:$B,[1]analyte_order!$C:$C)</f>
        <v>2991-50-6</v>
      </c>
      <c r="H57">
        <f>_xlfn.XLOOKUP(Table1_1[[#This Row],[CAS_rn]],[1]analyte_order!$C:$C,[1]analyte_order!$E:$E)</f>
        <v>27</v>
      </c>
      <c r="I57">
        <v>0.02</v>
      </c>
    </row>
    <row r="58" spans="1:9" x14ac:dyDescent="0.3">
      <c r="A58" t="s">
        <v>28</v>
      </c>
      <c r="B58" s="1">
        <v>44288</v>
      </c>
      <c r="C58" s="1" t="str">
        <f t="shared" si="0"/>
        <v>21092</v>
      </c>
      <c r="D58" t="s">
        <v>29</v>
      </c>
      <c r="E58" t="s">
        <v>27</v>
      </c>
      <c r="F58" t="s">
        <v>24</v>
      </c>
      <c r="G58" t="str">
        <f>_xlfn.XLOOKUP(Table1_1[[#This Row],[Parameter]],[1]analyte_order!$B:$B,[1]analyte_order!$C:$C)</f>
        <v>919005-14-4</v>
      </c>
      <c r="H58">
        <f>_xlfn.XLOOKUP(Table1_1[[#This Row],[CAS_rn]],[1]analyte_order!$C:$C,[1]analyte_order!$E:$E)</f>
        <v>35</v>
      </c>
      <c r="I58">
        <v>0.08</v>
      </c>
    </row>
    <row r="59" spans="1:9" x14ac:dyDescent="0.3">
      <c r="A59" t="s">
        <v>28</v>
      </c>
      <c r="B59" s="1">
        <v>44288</v>
      </c>
      <c r="C59" s="1" t="str">
        <f t="shared" si="0"/>
        <v>21092</v>
      </c>
      <c r="D59" t="s">
        <v>29</v>
      </c>
      <c r="E59" t="s">
        <v>27</v>
      </c>
      <c r="F59" t="s">
        <v>52</v>
      </c>
      <c r="G59" t="str">
        <f>_xlfn.XLOOKUP(Table1_1[[#This Row],[Parameter]],[1]analyte_order!$B:$B,[1]analyte_order!$C:$C)</f>
        <v>356-02-5</v>
      </c>
      <c r="H59">
        <f>_xlfn.XLOOKUP(Table1_1[[#This Row],[CAS_rn]],[1]analyte_order!$C:$C,[1]analyte_order!$E:$E)</f>
        <v>38</v>
      </c>
      <c r="I59">
        <v>0.08</v>
      </c>
    </row>
    <row r="60" spans="1:9" x14ac:dyDescent="0.3">
      <c r="A60" t="s">
        <v>28</v>
      </c>
      <c r="B60" s="1">
        <v>44288</v>
      </c>
      <c r="C60" s="1" t="str">
        <f t="shared" si="0"/>
        <v>21092</v>
      </c>
      <c r="D60" t="s">
        <v>29</v>
      </c>
      <c r="E60" t="s">
        <v>27</v>
      </c>
      <c r="F60" t="s">
        <v>53</v>
      </c>
      <c r="G60" t="str">
        <f>_xlfn.XLOOKUP(Table1_1[[#This Row],[Parameter]],[1]analyte_order!$B:$B,[1]analyte_order!$C:$C)</f>
        <v>914637-49-3</v>
      </c>
      <c r="H60">
        <f>_xlfn.XLOOKUP(Table1_1[[#This Row],[CAS_rn]],[1]analyte_order!$C:$C,[1]analyte_order!$E:$E)</f>
        <v>39</v>
      </c>
      <c r="I60">
        <v>0.5</v>
      </c>
    </row>
    <row r="61" spans="1:9" x14ac:dyDescent="0.3">
      <c r="A61" t="s">
        <v>28</v>
      </c>
      <c r="B61" s="1">
        <v>44288</v>
      </c>
      <c r="C61" s="1" t="str">
        <f t="shared" si="0"/>
        <v>21092</v>
      </c>
      <c r="D61" t="s">
        <v>29</v>
      </c>
      <c r="E61" t="s">
        <v>27</v>
      </c>
      <c r="F61" t="s">
        <v>54</v>
      </c>
      <c r="G61" t="str">
        <f>_xlfn.XLOOKUP(Table1_1[[#This Row],[Parameter]],[1]analyte_order!$B:$B,[1]analyte_order!$C:$C)</f>
        <v>812-70-4</v>
      </c>
      <c r="H61">
        <f>_xlfn.XLOOKUP(Table1_1[[#This Row],[CAS_rn]],[1]analyte_order!$C:$C,[1]analyte_order!$E:$E)</f>
        <v>40</v>
      </c>
      <c r="I61">
        <v>0.5</v>
      </c>
    </row>
    <row r="62" spans="1:9" x14ac:dyDescent="0.3">
      <c r="A62" t="s">
        <v>30</v>
      </c>
      <c r="B62" s="1">
        <v>44288</v>
      </c>
      <c r="C62" s="1" t="str">
        <f t="shared" si="0"/>
        <v>21092</v>
      </c>
      <c r="D62" t="s">
        <v>31</v>
      </c>
      <c r="E62" t="s">
        <v>27</v>
      </c>
      <c r="F62" t="s">
        <v>5</v>
      </c>
      <c r="G62" t="str">
        <f>_xlfn.XLOOKUP(Table1_1[[#This Row],[Parameter]],[1]analyte_order!$B:$B,[1]analyte_order!$C:$C)</f>
        <v>375-22-4</v>
      </c>
      <c r="H62">
        <f>_xlfn.XLOOKUP(Table1_1[[#This Row],[CAS_rn]],[1]analyte_order!$C:$C,[1]analyte_order!$E:$E)</f>
        <v>1</v>
      </c>
      <c r="I62">
        <v>0.08</v>
      </c>
    </row>
    <row r="63" spans="1:9" x14ac:dyDescent="0.3">
      <c r="A63" t="s">
        <v>30</v>
      </c>
      <c r="B63" s="1">
        <v>44288</v>
      </c>
      <c r="C63" s="1" t="str">
        <f t="shared" si="0"/>
        <v>21092</v>
      </c>
      <c r="D63" t="s">
        <v>31</v>
      </c>
      <c r="E63" t="s">
        <v>27</v>
      </c>
      <c r="F63" t="s">
        <v>6</v>
      </c>
      <c r="G63" t="str">
        <f>_xlfn.XLOOKUP(Table1_1[[#This Row],[Parameter]],[1]analyte_order!$B:$B,[1]analyte_order!$C:$C)</f>
        <v>2706-90-3</v>
      </c>
      <c r="H63">
        <f>_xlfn.XLOOKUP(Table1_1[[#This Row],[CAS_rn]],[1]analyte_order!$C:$C,[1]analyte_order!$E:$E)</f>
        <v>2</v>
      </c>
      <c r="I63">
        <v>0.106</v>
      </c>
    </row>
    <row r="64" spans="1:9" x14ac:dyDescent="0.3">
      <c r="A64" t="s">
        <v>30</v>
      </c>
      <c r="B64" s="1">
        <v>44288</v>
      </c>
      <c r="C64" s="1" t="str">
        <f t="shared" si="0"/>
        <v>21092</v>
      </c>
      <c r="D64" t="s">
        <v>31</v>
      </c>
      <c r="E64" t="s">
        <v>27</v>
      </c>
      <c r="F64" t="s">
        <v>7</v>
      </c>
      <c r="G64" t="str">
        <f>_xlfn.XLOOKUP(Table1_1[[#This Row],[Parameter]],[1]analyte_order!$B:$B,[1]analyte_order!$C:$C)</f>
        <v>307-24-4</v>
      </c>
      <c r="H64">
        <f>_xlfn.XLOOKUP(Table1_1[[#This Row],[CAS_rn]],[1]analyte_order!$C:$C,[1]analyte_order!$E:$E)</f>
        <v>3</v>
      </c>
      <c r="I64">
        <v>0.32100000000000001</v>
      </c>
    </row>
    <row r="65" spans="1:9" x14ac:dyDescent="0.3">
      <c r="A65" t="s">
        <v>30</v>
      </c>
      <c r="B65" s="1">
        <v>44288</v>
      </c>
      <c r="C65" s="1" t="str">
        <f t="shared" si="0"/>
        <v>21092</v>
      </c>
      <c r="D65" t="s">
        <v>31</v>
      </c>
      <c r="E65" t="s">
        <v>27</v>
      </c>
      <c r="F65" t="s">
        <v>8</v>
      </c>
      <c r="G65" t="str">
        <f>_xlfn.XLOOKUP(Table1_1[[#This Row],[Parameter]],[1]analyte_order!$B:$B,[1]analyte_order!$C:$C)</f>
        <v>375-85-9</v>
      </c>
      <c r="H65">
        <f>_xlfn.XLOOKUP(Table1_1[[#This Row],[CAS_rn]],[1]analyte_order!$C:$C,[1]analyte_order!$E:$E)</f>
        <v>4</v>
      </c>
      <c r="I65">
        <v>3.7999999999999999E-2</v>
      </c>
    </row>
    <row r="66" spans="1:9" x14ac:dyDescent="0.3">
      <c r="A66" t="s">
        <v>30</v>
      </c>
      <c r="B66" s="1">
        <v>44288</v>
      </c>
      <c r="C66" s="1" t="str">
        <f t="shared" si="0"/>
        <v>21092</v>
      </c>
      <c r="D66" t="s">
        <v>31</v>
      </c>
      <c r="E66" t="s">
        <v>27</v>
      </c>
      <c r="F66" t="s">
        <v>9</v>
      </c>
      <c r="G66" t="str">
        <f>_xlfn.XLOOKUP(Table1_1[[#This Row],[Parameter]],[1]analyte_order!$B:$B,[1]analyte_order!$C:$C)</f>
        <v>335-67-1</v>
      </c>
      <c r="H66">
        <f>_xlfn.XLOOKUP(Table1_1[[#This Row],[CAS_rn]],[1]analyte_order!$C:$C,[1]analyte_order!$E:$E)</f>
        <v>5</v>
      </c>
      <c r="I66">
        <v>9.1999999999999998E-2</v>
      </c>
    </row>
    <row r="67" spans="1:9" x14ac:dyDescent="0.3">
      <c r="A67" t="s">
        <v>30</v>
      </c>
      <c r="B67" s="1">
        <v>44288</v>
      </c>
      <c r="C67" s="1" t="str">
        <f t="shared" ref="C67:C130" si="1">TEXT(B67,"yy")&amp;TEXT((B67-DATEVALUE("1/1/"&amp;TEXT(B67,"yy"))+1),"000")</f>
        <v>21092</v>
      </c>
      <c r="D67" t="s">
        <v>31</v>
      </c>
      <c r="E67" t="s">
        <v>27</v>
      </c>
      <c r="F67" t="s">
        <v>10</v>
      </c>
      <c r="G67" t="str">
        <f>_xlfn.XLOOKUP(Table1_1[[#This Row],[Parameter]],[1]analyte_order!$B:$B,[1]analyte_order!$C:$C)</f>
        <v>375-95-1</v>
      </c>
      <c r="H67">
        <f>_xlfn.XLOOKUP(Table1_1[[#This Row],[CAS_rn]],[1]analyte_order!$C:$C,[1]analyte_order!$E:$E)</f>
        <v>6</v>
      </c>
      <c r="I67">
        <v>0.05</v>
      </c>
    </row>
    <row r="68" spans="1:9" x14ac:dyDescent="0.3">
      <c r="A68" t="s">
        <v>30</v>
      </c>
      <c r="B68" s="1">
        <v>44288</v>
      </c>
      <c r="C68" s="1" t="str">
        <f t="shared" si="1"/>
        <v>21092</v>
      </c>
      <c r="D68" t="s">
        <v>31</v>
      </c>
      <c r="E68" t="s">
        <v>27</v>
      </c>
      <c r="F68" t="s">
        <v>11</v>
      </c>
      <c r="G68" t="str">
        <f>_xlfn.XLOOKUP(Table1_1[[#This Row],[Parameter]],[1]analyte_order!$B:$B,[1]analyte_order!$C:$C)</f>
        <v>335-76-2</v>
      </c>
      <c r="H68">
        <f>_xlfn.XLOOKUP(Table1_1[[#This Row],[CAS_rn]],[1]analyte_order!$C:$C,[1]analyte_order!$E:$E)</f>
        <v>7</v>
      </c>
      <c r="I68">
        <v>0.02</v>
      </c>
    </row>
    <row r="69" spans="1:9" x14ac:dyDescent="0.3">
      <c r="A69" t="s">
        <v>30</v>
      </c>
      <c r="B69" s="1">
        <v>44288</v>
      </c>
      <c r="C69" s="1" t="str">
        <f t="shared" si="1"/>
        <v>21092</v>
      </c>
      <c r="D69" t="s">
        <v>31</v>
      </c>
      <c r="E69" t="s">
        <v>27</v>
      </c>
      <c r="F69" t="s">
        <v>12</v>
      </c>
      <c r="G69" t="str">
        <f>_xlfn.XLOOKUP(Table1_1[[#This Row],[Parameter]],[1]analyte_order!$B:$B,[1]analyte_order!$C:$C)</f>
        <v>2058-94-8</v>
      </c>
      <c r="H69">
        <f>_xlfn.XLOOKUP(Table1_1[[#This Row],[CAS_rn]],[1]analyte_order!$C:$C,[1]analyte_order!$E:$E)</f>
        <v>8</v>
      </c>
      <c r="I69">
        <v>3.6999999999999998E-2</v>
      </c>
    </row>
    <row r="70" spans="1:9" x14ac:dyDescent="0.3">
      <c r="A70" t="s">
        <v>30</v>
      </c>
      <c r="B70" s="1">
        <v>44288</v>
      </c>
      <c r="C70" s="1" t="str">
        <f t="shared" si="1"/>
        <v>21092</v>
      </c>
      <c r="D70" t="s">
        <v>31</v>
      </c>
      <c r="E70" t="s">
        <v>27</v>
      </c>
      <c r="F70" t="s">
        <v>13</v>
      </c>
      <c r="G70" t="str">
        <f>_xlfn.XLOOKUP(Table1_1[[#This Row],[Parameter]],[1]analyte_order!$B:$B,[1]analyte_order!$C:$C)</f>
        <v>307-55-1</v>
      </c>
      <c r="H70">
        <f>_xlfn.XLOOKUP(Table1_1[[#This Row],[CAS_rn]],[1]analyte_order!$C:$C,[1]analyte_order!$E:$E)</f>
        <v>9</v>
      </c>
      <c r="I70">
        <v>3.3000000000000002E-2</v>
      </c>
    </row>
    <row r="71" spans="1:9" x14ac:dyDescent="0.3">
      <c r="A71" t="s">
        <v>30</v>
      </c>
      <c r="B71" s="1">
        <v>44288</v>
      </c>
      <c r="C71" s="1" t="str">
        <f t="shared" si="1"/>
        <v>21092</v>
      </c>
      <c r="D71" t="s">
        <v>31</v>
      </c>
      <c r="E71" t="s">
        <v>27</v>
      </c>
      <c r="F71" t="s">
        <v>14</v>
      </c>
      <c r="G71" t="str">
        <f>_xlfn.XLOOKUP(Table1_1[[#This Row],[Parameter]],[1]analyte_order!$B:$B,[1]analyte_order!$C:$C)</f>
        <v>72629-94-8</v>
      </c>
      <c r="H71">
        <f>_xlfn.XLOOKUP(Table1_1[[#This Row],[CAS_rn]],[1]analyte_order!$C:$C,[1]analyte_order!$E:$E)</f>
        <v>10</v>
      </c>
      <c r="I71">
        <v>0.02</v>
      </c>
    </row>
    <row r="72" spans="1:9" x14ac:dyDescent="0.3">
      <c r="A72" t="s">
        <v>30</v>
      </c>
      <c r="B72" s="1">
        <v>44288</v>
      </c>
      <c r="C72" s="1" t="str">
        <f t="shared" si="1"/>
        <v>21092</v>
      </c>
      <c r="D72" t="s">
        <v>31</v>
      </c>
      <c r="E72" t="s">
        <v>27</v>
      </c>
      <c r="F72" t="s">
        <v>15</v>
      </c>
      <c r="G72" t="str">
        <f>_xlfn.XLOOKUP(Table1_1[[#This Row],[Parameter]],[1]analyte_order!$B:$B,[1]analyte_order!$C:$C)</f>
        <v>376-06-7</v>
      </c>
      <c r="H72">
        <f>_xlfn.XLOOKUP(Table1_1[[#This Row],[CAS_rn]],[1]analyte_order!$C:$C,[1]analyte_order!$E:$E)</f>
        <v>11</v>
      </c>
      <c r="I72">
        <v>0.02</v>
      </c>
    </row>
    <row r="73" spans="1:9" x14ac:dyDescent="0.3">
      <c r="A73" t="s">
        <v>30</v>
      </c>
      <c r="B73" s="1">
        <v>44288</v>
      </c>
      <c r="C73" s="1" t="str">
        <f t="shared" si="1"/>
        <v>21092</v>
      </c>
      <c r="D73" t="s">
        <v>31</v>
      </c>
      <c r="E73" t="s">
        <v>27</v>
      </c>
      <c r="F73" t="s">
        <v>16</v>
      </c>
      <c r="G73" t="str">
        <f>_xlfn.XLOOKUP(Table1_1[[#This Row],[Parameter]],[1]analyte_order!$B:$B,[1]analyte_order!$C:$C)</f>
        <v>375-73-5</v>
      </c>
      <c r="H73">
        <f>_xlfn.XLOOKUP(Table1_1[[#This Row],[CAS_rn]],[1]analyte_order!$C:$C,[1]analyte_order!$E:$E)</f>
        <v>14</v>
      </c>
      <c r="I73">
        <v>0.02</v>
      </c>
    </row>
    <row r="74" spans="1:9" x14ac:dyDescent="0.3">
      <c r="A74" t="s">
        <v>30</v>
      </c>
      <c r="B74" s="1">
        <v>44288</v>
      </c>
      <c r="C74" s="1" t="str">
        <f t="shared" si="1"/>
        <v>21092</v>
      </c>
      <c r="D74" t="s">
        <v>31</v>
      </c>
      <c r="E74" t="s">
        <v>27</v>
      </c>
      <c r="F74" t="s">
        <v>17</v>
      </c>
      <c r="G74" t="str">
        <f>_xlfn.XLOOKUP(Table1_1[[#This Row],[Parameter]],[1]analyte_order!$B:$B,[1]analyte_order!$C:$C)</f>
        <v>2706-91-4</v>
      </c>
      <c r="H74">
        <f>_xlfn.XLOOKUP(Table1_1[[#This Row],[CAS_rn]],[1]analyte_order!$C:$C,[1]analyte_order!$E:$E)</f>
        <v>15</v>
      </c>
      <c r="I74">
        <v>0.02</v>
      </c>
    </row>
    <row r="75" spans="1:9" x14ac:dyDescent="0.3">
      <c r="A75" t="s">
        <v>30</v>
      </c>
      <c r="B75" s="1">
        <v>44288</v>
      </c>
      <c r="C75" s="1" t="str">
        <f t="shared" si="1"/>
        <v>21092</v>
      </c>
      <c r="D75" t="s">
        <v>31</v>
      </c>
      <c r="E75" t="s">
        <v>27</v>
      </c>
      <c r="F75" t="s">
        <v>18</v>
      </c>
      <c r="G75" t="str">
        <f>_xlfn.XLOOKUP(Table1_1[[#This Row],[Parameter]],[1]analyte_order!$B:$B,[1]analyte_order!$C:$C)</f>
        <v>355-46-4</v>
      </c>
      <c r="H75">
        <f>_xlfn.XLOOKUP(Table1_1[[#This Row],[CAS_rn]],[1]analyte_order!$C:$C,[1]analyte_order!$E:$E)</f>
        <v>16</v>
      </c>
      <c r="I75">
        <v>0.19</v>
      </c>
    </row>
    <row r="76" spans="1:9" x14ac:dyDescent="0.3">
      <c r="A76" t="s">
        <v>30</v>
      </c>
      <c r="B76" s="1">
        <v>44288</v>
      </c>
      <c r="C76" s="1" t="str">
        <f t="shared" si="1"/>
        <v>21092</v>
      </c>
      <c r="D76" t="s">
        <v>31</v>
      </c>
      <c r="E76" t="s">
        <v>27</v>
      </c>
      <c r="F76" t="s">
        <v>19</v>
      </c>
      <c r="G76" t="str">
        <f>_xlfn.XLOOKUP(Table1_1[[#This Row],[Parameter]],[1]analyte_order!$B:$B,[1]analyte_order!$C:$C)</f>
        <v>375-92-8</v>
      </c>
      <c r="H76">
        <f>_xlfn.XLOOKUP(Table1_1[[#This Row],[CAS_rn]],[1]analyte_order!$C:$C,[1]analyte_order!$E:$E)</f>
        <v>17</v>
      </c>
      <c r="I76">
        <v>0.02</v>
      </c>
    </row>
    <row r="77" spans="1:9" x14ac:dyDescent="0.3">
      <c r="A77" t="s">
        <v>30</v>
      </c>
      <c r="B77" s="1">
        <v>44288</v>
      </c>
      <c r="C77" s="1" t="str">
        <f t="shared" si="1"/>
        <v>21092</v>
      </c>
      <c r="D77" t="s">
        <v>31</v>
      </c>
      <c r="E77" t="s">
        <v>27</v>
      </c>
      <c r="F77" t="s">
        <v>20</v>
      </c>
      <c r="G77" t="str">
        <f>_xlfn.XLOOKUP(Table1_1[[#This Row],[Parameter]],[1]analyte_order!$B:$B,[1]analyte_order!$C:$C)</f>
        <v>1763-23-1</v>
      </c>
      <c r="H77">
        <f>_xlfn.XLOOKUP(Table1_1[[#This Row],[CAS_rn]],[1]analyte_order!$C:$C,[1]analyte_order!$E:$E)</f>
        <v>18</v>
      </c>
      <c r="I77">
        <v>1.04</v>
      </c>
    </row>
    <row r="78" spans="1:9" x14ac:dyDescent="0.3">
      <c r="A78" t="s">
        <v>30</v>
      </c>
      <c r="B78" s="1">
        <v>44288</v>
      </c>
      <c r="C78" s="1" t="str">
        <f t="shared" si="1"/>
        <v>21092</v>
      </c>
      <c r="D78" t="s">
        <v>31</v>
      </c>
      <c r="E78" t="s">
        <v>27</v>
      </c>
      <c r="F78" t="s">
        <v>21</v>
      </c>
      <c r="G78" t="str">
        <f>_xlfn.XLOOKUP(Table1_1[[#This Row],[Parameter]],[1]analyte_order!$B:$B,[1]analyte_order!$C:$C)</f>
        <v>68259-12-1</v>
      </c>
      <c r="H78">
        <f>_xlfn.XLOOKUP(Table1_1[[#This Row],[CAS_rn]],[1]analyte_order!$C:$C,[1]analyte_order!$E:$E)</f>
        <v>19</v>
      </c>
      <c r="I78">
        <v>0.02</v>
      </c>
    </row>
    <row r="79" spans="1:9" x14ac:dyDescent="0.3">
      <c r="A79" t="s">
        <v>30</v>
      </c>
      <c r="B79" s="1">
        <v>44288</v>
      </c>
      <c r="C79" s="1" t="str">
        <f t="shared" si="1"/>
        <v>21092</v>
      </c>
      <c r="D79" t="s">
        <v>31</v>
      </c>
      <c r="E79" t="s">
        <v>27</v>
      </c>
      <c r="F79" t="s">
        <v>22</v>
      </c>
      <c r="G79" t="str">
        <f>_xlfn.XLOOKUP(Table1_1[[#This Row],[Parameter]],[1]analyte_order!$B:$B,[1]analyte_order!$C:$C)</f>
        <v>335-77-3</v>
      </c>
      <c r="H79">
        <f>_xlfn.XLOOKUP(Table1_1[[#This Row],[CAS_rn]],[1]analyte_order!$C:$C,[1]analyte_order!$E:$E)</f>
        <v>20</v>
      </c>
      <c r="I79">
        <v>0.02</v>
      </c>
    </row>
    <row r="80" spans="1:9" x14ac:dyDescent="0.3">
      <c r="A80" t="s">
        <v>30</v>
      </c>
      <c r="B80" s="1">
        <v>44288</v>
      </c>
      <c r="C80" s="1" t="str">
        <f t="shared" si="1"/>
        <v>21092</v>
      </c>
      <c r="D80" t="s">
        <v>31</v>
      </c>
      <c r="E80" t="s">
        <v>27</v>
      </c>
      <c r="F80" t="s">
        <v>23</v>
      </c>
      <c r="G80" t="str">
        <f>_xlfn.XLOOKUP(Table1_1[[#This Row],[Parameter]],[1]analyte_order!$B:$B,[1]analyte_order!$C:$C)</f>
        <v>79780-39-5</v>
      </c>
      <c r="H80">
        <f>_xlfn.XLOOKUP(Table1_1[[#This Row],[CAS_rn]],[1]analyte_order!$C:$C,[1]analyte_order!$E:$E)</f>
        <v>21</v>
      </c>
      <c r="I80">
        <v>0.02</v>
      </c>
    </row>
    <row r="81" spans="1:9" x14ac:dyDescent="0.3">
      <c r="A81" t="s">
        <v>30</v>
      </c>
      <c r="B81" s="1">
        <v>44288</v>
      </c>
      <c r="C81" s="1" t="str">
        <f t="shared" si="1"/>
        <v>21092</v>
      </c>
      <c r="D81" t="s">
        <v>31</v>
      </c>
      <c r="E81" t="s">
        <v>27</v>
      </c>
      <c r="F81" t="s">
        <v>49</v>
      </c>
      <c r="G81" t="str">
        <f>_xlfn.XLOOKUP(Table1_1[[#This Row],[Parameter]],[1]analyte_order!$B:$B,[1]analyte_order!$C:$C)</f>
        <v>757124-72-4</v>
      </c>
      <c r="H81">
        <f>_xlfn.XLOOKUP(Table1_1[[#This Row],[CAS_rn]],[1]analyte_order!$C:$C,[1]analyte_order!$E:$E)</f>
        <v>22</v>
      </c>
      <c r="I81">
        <v>0.08</v>
      </c>
    </row>
    <row r="82" spans="1:9" x14ac:dyDescent="0.3">
      <c r="A82" t="s">
        <v>30</v>
      </c>
      <c r="B82" s="1">
        <v>44288</v>
      </c>
      <c r="C82" s="1" t="str">
        <f t="shared" si="1"/>
        <v>21092</v>
      </c>
      <c r="D82" t="s">
        <v>31</v>
      </c>
      <c r="E82" t="s">
        <v>27</v>
      </c>
      <c r="F82" t="s">
        <v>50</v>
      </c>
      <c r="G82" t="str">
        <f>_xlfn.XLOOKUP(Table1_1[[#This Row],[Parameter]],[1]analyte_order!$B:$B,[1]analyte_order!$C:$C)</f>
        <v>27619-97-2</v>
      </c>
      <c r="H82">
        <f>_xlfn.XLOOKUP(Table1_1[[#This Row],[CAS_rn]],[1]analyte_order!$C:$C,[1]analyte_order!$E:$E)</f>
        <v>23</v>
      </c>
      <c r="I82">
        <v>0.151</v>
      </c>
    </row>
    <row r="83" spans="1:9" x14ac:dyDescent="0.3">
      <c r="A83" t="s">
        <v>30</v>
      </c>
      <c r="B83" s="1">
        <v>44288</v>
      </c>
      <c r="C83" s="1" t="str">
        <f t="shared" si="1"/>
        <v>21092</v>
      </c>
      <c r="D83" t="s">
        <v>31</v>
      </c>
      <c r="E83" t="s">
        <v>27</v>
      </c>
      <c r="F83" t="s">
        <v>51</v>
      </c>
      <c r="G83" t="str">
        <f>_xlfn.XLOOKUP(Table1_1[[#This Row],[Parameter]],[1]analyte_order!$B:$B,[1]analyte_order!$C:$C)</f>
        <v>39108-34-4</v>
      </c>
      <c r="H83">
        <f>_xlfn.XLOOKUP(Table1_1[[#This Row],[CAS_rn]],[1]analyte_order!$C:$C,[1]analyte_order!$E:$E)</f>
        <v>24</v>
      </c>
      <c r="I83">
        <v>0.08</v>
      </c>
    </row>
    <row r="84" spans="1:9" x14ac:dyDescent="0.3">
      <c r="A84" t="s">
        <v>30</v>
      </c>
      <c r="B84" s="1">
        <v>44288</v>
      </c>
      <c r="C84" s="1" t="str">
        <f t="shared" si="1"/>
        <v>21092</v>
      </c>
      <c r="D84" t="s">
        <v>31</v>
      </c>
      <c r="E84" t="s">
        <v>27</v>
      </c>
      <c r="F84" t="s">
        <v>60</v>
      </c>
      <c r="G84" t="str">
        <f>_xlfn.XLOOKUP(Table1_1[[#This Row],[Parameter]],[1]analyte_order!$B:$B,[1]analyte_order!$C:$C)</f>
        <v>754-91-6</v>
      </c>
      <c r="H84">
        <f>_xlfn.XLOOKUP(Table1_1[[#This Row],[CAS_rn]],[1]analyte_order!$C:$C,[1]analyte_order!$E:$E)</f>
        <v>28</v>
      </c>
      <c r="I84">
        <v>0.18</v>
      </c>
    </row>
    <row r="85" spans="1:9" x14ac:dyDescent="0.3">
      <c r="A85" t="s">
        <v>30</v>
      </c>
      <c r="B85" s="1">
        <v>44288</v>
      </c>
      <c r="C85" s="1" t="str">
        <f t="shared" si="1"/>
        <v>21092</v>
      </c>
      <c r="D85" t="s">
        <v>31</v>
      </c>
      <c r="E85" t="s">
        <v>27</v>
      </c>
      <c r="F85" t="s">
        <v>58</v>
      </c>
      <c r="G85" t="str">
        <f>_xlfn.XLOOKUP(Table1_1[[#This Row],[Parameter]],[1]analyte_order!$B:$B,[1]analyte_order!$C:$C)</f>
        <v>31506-32-8</v>
      </c>
      <c r="H85">
        <f>_xlfn.XLOOKUP(Table1_1[[#This Row],[CAS_rn]],[1]analyte_order!$C:$C,[1]analyte_order!$E:$E)</f>
        <v>30</v>
      </c>
      <c r="I85">
        <v>0.02</v>
      </c>
    </row>
    <row r="86" spans="1:9" x14ac:dyDescent="0.3">
      <c r="A86" t="s">
        <v>30</v>
      </c>
      <c r="B86" s="1">
        <v>44288</v>
      </c>
      <c r="C86" s="1" t="str">
        <f t="shared" si="1"/>
        <v>21092</v>
      </c>
      <c r="D86" t="s">
        <v>31</v>
      </c>
      <c r="E86" t="s">
        <v>27</v>
      </c>
      <c r="F86" t="s">
        <v>59</v>
      </c>
      <c r="G86" t="str">
        <f>_xlfn.XLOOKUP(Table1_1[[#This Row],[Parameter]],[1]analyte_order!$B:$B,[1]analyte_order!$C:$C)</f>
        <v>2355-31-9</v>
      </c>
      <c r="H86">
        <f>_xlfn.XLOOKUP(Table1_1[[#This Row],[CAS_rn]],[1]analyte_order!$C:$C,[1]analyte_order!$E:$E)</f>
        <v>26</v>
      </c>
      <c r="I86">
        <v>0.02</v>
      </c>
    </row>
    <row r="87" spans="1:9" x14ac:dyDescent="0.3">
      <c r="A87" t="s">
        <v>30</v>
      </c>
      <c r="B87" s="1">
        <v>44288</v>
      </c>
      <c r="C87" s="1" t="str">
        <f t="shared" si="1"/>
        <v>21092</v>
      </c>
      <c r="D87" t="s">
        <v>31</v>
      </c>
      <c r="E87" t="s">
        <v>27</v>
      </c>
      <c r="F87" t="s">
        <v>57</v>
      </c>
      <c r="G87" t="str">
        <f>_xlfn.XLOOKUP(Table1_1[[#This Row],[Parameter]],[1]analyte_order!$B:$B,[1]analyte_order!$C:$C)</f>
        <v>2991-50-6</v>
      </c>
      <c r="H87">
        <f>_xlfn.XLOOKUP(Table1_1[[#This Row],[CAS_rn]],[1]analyte_order!$C:$C,[1]analyte_order!$E:$E)</f>
        <v>27</v>
      </c>
      <c r="I87">
        <v>0.02</v>
      </c>
    </row>
    <row r="88" spans="1:9" x14ac:dyDescent="0.3">
      <c r="A88" t="s">
        <v>30</v>
      </c>
      <c r="B88" s="1">
        <v>44288</v>
      </c>
      <c r="C88" s="1" t="str">
        <f t="shared" si="1"/>
        <v>21092</v>
      </c>
      <c r="D88" t="s">
        <v>31</v>
      </c>
      <c r="E88" t="s">
        <v>27</v>
      </c>
      <c r="F88" t="s">
        <v>24</v>
      </c>
      <c r="G88" t="str">
        <f>_xlfn.XLOOKUP(Table1_1[[#This Row],[Parameter]],[1]analyte_order!$B:$B,[1]analyte_order!$C:$C)</f>
        <v>919005-14-4</v>
      </c>
      <c r="H88">
        <f>_xlfn.XLOOKUP(Table1_1[[#This Row],[CAS_rn]],[1]analyte_order!$C:$C,[1]analyte_order!$E:$E)</f>
        <v>35</v>
      </c>
      <c r="I88">
        <v>0.08</v>
      </c>
    </row>
    <row r="89" spans="1:9" x14ac:dyDescent="0.3">
      <c r="A89" t="s">
        <v>30</v>
      </c>
      <c r="B89" s="1">
        <v>44288</v>
      </c>
      <c r="C89" s="1" t="str">
        <f t="shared" si="1"/>
        <v>21092</v>
      </c>
      <c r="D89" t="s">
        <v>31</v>
      </c>
      <c r="E89" t="s">
        <v>27</v>
      </c>
      <c r="F89" t="s">
        <v>52</v>
      </c>
      <c r="G89" t="str">
        <f>_xlfn.XLOOKUP(Table1_1[[#This Row],[Parameter]],[1]analyte_order!$B:$B,[1]analyte_order!$C:$C)</f>
        <v>356-02-5</v>
      </c>
      <c r="H89">
        <f>_xlfn.XLOOKUP(Table1_1[[#This Row],[CAS_rn]],[1]analyte_order!$C:$C,[1]analyte_order!$E:$E)</f>
        <v>38</v>
      </c>
      <c r="I89">
        <v>0.08</v>
      </c>
    </row>
    <row r="90" spans="1:9" x14ac:dyDescent="0.3">
      <c r="A90" t="s">
        <v>30</v>
      </c>
      <c r="B90" s="1">
        <v>44288</v>
      </c>
      <c r="C90" s="1" t="str">
        <f t="shared" si="1"/>
        <v>21092</v>
      </c>
      <c r="D90" t="s">
        <v>31</v>
      </c>
      <c r="E90" t="s">
        <v>27</v>
      </c>
      <c r="F90" t="s">
        <v>53</v>
      </c>
      <c r="G90" t="str">
        <f>_xlfn.XLOOKUP(Table1_1[[#This Row],[Parameter]],[1]analyte_order!$B:$B,[1]analyte_order!$C:$C)</f>
        <v>914637-49-3</v>
      </c>
      <c r="H90">
        <f>_xlfn.XLOOKUP(Table1_1[[#This Row],[CAS_rn]],[1]analyte_order!$C:$C,[1]analyte_order!$E:$E)</f>
        <v>39</v>
      </c>
      <c r="I90">
        <v>0.5</v>
      </c>
    </row>
    <row r="91" spans="1:9" x14ac:dyDescent="0.3">
      <c r="A91" t="s">
        <v>30</v>
      </c>
      <c r="B91" s="1">
        <v>44288</v>
      </c>
      <c r="C91" s="1" t="str">
        <f t="shared" si="1"/>
        <v>21092</v>
      </c>
      <c r="D91" t="s">
        <v>31</v>
      </c>
      <c r="E91" t="s">
        <v>27</v>
      </c>
      <c r="F91" t="s">
        <v>54</v>
      </c>
      <c r="G91" t="str">
        <f>_xlfn.XLOOKUP(Table1_1[[#This Row],[Parameter]],[1]analyte_order!$B:$B,[1]analyte_order!$C:$C)</f>
        <v>812-70-4</v>
      </c>
      <c r="H91">
        <f>_xlfn.XLOOKUP(Table1_1[[#This Row],[CAS_rn]],[1]analyte_order!$C:$C,[1]analyte_order!$E:$E)</f>
        <v>40</v>
      </c>
      <c r="I91">
        <v>0.5</v>
      </c>
    </row>
    <row r="92" spans="1:9" x14ac:dyDescent="0.3">
      <c r="A92" t="s">
        <v>32</v>
      </c>
      <c r="B92" s="1">
        <v>44288</v>
      </c>
      <c r="C92" s="1" t="str">
        <f t="shared" si="1"/>
        <v>21092</v>
      </c>
      <c r="D92" t="s">
        <v>33</v>
      </c>
      <c r="E92" t="s">
        <v>27</v>
      </c>
      <c r="F92" t="s">
        <v>5</v>
      </c>
      <c r="G92" t="str">
        <f>_xlfn.XLOOKUP(Table1_1[[#This Row],[Parameter]],[1]analyte_order!$B:$B,[1]analyte_order!$C:$C)</f>
        <v>375-22-4</v>
      </c>
      <c r="H92">
        <f>_xlfn.XLOOKUP(Table1_1[[#This Row],[CAS_rn]],[1]analyte_order!$C:$C,[1]analyte_order!$E:$E)</f>
        <v>1</v>
      </c>
      <c r="I92">
        <v>0.08</v>
      </c>
    </row>
    <row r="93" spans="1:9" x14ac:dyDescent="0.3">
      <c r="A93" t="s">
        <v>32</v>
      </c>
      <c r="B93" s="1">
        <v>44288</v>
      </c>
      <c r="C93" s="1" t="str">
        <f t="shared" si="1"/>
        <v>21092</v>
      </c>
      <c r="D93" t="s">
        <v>33</v>
      </c>
      <c r="E93" t="s">
        <v>27</v>
      </c>
      <c r="F93" t="s">
        <v>6</v>
      </c>
      <c r="G93" t="str">
        <f>_xlfn.XLOOKUP(Table1_1[[#This Row],[Parameter]],[1]analyte_order!$B:$B,[1]analyte_order!$C:$C)</f>
        <v>2706-90-3</v>
      </c>
      <c r="H93">
        <f>_xlfn.XLOOKUP(Table1_1[[#This Row],[CAS_rn]],[1]analyte_order!$C:$C,[1]analyte_order!$E:$E)</f>
        <v>2</v>
      </c>
      <c r="I93">
        <v>9.0999999999999998E-2</v>
      </c>
    </row>
    <row r="94" spans="1:9" x14ac:dyDescent="0.3">
      <c r="A94" t="s">
        <v>32</v>
      </c>
      <c r="B94" s="1">
        <v>44288</v>
      </c>
      <c r="C94" s="1" t="str">
        <f t="shared" si="1"/>
        <v>21092</v>
      </c>
      <c r="D94" t="s">
        <v>33</v>
      </c>
      <c r="E94" t="s">
        <v>27</v>
      </c>
      <c r="F94" t="s">
        <v>7</v>
      </c>
      <c r="G94" t="str">
        <f>_xlfn.XLOOKUP(Table1_1[[#This Row],[Parameter]],[1]analyte_order!$B:$B,[1]analyte_order!$C:$C)</f>
        <v>307-24-4</v>
      </c>
      <c r="H94">
        <f>_xlfn.XLOOKUP(Table1_1[[#This Row],[CAS_rn]],[1]analyte_order!$C:$C,[1]analyte_order!$E:$E)</f>
        <v>3</v>
      </c>
      <c r="I94">
        <v>0.28000000000000003</v>
      </c>
    </row>
    <row r="95" spans="1:9" x14ac:dyDescent="0.3">
      <c r="A95" t="s">
        <v>32</v>
      </c>
      <c r="B95" s="1">
        <v>44288</v>
      </c>
      <c r="C95" s="1" t="str">
        <f t="shared" si="1"/>
        <v>21092</v>
      </c>
      <c r="D95" t="s">
        <v>33</v>
      </c>
      <c r="E95" t="s">
        <v>27</v>
      </c>
      <c r="F95" t="s">
        <v>8</v>
      </c>
      <c r="G95" t="str">
        <f>_xlfn.XLOOKUP(Table1_1[[#This Row],[Parameter]],[1]analyte_order!$B:$B,[1]analyte_order!$C:$C)</f>
        <v>375-85-9</v>
      </c>
      <c r="H95">
        <f>_xlfn.XLOOKUP(Table1_1[[#This Row],[CAS_rn]],[1]analyte_order!$C:$C,[1]analyte_order!$E:$E)</f>
        <v>4</v>
      </c>
      <c r="I95">
        <v>3.9E-2</v>
      </c>
    </row>
    <row r="96" spans="1:9" x14ac:dyDescent="0.3">
      <c r="A96" t="s">
        <v>32</v>
      </c>
      <c r="B96" s="1">
        <v>44288</v>
      </c>
      <c r="C96" s="1" t="str">
        <f t="shared" si="1"/>
        <v>21092</v>
      </c>
      <c r="D96" t="s">
        <v>33</v>
      </c>
      <c r="E96" t="s">
        <v>27</v>
      </c>
      <c r="F96" t="s">
        <v>9</v>
      </c>
      <c r="G96" t="str">
        <f>_xlfn.XLOOKUP(Table1_1[[#This Row],[Parameter]],[1]analyte_order!$B:$B,[1]analyte_order!$C:$C)</f>
        <v>335-67-1</v>
      </c>
      <c r="H96">
        <f>_xlfn.XLOOKUP(Table1_1[[#This Row],[CAS_rn]],[1]analyte_order!$C:$C,[1]analyte_order!$E:$E)</f>
        <v>5</v>
      </c>
      <c r="I96">
        <v>0.127</v>
      </c>
    </row>
    <row r="97" spans="1:9" x14ac:dyDescent="0.3">
      <c r="A97" t="s">
        <v>32</v>
      </c>
      <c r="B97" s="1">
        <v>44288</v>
      </c>
      <c r="C97" s="1" t="str">
        <f t="shared" si="1"/>
        <v>21092</v>
      </c>
      <c r="D97" t="s">
        <v>33</v>
      </c>
      <c r="E97" t="s">
        <v>27</v>
      </c>
      <c r="F97" t="s">
        <v>10</v>
      </c>
      <c r="G97" t="str">
        <f>_xlfn.XLOOKUP(Table1_1[[#This Row],[Parameter]],[1]analyte_order!$B:$B,[1]analyte_order!$C:$C)</f>
        <v>375-95-1</v>
      </c>
      <c r="H97">
        <f>_xlfn.XLOOKUP(Table1_1[[#This Row],[CAS_rn]],[1]analyte_order!$C:$C,[1]analyte_order!$E:$E)</f>
        <v>6</v>
      </c>
      <c r="I97">
        <v>5.2999999999999999E-2</v>
      </c>
    </row>
    <row r="98" spans="1:9" x14ac:dyDescent="0.3">
      <c r="A98" t="s">
        <v>32</v>
      </c>
      <c r="B98" s="1">
        <v>44288</v>
      </c>
      <c r="C98" s="1" t="str">
        <f t="shared" si="1"/>
        <v>21092</v>
      </c>
      <c r="D98" t="s">
        <v>33</v>
      </c>
      <c r="E98" t="s">
        <v>27</v>
      </c>
      <c r="F98" t="s">
        <v>11</v>
      </c>
      <c r="G98" t="str">
        <f>_xlfn.XLOOKUP(Table1_1[[#This Row],[Parameter]],[1]analyte_order!$B:$B,[1]analyte_order!$C:$C)</f>
        <v>335-76-2</v>
      </c>
      <c r="H98">
        <f>_xlfn.XLOOKUP(Table1_1[[#This Row],[CAS_rn]],[1]analyte_order!$C:$C,[1]analyte_order!$E:$E)</f>
        <v>7</v>
      </c>
      <c r="I98">
        <v>0.02</v>
      </c>
    </row>
    <row r="99" spans="1:9" x14ac:dyDescent="0.3">
      <c r="A99" t="s">
        <v>32</v>
      </c>
      <c r="B99" s="1">
        <v>44288</v>
      </c>
      <c r="C99" s="1" t="str">
        <f t="shared" si="1"/>
        <v>21092</v>
      </c>
      <c r="D99" t="s">
        <v>33</v>
      </c>
      <c r="E99" t="s">
        <v>27</v>
      </c>
      <c r="F99" t="s">
        <v>12</v>
      </c>
      <c r="G99" t="str">
        <f>_xlfn.XLOOKUP(Table1_1[[#This Row],[Parameter]],[1]analyte_order!$B:$B,[1]analyte_order!$C:$C)</f>
        <v>2058-94-8</v>
      </c>
      <c r="H99">
        <f>_xlfn.XLOOKUP(Table1_1[[#This Row],[CAS_rn]],[1]analyte_order!$C:$C,[1]analyte_order!$E:$E)</f>
        <v>8</v>
      </c>
      <c r="I99">
        <v>0.02</v>
      </c>
    </row>
    <row r="100" spans="1:9" x14ac:dyDescent="0.3">
      <c r="A100" t="s">
        <v>32</v>
      </c>
      <c r="B100" s="1">
        <v>44288</v>
      </c>
      <c r="C100" s="1" t="str">
        <f t="shared" si="1"/>
        <v>21092</v>
      </c>
      <c r="D100" t="s">
        <v>33</v>
      </c>
      <c r="E100" t="s">
        <v>27</v>
      </c>
      <c r="F100" t="s">
        <v>13</v>
      </c>
      <c r="G100" t="str">
        <f>_xlfn.XLOOKUP(Table1_1[[#This Row],[Parameter]],[1]analyte_order!$B:$B,[1]analyte_order!$C:$C)</f>
        <v>307-55-1</v>
      </c>
      <c r="H100">
        <f>_xlfn.XLOOKUP(Table1_1[[#This Row],[CAS_rn]],[1]analyte_order!$C:$C,[1]analyte_order!$E:$E)</f>
        <v>9</v>
      </c>
      <c r="I100">
        <v>0.02</v>
      </c>
    </row>
    <row r="101" spans="1:9" x14ac:dyDescent="0.3">
      <c r="A101" t="s">
        <v>32</v>
      </c>
      <c r="B101" s="1">
        <v>44288</v>
      </c>
      <c r="C101" s="1" t="str">
        <f t="shared" si="1"/>
        <v>21092</v>
      </c>
      <c r="D101" t="s">
        <v>33</v>
      </c>
      <c r="E101" t="s">
        <v>27</v>
      </c>
      <c r="F101" t="s">
        <v>14</v>
      </c>
      <c r="G101" t="str">
        <f>_xlfn.XLOOKUP(Table1_1[[#This Row],[Parameter]],[1]analyte_order!$B:$B,[1]analyte_order!$C:$C)</f>
        <v>72629-94-8</v>
      </c>
      <c r="H101">
        <f>_xlfn.XLOOKUP(Table1_1[[#This Row],[CAS_rn]],[1]analyte_order!$C:$C,[1]analyte_order!$E:$E)</f>
        <v>10</v>
      </c>
      <c r="I101">
        <v>0.02</v>
      </c>
    </row>
    <row r="102" spans="1:9" x14ac:dyDescent="0.3">
      <c r="A102" t="s">
        <v>32</v>
      </c>
      <c r="B102" s="1">
        <v>44288</v>
      </c>
      <c r="C102" s="1" t="str">
        <f t="shared" si="1"/>
        <v>21092</v>
      </c>
      <c r="D102" t="s">
        <v>33</v>
      </c>
      <c r="E102" t="s">
        <v>27</v>
      </c>
      <c r="F102" t="s">
        <v>15</v>
      </c>
      <c r="G102" t="str">
        <f>_xlfn.XLOOKUP(Table1_1[[#This Row],[Parameter]],[1]analyte_order!$B:$B,[1]analyte_order!$C:$C)</f>
        <v>376-06-7</v>
      </c>
      <c r="H102">
        <f>_xlfn.XLOOKUP(Table1_1[[#This Row],[CAS_rn]],[1]analyte_order!$C:$C,[1]analyte_order!$E:$E)</f>
        <v>11</v>
      </c>
      <c r="I102">
        <v>0.02</v>
      </c>
    </row>
    <row r="103" spans="1:9" x14ac:dyDescent="0.3">
      <c r="A103" t="s">
        <v>32</v>
      </c>
      <c r="B103" s="1">
        <v>44288</v>
      </c>
      <c r="C103" s="1" t="str">
        <f t="shared" si="1"/>
        <v>21092</v>
      </c>
      <c r="D103" t="s">
        <v>33</v>
      </c>
      <c r="E103" t="s">
        <v>27</v>
      </c>
      <c r="F103" t="s">
        <v>16</v>
      </c>
      <c r="G103" t="str">
        <f>_xlfn.XLOOKUP(Table1_1[[#This Row],[Parameter]],[1]analyte_order!$B:$B,[1]analyte_order!$C:$C)</f>
        <v>375-73-5</v>
      </c>
      <c r="H103">
        <f>_xlfn.XLOOKUP(Table1_1[[#This Row],[CAS_rn]],[1]analyte_order!$C:$C,[1]analyte_order!$E:$E)</f>
        <v>14</v>
      </c>
      <c r="I103">
        <v>0.02</v>
      </c>
    </row>
    <row r="104" spans="1:9" x14ac:dyDescent="0.3">
      <c r="A104" t="s">
        <v>32</v>
      </c>
      <c r="B104" s="1">
        <v>44288</v>
      </c>
      <c r="C104" s="1" t="str">
        <f t="shared" si="1"/>
        <v>21092</v>
      </c>
      <c r="D104" t="s">
        <v>33</v>
      </c>
      <c r="E104" t="s">
        <v>27</v>
      </c>
      <c r="F104" t="s">
        <v>17</v>
      </c>
      <c r="G104" t="str">
        <f>_xlfn.XLOOKUP(Table1_1[[#This Row],[Parameter]],[1]analyte_order!$B:$B,[1]analyte_order!$C:$C)</f>
        <v>2706-91-4</v>
      </c>
      <c r="H104">
        <f>_xlfn.XLOOKUP(Table1_1[[#This Row],[CAS_rn]],[1]analyte_order!$C:$C,[1]analyte_order!$E:$E)</f>
        <v>15</v>
      </c>
      <c r="I104">
        <v>0.02</v>
      </c>
    </row>
    <row r="105" spans="1:9" x14ac:dyDescent="0.3">
      <c r="A105" t="s">
        <v>32</v>
      </c>
      <c r="B105" s="1">
        <v>44288</v>
      </c>
      <c r="C105" s="1" t="str">
        <f t="shared" si="1"/>
        <v>21092</v>
      </c>
      <c r="D105" t="s">
        <v>33</v>
      </c>
      <c r="E105" t="s">
        <v>27</v>
      </c>
      <c r="F105" t="s">
        <v>18</v>
      </c>
      <c r="G105" t="str">
        <f>_xlfn.XLOOKUP(Table1_1[[#This Row],[Parameter]],[1]analyte_order!$B:$B,[1]analyte_order!$C:$C)</f>
        <v>355-46-4</v>
      </c>
      <c r="H105">
        <f>_xlfn.XLOOKUP(Table1_1[[#This Row],[CAS_rn]],[1]analyte_order!$C:$C,[1]analyte_order!$E:$E)</f>
        <v>16</v>
      </c>
      <c r="I105">
        <v>0.49</v>
      </c>
    </row>
    <row r="106" spans="1:9" x14ac:dyDescent="0.3">
      <c r="A106" t="s">
        <v>32</v>
      </c>
      <c r="B106" s="1">
        <v>44288</v>
      </c>
      <c r="C106" s="1" t="str">
        <f t="shared" si="1"/>
        <v>21092</v>
      </c>
      <c r="D106" t="s">
        <v>33</v>
      </c>
      <c r="E106" t="s">
        <v>27</v>
      </c>
      <c r="F106" t="s">
        <v>19</v>
      </c>
      <c r="G106" t="str">
        <f>_xlfn.XLOOKUP(Table1_1[[#This Row],[Parameter]],[1]analyte_order!$B:$B,[1]analyte_order!$C:$C)</f>
        <v>375-92-8</v>
      </c>
      <c r="H106">
        <f>_xlfn.XLOOKUP(Table1_1[[#This Row],[CAS_rn]],[1]analyte_order!$C:$C,[1]analyte_order!$E:$E)</f>
        <v>17</v>
      </c>
      <c r="I106">
        <v>0.02</v>
      </c>
    </row>
    <row r="107" spans="1:9" x14ac:dyDescent="0.3">
      <c r="A107" t="s">
        <v>32</v>
      </c>
      <c r="B107" s="1">
        <v>44288</v>
      </c>
      <c r="C107" s="1" t="str">
        <f t="shared" si="1"/>
        <v>21092</v>
      </c>
      <c r="D107" t="s">
        <v>33</v>
      </c>
      <c r="E107" t="s">
        <v>27</v>
      </c>
      <c r="F107" t="s">
        <v>20</v>
      </c>
      <c r="G107" t="str">
        <f>_xlfn.XLOOKUP(Table1_1[[#This Row],[Parameter]],[1]analyte_order!$B:$B,[1]analyte_order!$C:$C)</f>
        <v>1763-23-1</v>
      </c>
      <c r="H107">
        <f>_xlfn.XLOOKUP(Table1_1[[#This Row],[CAS_rn]],[1]analyte_order!$C:$C,[1]analyte_order!$E:$E)</f>
        <v>18</v>
      </c>
      <c r="I107">
        <v>1.71</v>
      </c>
    </row>
    <row r="108" spans="1:9" x14ac:dyDescent="0.3">
      <c r="A108" t="s">
        <v>32</v>
      </c>
      <c r="B108" s="1">
        <v>44288</v>
      </c>
      <c r="C108" s="1" t="str">
        <f t="shared" si="1"/>
        <v>21092</v>
      </c>
      <c r="D108" t="s">
        <v>33</v>
      </c>
      <c r="E108" t="s">
        <v>27</v>
      </c>
      <c r="F108" t="s">
        <v>21</v>
      </c>
      <c r="G108" t="str">
        <f>_xlfn.XLOOKUP(Table1_1[[#This Row],[Parameter]],[1]analyte_order!$B:$B,[1]analyte_order!$C:$C)</f>
        <v>68259-12-1</v>
      </c>
      <c r="H108">
        <f>_xlfn.XLOOKUP(Table1_1[[#This Row],[CAS_rn]],[1]analyte_order!$C:$C,[1]analyte_order!$E:$E)</f>
        <v>19</v>
      </c>
      <c r="I108">
        <v>0.02</v>
      </c>
    </row>
    <row r="109" spans="1:9" x14ac:dyDescent="0.3">
      <c r="A109" t="s">
        <v>32</v>
      </c>
      <c r="B109" s="1">
        <v>44288</v>
      </c>
      <c r="C109" s="1" t="str">
        <f t="shared" si="1"/>
        <v>21092</v>
      </c>
      <c r="D109" t="s">
        <v>33</v>
      </c>
      <c r="E109" t="s">
        <v>27</v>
      </c>
      <c r="F109" t="s">
        <v>22</v>
      </c>
      <c r="G109" t="str">
        <f>_xlfn.XLOOKUP(Table1_1[[#This Row],[Parameter]],[1]analyte_order!$B:$B,[1]analyte_order!$C:$C)</f>
        <v>335-77-3</v>
      </c>
      <c r="H109">
        <f>_xlfn.XLOOKUP(Table1_1[[#This Row],[CAS_rn]],[1]analyte_order!$C:$C,[1]analyte_order!$E:$E)</f>
        <v>20</v>
      </c>
      <c r="I109">
        <v>0.02</v>
      </c>
    </row>
    <row r="110" spans="1:9" x14ac:dyDescent="0.3">
      <c r="A110" t="s">
        <v>32</v>
      </c>
      <c r="B110" s="1">
        <v>44288</v>
      </c>
      <c r="C110" s="1" t="str">
        <f t="shared" si="1"/>
        <v>21092</v>
      </c>
      <c r="D110" t="s">
        <v>33</v>
      </c>
      <c r="E110" t="s">
        <v>27</v>
      </c>
      <c r="F110" t="s">
        <v>23</v>
      </c>
      <c r="G110" t="str">
        <f>_xlfn.XLOOKUP(Table1_1[[#This Row],[Parameter]],[1]analyte_order!$B:$B,[1]analyte_order!$C:$C)</f>
        <v>79780-39-5</v>
      </c>
      <c r="H110">
        <f>_xlfn.XLOOKUP(Table1_1[[#This Row],[CAS_rn]],[1]analyte_order!$C:$C,[1]analyte_order!$E:$E)</f>
        <v>21</v>
      </c>
      <c r="I110">
        <v>0.02</v>
      </c>
    </row>
    <row r="111" spans="1:9" x14ac:dyDescent="0.3">
      <c r="A111" t="s">
        <v>32</v>
      </c>
      <c r="B111" s="1">
        <v>44288</v>
      </c>
      <c r="C111" s="1" t="str">
        <f t="shared" si="1"/>
        <v>21092</v>
      </c>
      <c r="D111" t="s">
        <v>33</v>
      </c>
      <c r="E111" t="s">
        <v>27</v>
      </c>
      <c r="F111" t="s">
        <v>49</v>
      </c>
      <c r="G111" t="str">
        <f>_xlfn.XLOOKUP(Table1_1[[#This Row],[Parameter]],[1]analyte_order!$B:$B,[1]analyte_order!$C:$C)</f>
        <v>757124-72-4</v>
      </c>
      <c r="H111">
        <f>_xlfn.XLOOKUP(Table1_1[[#This Row],[CAS_rn]],[1]analyte_order!$C:$C,[1]analyte_order!$E:$E)</f>
        <v>22</v>
      </c>
      <c r="I111">
        <v>0.08</v>
      </c>
    </row>
    <row r="112" spans="1:9" x14ac:dyDescent="0.3">
      <c r="A112" t="s">
        <v>32</v>
      </c>
      <c r="B112" s="1">
        <v>44288</v>
      </c>
      <c r="C112" s="1" t="str">
        <f t="shared" si="1"/>
        <v>21092</v>
      </c>
      <c r="D112" t="s">
        <v>33</v>
      </c>
      <c r="E112" t="s">
        <v>27</v>
      </c>
      <c r="F112" t="s">
        <v>50</v>
      </c>
      <c r="G112" t="str">
        <f>_xlfn.XLOOKUP(Table1_1[[#This Row],[Parameter]],[1]analyte_order!$B:$B,[1]analyte_order!$C:$C)</f>
        <v>27619-97-2</v>
      </c>
      <c r="H112">
        <f>_xlfn.XLOOKUP(Table1_1[[#This Row],[CAS_rn]],[1]analyte_order!$C:$C,[1]analyte_order!$E:$E)</f>
        <v>23</v>
      </c>
      <c r="I112">
        <v>0.45500000000000002</v>
      </c>
    </row>
    <row r="113" spans="1:9" x14ac:dyDescent="0.3">
      <c r="A113" t="s">
        <v>32</v>
      </c>
      <c r="B113" s="1">
        <v>44288</v>
      </c>
      <c r="C113" s="1" t="str">
        <f t="shared" si="1"/>
        <v>21092</v>
      </c>
      <c r="D113" t="s">
        <v>33</v>
      </c>
      <c r="E113" t="s">
        <v>27</v>
      </c>
      <c r="F113" t="s">
        <v>51</v>
      </c>
      <c r="G113" t="str">
        <f>_xlfn.XLOOKUP(Table1_1[[#This Row],[Parameter]],[1]analyte_order!$B:$B,[1]analyte_order!$C:$C)</f>
        <v>39108-34-4</v>
      </c>
      <c r="H113">
        <f>_xlfn.XLOOKUP(Table1_1[[#This Row],[CAS_rn]],[1]analyte_order!$C:$C,[1]analyte_order!$E:$E)</f>
        <v>24</v>
      </c>
      <c r="I113">
        <v>0.17599999999999999</v>
      </c>
    </row>
    <row r="114" spans="1:9" x14ac:dyDescent="0.3">
      <c r="A114" t="s">
        <v>32</v>
      </c>
      <c r="B114" s="1">
        <v>44288</v>
      </c>
      <c r="C114" s="1" t="str">
        <f t="shared" si="1"/>
        <v>21092</v>
      </c>
      <c r="D114" t="s">
        <v>33</v>
      </c>
      <c r="E114" t="s">
        <v>27</v>
      </c>
      <c r="F114" t="s">
        <v>60</v>
      </c>
      <c r="G114" t="str">
        <f>_xlfn.XLOOKUP(Table1_1[[#This Row],[Parameter]],[1]analyte_order!$B:$B,[1]analyte_order!$C:$C)</f>
        <v>754-91-6</v>
      </c>
      <c r="H114">
        <f>_xlfn.XLOOKUP(Table1_1[[#This Row],[CAS_rn]],[1]analyte_order!$C:$C,[1]analyte_order!$E:$E)</f>
        <v>28</v>
      </c>
      <c r="I114">
        <v>0.14199999999999999</v>
      </c>
    </row>
    <row r="115" spans="1:9" x14ac:dyDescent="0.3">
      <c r="A115" t="s">
        <v>32</v>
      </c>
      <c r="B115" s="1">
        <v>44288</v>
      </c>
      <c r="C115" s="1" t="str">
        <f t="shared" si="1"/>
        <v>21092</v>
      </c>
      <c r="D115" t="s">
        <v>33</v>
      </c>
      <c r="E115" t="s">
        <v>27</v>
      </c>
      <c r="F115" t="s">
        <v>58</v>
      </c>
      <c r="G115" t="str">
        <f>_xlfn.XLOOKUP(Table1_1[[#This Row],[Parameter]],[1]analyte_order!$B:$B,[1]analyte_order!$C:$C)</f>
        <v>31506-32-8</v>
      </c>
      <c r="H115">
        <f>_xlfn.XLOOKUP(Table1_1[[#This Row],[CAS_rn]],[1]analyte_order!$C:$C,[1]analyte_order!$E:$E)</f>
        <v>30</v>
      </c>
      <c r="I115">
        <v>0.02</v>
      </c>
    </row>
    <row r="116" spans="1:9" x14ac:dyDescent="0.3">
      <c r="A116" t="s">
        <v>32</v>
      </c>
      <c r="B116" s="1">
        <v>44288</v>
      </c>
      <c r="C116" s="1" t="str">
        <f t="shared" si="1"/>
        <v>21092</v>
      </c>
      <c r="D116" t="s">
        <v>33</v>
      </c>
      <c r="E116" t="s">
        <v>27</v>
      </c>
      <c r="F116" t="s">
        <v>59</v>
      </c>
      <c r="G116" t="str">
        <f>_xlfn.XLOOKUP(Table1_1[[#This Row],[Parameter]],[1]analyte_order!$B:$B,[1]analyte_order!$C:$C)</f>
        <v>2355-31-9</v>
      </c>
      <c r="H116">
        <f>_xlfn.XLOOKUP(Table1_1[[#This Row],[CAS_rn]],[1]analyte_order!$C:$C,[1]analyte_order!$E:$E)</f>
        <v>26</v>
      </c>
      <c r="I116">
        <v>0.02</v>
      </c>
    </row>
    <row r="117" spans="1:9" x14ac:dyDescent="0.3">
      <c r="A117" t="s">
        <v>32</v>
      </c>
      <c r="B117" s="1">
        <v>44288</v>
      </c>
      <c r="C117" s="1" t="str">
        <f t="shared" si="1"/>
        <v>21092</v>
      </c>
      <c r="D117" t="s">
        <v>33</v>
      </c>
      <c r="E117" t="s">
        <v>27</v>
      </c>
      <c r="F117" t="s">
        <v>57</v>
      </c>
      <c r="G117" t="str">
        <f>_xlfn.XLOOKUP(Table1_1[[#This Row],[Parameter]],[1]analyte_order!$B:$B,[1]analyte_order!$C:$C)</f>
        <v>2991-50-6</v>
      </c>
      <c r="H117">
        <f>_xlfn.XLOOKUP(Table1_1[[#This Row],[CAS_rn]],[1]analyte_order!$C:$C,[1]analyte_order!$E:$E)</f>
        <v>27</v>
      </c>
      <c r="I117">
        <v>0.02</v>
      </c>
    </row>
    <row r="118" spans="1:9" x14ac:dyDescent="0.3">
      <c r="A118" t="s">
        <v>32</v>
      </c>
      <c r="B118" s="1">
        <v>44288</v>
      </c>
      <c r="C118" s="1" t="str">
        <f t="shared" si="1"/>
        <v>21092</v>
      </c>
      <c r="D118" t="s">
        <v>33</v>
      </c>
      <c r="E118" t="s">
        <v>27</v>
      </c>
      <c r="F118" t="s">
        <v>24</v>
      </c>
      <c r="G118" t="str">
        <f>_xlfn.XLOOKUP(Table1_1[[#This Row],[Parameter]],[1]analyte_order!$B:$B,[1]analyte_order!$C:$C)</f>
        <v>919005-14-4</v>
      </c>
      <c r="H118">
        <f>_xlfn.XLOOKUP(Table1_1[[#This Row],[CAS_rn]],[1]analyte_order!$C:$C,[1]analyte_order!$E:$E)</f>
        <v>35</v>
      </c>
      <c r="I118">
        <v>0.08</v>
      </c>
    </row>
    <row r="119" spans="1:9" x14ac:dyDescent="0.3">
      <c r="A119" t="s">
        <v>32</v>
      </c>
      <c r="B119" s="1">
        <v>44288</v>
      </c>
      <c r="C119" s="1" t="str">
        <f t="shared" si="1"/>
        <v>21092</v>
      </c>
      <c r="D119" t="s">
        <v>33</v>
      </c>
      <c r="E119" t="s">
        <v>27</v>
      </c>
      <c r="F119" t="s">
        <v>52</v>
      </c>
      <c r="G119" t="str">
        <f>_xlfn.XLOOKUP(Table1_1[[#This Row],[Parameter]],[1]analyte_order!$B:$B,[1]analyte_order!$C:$C)</f>
        <v>356-02-5</v>
      </c>
      <c r="H119">
        <f>_xlfn.XLOOKUP(Table1_1[[#This Row],[CAS_rn]],[1]analyte_order!$C:$C,[1]analyte_order!$E:$E)</f>
        <v>38</v>
      </c>
      <c r="I119">
        <v>0.08</v>
      </c>
    </row>
    <row r="120" spans="1:9" x14ac:dyDescent="0.3">
      <c r="A120" t="s">
        <v>32</v>
      </c>
      <c r="B120" s="1">
        <v>44288</v>
      </c>
      <c r="C120" s="1" t="str">
        <f t="shared" si="1"/>
        <v>21092</v>
      </c>
      <c r="D120" t="s">
        <v>33</v>
      </c>
      <c r="E120" t="s">
        <v>27</v>
      </c>
      <c r="F120" t="s">
        <v>53</v>
      </c>
      <c r="G120" t="str">
        <f>_xlfn.XLOOKUP(Table1_1[[#This Row],[Parameter]],[1]analyte_order!$B:$B,[1]analyte_order!$C:$C)</f>
        <v>914637-49-3</v>
      </c>
      <c r="H120">
        <f>_xlfn.XLOOKUP(Table1_1[[#This Row],[CAS_rn]],[1]analyte_order!$C:$C,[1]analyte_order!$E:$E)</f>
        <v>39</v>
      </c>
      <c r="I120">
        <v>0.5</v>
      </c>
    </row>
    <row r="121" spans="1:9" x14ac:dyDescent="0.3">
      <c r="A121" t="s">
        <v>32</v>
      </c>
      <c r="B121" s="1">
        <v>44288</v>
      </c>
      <c r="C121" s="1" t="str">
        <f t="shared" si="1"/>
        <v>21092</v>
      </c>
      <c r="D121" t="s">
        <v>33</v>
      </c>
      <c r="E121" t="s">
        <v>27</v>
      </c>
      <c r="F121" t="s">
        <v>54</v>
      </c>
      <c r="G121" t="str">
        <f>_xlfn.XLOOKUP(Table1_1[[#This Row],[Parameter]],[1]analyte_order!$B:$B,[1]analyte_order!$C:$C)</f>
        <v>812-70-4</v>
      </c>
      <c r="H121">
        <f>_xlfn.XLOOKUP(Table1_1[[#This Row],[CAS_rn]],[1]analyte_order!$C:$C,[1]analyte_order!$E:$E)</f>
        <v>40</v>
      </c>
      <c r="I121">
        <v>0.5</v>
      </c>
    </row>
    <row r="122" spans="1:9" x14ac:dyDescent="0.3">
      <c r="A122" t="s">
        <v>34</v>
      </c>
      <c r="B122" s="1">
        <v>44314</v>
      </c>
      <c r="C122" s="1" t="str">
        <f t="shared" si="1"/>
        <v>21118</v>
      </c>
      <c r="D122" t="s">
        <v>26</v>
      </c>
      <c r="E122" t="s">
        <v>27</v>
      </c>
      <c r="F122" t="s">
        <v>5</v>
      </c>
      <c r="G122" t="str">
        <f>_xlfn.XLOOKUP(Table1_1[[#This Row],[Parameter]],[1]analyte_order!$B:$B,[1]analyte_order!$C:$C)</f>
        <v>375-22-4</v>
      </c>
      <c r="H122">
        <f>_xlfn.XLOOKUP(Table1_1[[#This Row],[CAS_rn]],[1]analyte_order!$C:$C,[1]analyte_order!$E:$E)</f>
        <v>1</v>
      </c>
      <c r="I122">
        <v>0.08</v>
      </c>
    </row>
    <row r="123" spans="1:9" x14ac:dyDescent="0.3">
      <c r="A123" t="s">
        <v>34</v>
      </c>
      <c r="B123" s="1">
        <v>44314</v>
      </c>
      <c r="C123" s="1" t="str">
        <f t="shared" si="1"/>
        <v>21118</v>
      </c>
      <c r="D123" t="s">
        <v>26</v>
      </c>
      <c r="E123" t="s">
        <v>27</v>
      </c>
      <c r="F123" t="s">
        <v>6</v>
      </c>
      <c r="G123" t="str">
        <f>_xlfn.XLOOKUP(Table1_1[[#This Row],[Parameter]],[1]analyte_order!$B:$B,[1]analyte_order!$C:$C)</f>
        <v>2706-90-3</v>
      </c>
      <c r="H123">
        <f>_xlfn.XLOOKUP(Table1_1[[#This Row],[CAS_rn]],[1]analyte_order!$C:$C,[1]analyte_order!$E:$E)</f>
        <v>2</v>
      </c>
      <c r="I123">
        <v>9.0999999999999998E-2</v>
      </c>
    </row>
    <row r="124" spans="1:9" x14ac:dyDescent="0.3">
      <c r="A124" t="s">
        <v>34</v>
      </c>
      <c r="B124" s="1">
        <v>44314</v>
      </c>
      <c r="C124" s="1" t="str">
        <f t="shared" si="1"/>
        <v>21118</v>
      </c>
      <c r="D124" t="s">
        <v>26</v>
      </c>
      <c r="E124" t="s">
        <v>27</v>
      </c>
      <c r="F124" t="s">
        <v>7</v>
      </c>
      <c r="G124" t="str">
        <f>_xlfn.XLOOKUP(Table1_1[[#This Row],[Parameter]],[1]analyte_order!$B:$B,[1]analyte_order!$C:$C)</f>
        <v>307-24-4</v>
      </c>
      <c r="H124">
        <f>_xlfn.XLOOKUP(Table1_1[[#This Row],[CAS_rn]],[1]analyte_order!$C:$C,[1]analyte_order!$E:$E)</f>
        <v>3</v>
      </c>
      <c r="I124">
        <v>0.17599999999999999</v>
      </c>
    </row>
    <row r="125" spans="1:9" x14ac:dyDescent="0.3">
      <c r="A125" t="s">
        <v>34</v>
      </c>
      <c r="B125" s="1">
        <v>44314</v>
      </c>
      <c r="C125" s="1" t="str">
        <f t="shared" si="1"/>
        <v>21118</v>
      </c>
      <c r="D125" t="s">
        <v>26</v>
      </c>
      <c r="E125" t="s">
        <v>27</v>
      </c>
      <c r="F125" t="s">
        <v>8</v>
      </c>
      <c r="G125" t="str">
        <f>_xlfn.XLOOKUP(Table1_1[[#This Row],[Parameter]],[1]analyte_order!$B:$B,[1]analyte_order!$C:$C)</f>
        <v>375-85-9</v>
      </c>
      <c r="H125">
        <f>_xlfn.XLOOKUP(Table1_1[[#This Row],[CAS_rn]],[1]analyte_order!$C:$C,[1]analyte_order!$E:$E)</f>
        <v>4</v>
      </c>
      <c r="I125">
        <v>0.04</v>
      </c>
    </row>
    <row r="126" spans="1:9" x14ac:dyDescent="0.3">
      <c r="A126" t="s">
        <v>34</v>
      </c>
      <c r="B126" s="1">
        <v>44314</v>
      </c>
      <c r="C126" s="1" t="str">
        <f t="shared" si="1"/>
        <v>21118</v>
      </c>
      <c r="D126" t="s">
        <v>26</v>
      </c>
      <c r="E126" t="s">
        <v>27</v>
      </c>
      <c r="F126" t="s">
        <v>9</v>
      </c>
      <c r="G126" t="str">
        <f>_xlfn.XLOOKUP(Table1_1[[#This Row],[Parameter]],[1]analyte_order!$B:$B,[1]analyte_order!$C:$C)</f>
        <v>335-67-1</v>
      </c>
      <c r="H126">
        <f>_xlfn.XLOOKUP(Table1_1[[#This Row],[CAS_rn]],[1]analyte_order!$C:$C,[1]analyte_order!$E:$E)</f>
        <v>5</v>
      </c>
      <c r="I126">
        <v>0.308</v>
      </c>
    </row>
    <row r="127" spans="1:9" x14ac:dyDescent="0.3">
      <c r="A127" t="s">
        <v>34</v>
      </c>
      <c r="B127" s="1">
        <v>44314</v>
      </c>
      <c r="C127" s="1" t="str">
        <f t="shared" si="1"/>
        <v>21118</v>
      </c>
      <c r="D127" t="s">
        <v>26</v>
      </c>
      <c r="E127" t="s">
        <v>27</v>
      </c>
      <c r="F127" t="s">
        <v>10</v>
      </c>
      <c r="G127" t="str">
        <f>_xlfn.XLOOKUP(Table1_1[[#This Row],[Parameter]],[1]analyte_order!$B:$B,[1]analyte_order!$C:$C)</f>
        <v>375-95-1</v>
      </c>
      <c r="H127">
        <f>_xlfn.XLOOKUP(Table1_1[[#This Row],[CAS_rn]],[1]analyte_order!$C:$C,[1]analyte_order!$E:$E)</f>
        <v>6</v>
      </c>
      <c r="I127">
        <v>5.5E-2</v>
      </c>
    </row>
    <row r="128" spans="1:9" x14ac:dyDescent="0.3">
      <c r="A128" t="s">
        <v>34</v>
      </c>
      <c r="B128" s="1">
        <v>44314</v>
      </c>
      <c r="C128" s="1" t="str">
        <f t="shared" si="1"/>
        <v>21118</v>
      </c>
      <c r="D128" t="s">
        <v>26</v>
      </c>
      <c r="E128" t="s">
        <v>27</v>
      </c>
      <c r="F128" t="s">
        <v>11</v>
      </c>
      <c r="G128" t="str">
        <f>_xlfn.XLOOKUP(Table1_1[[#This Row],[Parameter]],[1]analyte_order!$B:$B,[1]analyte_order!$C:$C)</f>
        <v>335-76-2</v>
      </c>
      <c r="H128">
        <f>_xlfn.XLOOKUP(Table1_1[[#This Row],[CAS_rn]],[1]analyte_order!$C:$C,[1]analyte_order!$E:$E)</f>
        <v>7</v>
      </c>
      <c r="I128">
        <v>0.02</v>
      </c>
    </row>
    <row r="129" spans="1:9" x14ac:dyDescent="0.3">
      <c r="A129" t="s">
        <v>34</v>
      </c>
      <c r="B129" s="1">
        <v>44314</v>
      </c>
      <c r="C129" s="1" t="str">
        <f t="shared" si="1"/>
        <v>21118</v>
      </c>
      <c r="D129" t="s">
        <v>26</v>
      </c>
      <c r="E129" t="s">
        <v>27</v>
      </c>
      <c r="F129" t="s">
        <v>12</v>
      </c>
      <c r="G129" t="str">
        <f>_xlfn.XLOOKUP(Table1_1[[#This Row],[Parameter]],[1]analyte_order!$B:$B,[1]analyte_order!$C:$C)</f>
        <v>2058-94-8</v>
      </c>
      <c r="H129">
        <f>_xlfn.XLOOKUP(Table1_1[[#This Row],[CAS_rn]],[1]analyte_order!$C:$C,[1]analyte_order!$E:$E)</f>
        <v>8</v>
      </c>
      <c r="I129">
        <v>0.02</v>
      </c>
    </row>
    <row r="130" spans="1:9" x14ac:dyDescent="0.3">
      <c r="A130" t="s">
        <v>34</v>
      </c>
      <c r="B130" s="1">
        <v>44314</v>
      </c>
      <c r="C130" s="1" t="str">
        <f t="shared" si="1"/>
        <v>21118</v>
      </c>
      <c r="D130" t="s">
        <v>26</v>
      </c>
      <c r="E130" t="s">
        <v>27</v>
      </c>
      <c r="F130" t="s">
        <v>13</v>
      </c>
      <c r="G130" t="str">
        <f>_xlfn.XLOOKUP(Table1_1[[#This Row],[Parameter]],[1]analyte_order!$B:$B,[1]analyte_order!$C:$C)</f>
        <v>307-55-1</v>
      </c>
      <c r="H130">
        <f>_xlfn.XLOOKUP(Table1_1[[#This Row],[CAS_rn]],[1]analyte_order!$C:$C,[1]analyte_order!$E:$E)</f>
        <v>9</v>
      </c>
      <c r="I130">
        <v>0.02</v>
      </c>
    </row>
    <row r="131" spans="1:9" x14ac:dyDescent="0.3">
      <c r="A131" t="s">
        <v>34</v>
      </c>
      <c r="B131" s="1">
        <v>44314</v>
      </c>
      <c r="C131" s="1" t="str">
        <f t="shared" ref="C131:C194" si="2">TEXT(B131,"yy")&amp;TEXT((B131-DATEVALUE("1/1/"&amp;TEXT(B131,"yy"))+1),"000")</f>
        <v>21118</v>
      </c>
      <c r="D131" t="s">
        <v>26</v>
      </c>
      <c r="E131" t="s">
        <v>27</v>
      </c>
      <c r="F131" t="s">
        <v>14</v>
      </c>
      <c r="G131" t="str">
        <f>_xlfn.XLOOKUP(Table1_1[[#This Row],[Parameter]],[1]analyte_order!$B:$B,[1]analyte_order!$C:$C)</f>
        <v>72629-94-8</v>
      </c>
      <c r="H131">
        <f>_xlfn.XLOOKUP(Table1_1[[#This Row],[CAS_rn]],[1]analyte_order!$C:$C,[1]analyte_order!$E:$E)</f>
        <v>10</v>
      </c>
      <c r="I131">
        <v>0.02</v>
      </c>
    </row>
    <row r="132" spans="1:9" x14ac:dyDescent="0.3">
      <c r="A132" t="s">
        <v>34</v>
      </c>
      <c r="B132" s="1">
        <v>44314</v>
      </c>
      <c r="C132" s="1" t="str">
        <f t="shared" si="2"/>
        <v>21118</v>
      </c>
      <c r="D132" t="s">
        <v>26</v>
      </c>
      <c r="E132" t="s">
        <v>27</v>
      </c>
      <c r="F132" t="s">
        <v>15</v>
      </c>
      <c r="G132" t="str">
        <f>_xlfn.XLOOKUP(Table1_1[[#This Row],[Parameter]],[1]analyte_order!$B:$B,[1]analyte_order!$C:$C)</f>
        <v>376-06-7</v>
      </c>
      <c r="H132">
        <f>_xlfn.XLOOKUP(Table1_1[[#This Row],[CAS_rn]],[1]analyte_order!$C:$C,[1]analyte_order!$E:$E)</f>
        <v>11</v>
      </c>
      <c r="I132">
        <v>0.02</v>
      </c>
    </row>
    <row r="133" spans="1:9" x14ac:dyDescent="0.3">
      <c r="A133" t="s">
        <v>34</v>
      </c>
      <c r="B133" s="1">
        <v>44314</v>
      </c>
      <c r="C133" s="1" t="str">
        <f t="shared" si="2"/>
        <v>21118</v>
      </c>
      <c r="D133" t="s">
        <v>26</v>
      </c>
      <c r="E133" t="s">
        <v>27</v>
      </c>
      <c r="F133" t="s">
        <v>16</v>
      </c>
      <c r="G133" t="str">
        <f>_xlfn.XLOOKUP(Table1_1[[#This Row],[Parameter]],[1]analyte_order!$B:$B,[1]analyte_order!$C:$C)</f>
        <v>375-73-5</v>
      </c>
      <c r="H133">
        <f>_xlfn.XLOOKUP(Table1_1[[#This Row],[CAS_rn]],[1]analyte_order!$C:$C,[1]analyte_order!$E:$E)</f>
        <v>14</v>
      </c>
      <c r="I133">
        <v>0.02</v>
      </c>
    </row>
    <row r="134" spans="1:9" x14ac:dyDescent="0.3">
      <c r="A134" t="s">
        <v>34</v>
      </c>
      <c r="B134" s="1">
        <v>44314</v>
      </c>
      <c r="C134" s="1" t="str">
        <f t="shared" si="2"/>
        <v>21118</v>
      </c>
      <c r="D134" t="s">
        <v>26</v>
      </c>
      <c r="E134" t="s">
        <v>27</v>
      </c>
      <c r="F134" t="s">
        <v>17</v>
      </c>
      <c r="G134" t="str">
        <f>_xlfn.XLOOKUP(Table1_1[[#This Row],[Parameter]],[1]analyte_order!$B:$B,[1]analyte_order!$C:$C)</f>
        <v>2706-91-4</v>
      </c>
      <c r="H134">
        <f>_xlfn.XLOOKUP(Table1_1[[#This Row],[CAS_rn]],[1]analyte_order!$C:$C,[1]analyte_order!$E:$E)</f>
        <v>15</v>
      </c>
      <c r="I134">
        <v>0.02</v>
      </c>
    </row>
    <row r="135" spans="1:9" x14ac:dyDescent="0.3">
      <c r="A135" t="s">
        <v>34</v>
      </c>
      <c r="B135" s="1">
        <v>44314</v>
      </c>
      <c r="C135" s="1" t="str">
        <f t="shared" si="2"/>
        <v>21118</v>
      </c>
      <c r="D135" t="s">
        <v>26</v>
      </c>
      <c r="E135" t="s">
        <v>27</v>
      </c>
      <c r="F135" t="s">
        <v>18</v>
      </c>
      <c r="G135" t="str">
        <f>_xlfn.XLOOKUP(Table1_1[[#This Row],[Parameter]],[1]analyte_order!$B:$B,[1]analyte_order!$C:$C)</f>
        <v>355-46-4</v>
      </c>
      <c r="H135">
        <f>_xlfn.XLOOKUP(Table1_1[[#This Row],[CAS_rn]],[1]analyte_order!$C:$C,[1]analyte_order!$E:$E)</f>
        <v>16</v>
      </c>
      <c r="I135">
        <v>0.23499999999999999</v>
      </c>
    </row>
    <row r="136" spans="1:9" x14ac:dyDescent="0.3">
      <c r="A136" t="s">
        <v>34</v>
      </c>
      <c r="B136" s="1">
        <v>44314</v>
      </c>
      <c r="C136" s="1" t="str">
        <f t="shared" si="2"/>
        <v>21118</v>
      </c>
      <c r="D136" t="s">
        <v>26</v>
      </c>
      <c r="E136" t="s">
        <v>27</v>
      </c>
      <c r="F136" t="s">
        <v>19</v>
      </c>
      <c r="G136" t="str">
        <f>_xlfn.XLOOKUP(Table1_1[[#This Row],[Parameter]],[1]analyte_order!$B:$B,[1]analyte_order!$C:$C)</f>
        <v>375-92-8</v>
      </c>
      <c r="H136">
        <f>_xlfn.XLOOKUP(Table1_1[[#This Row],[CAS_rn]],[1]analyte_order!$C:$C,[1]analyte_order!$E:$E)</f>
        <v>17</v>
      </c>
      <c r="I136">
        <v>0.02</v>
      </c>
    </row>
    <row r="137" spans="1:9" x14ac:dyDescent="0.3">
      <c r="A137" t="s">
        <v>34</v>
      </c>
      <c r="B137" s="1">
        <v>44314</v>
      </c>
      <c r="C137" s="1" t="str">
        <f t="shared" si="2"/>
        <v>21118</v>
      </c>
      <c r="D137" t="s">
        <v>26</v>
      </c>
      <c r="E137" t="s">
        <v>27</v>
      </c>
      <c r="F137" t="s">
        <v>20</v>
      </c>
      <c r="G137" t="str">
        <f>_xlfn.XLOOKUP(Table1_1[[#This Row],[Parameter]],[1]analyte_order!$B:$B,[1]analyte_order!$C:$C)</f>
        <v>1763-23-1</v>
      </c>
      <c r="H137">
        <f>_xlfn.XLOOKUP(Table1_1[[#This Row],[CAS_rn]],[1]analyte_order!$C:$C,[1]analyte_order!$E:$E)</f>
        <v>18</v>
      </c>
      <c r="I137">
        <v>1</v>
      </c>
    </row>
    <row r="138" spans="1:9" x14ac:dyDescent="0.3">
      <c r="A138" t="s">
        <v>34</v>
      </c>
      <c r="B138" s="1">
        <v>44314</v>
      </c>
      <c r="C138" s="1" t="str">
        <f t="shared" si="2"/>
        <v>21118</v>
      </c>
      <c r="D138" t="s">
        <v>26</v>
      </c>
      <c r="E138" t="s">
        <v>27</v>
      </c>
      <c r="F138" t="s">
        <v>21</v>
      </c>
      <c r="G138" t="str">
        <f>_xlfn.XLOOKUP(Table1_1[[#This Row],[Parameter]],[1]analyte_order!$B:$B,[1]analyte_order!$C:$C)</f>
        <v>68259-12-1</v>
      </c>
      <c r="H138">
        <f>_xlfn.XLOOKUP(Table1_1[[#This Row],[CAS_rn]],[1]analyte_order!$C:$C,[1]analyte_order!$E:$E)</f>
        <v>19</v>
      </c>
      <c r="I138">
        <v>0.02</v>
      </c>
    </row>
    <row r="139" spans="1:9" x14ac:dyDescent="0.3">
      <c r="A139" t="s">
        <v>34</v>
      </c>
      <c r="B139" s="1">
        <v>44314</v>
      </c>
      <c r="C139" s="1" t="str">
        <f t="shared" si="2"/>
        <v>21118</v>
      </c>
      <c r="D139" t="s">
        <v>26</v>
      </c>
      <c r="E139" t="s">
        <v>27</v>
      </c>
      <c r="F139" t="s">
        <v>22</v>
      </c>
      <c r="G139" t="str">
        <f>_xlfn.XLOOKUP(Table1_1[[#This Row],[Parameter]],[1]analyte_order!$B:$B,[1]analyte_order!$C:$C)</f>
        <v>335-77-3</v>
      </c>
      <c r="H139">
        <f>_xlfn.XLOOKUP(Table1_1[[#This Row],[CAS_rn]],[1]analyte_order!$C:$C,[1]analyte_order!$E:$E)</f>
        <v>20</v>
      </c>
      <c r="I139">
        <v>0.02</v>
      </c>
    </row>
    <row r="140" spans="1:9" x14ac:dyDescent="0.3">
      <c r="A140" t="s">
        <v>34</v>
      </c>
      <c r="B140" s="1">
        <v>44314</v>
      </c>
      <c r="C140" s="1" t="str">
        <f t="shared" si="2"/>
        <v>21118</v>
      </c>
      <c r="D140" t="s">
        <v>26</v>
      </c>
      <c r="E140" t="s">
        <v>27</v>
      </c>
      <c r="F140" t="s">
        <v>23</v>
      </c>
      <c r="G140" t="str">
        <f>_xlfn.XLOOKUP(Table1_1[[#This Row],[Parameter]],[1]analyte_order!$B:$B,[1]analyte_order!$C:$C)</f>
        <v>79780-39-5</v>
      </c>
      <c r="H140">
        <f>_xlfn.XLOOKUP(Table1_1[[#This Row],[CAS_rn]],[1]analyte_order!$C:$C,[1]analyte_order!$E:$E)</f>
        <v>21</v>
      </c>
      <c r="I140">
        <v>0.02</v>
      </c>
    </row>
    <row r="141" spans="1:9" x14ac:dyDescent="0.3">
      <c r="A141" t="s">
        <v>34</v>
      </c>
      <c r="B141" s="1">
        <v>44314</v>
      </c>
      <c r="C141" s="1" t="str">
        <f t="shared" si="2"/>
        <v>21118</v>
      </c>
      <c r="D141" t="s">
        <v>26</v>
      </c>
      <c r="E141" t="s">
        <v>27</v>
      </c>
      <c r="F141" t="s">
        <v>49</v>
      </c>
      <c r="G141" t="str">
        <f>_xlfn.XLOOKUP(Table1_1[[#This Row],[Parameter]],[1]analyte_order!$B:$B,[1]analyte_order!$C:$C)</f>
        <v>757124-72-4</v>
      </c>
      <c r="H141">
        <f>_xlfn.XLOOKUP(Table1_1[[#This Row],[CAS_rn]],[1]analyte_order!$C:$C,[1]analyte_order!$E:$E)</f>
        <v>22</v>
      </c>
      <c r="I141">
        <v>0.08</v>
      </c>
    </row>
    <row r="142" spans="1:9" x14ac:dyDescent="0.3">
      <c r="A142" t="s">
        <v>34</v>
      </c>
      <c r="B142" s="1">
        <v>44314</v>
      </c>
      <c r="C142" s="1" t="str">
        <f t="shared" si="2"/>
        <v>21118</v>
      </c>
      <c r="D142" t="s">
        <v>26</v>
      </c>
      <c r="E142" t="s">
        <v>27</v>
      </c>
      <c r="F142" t="s">
        <v>50</v>
      </c>
      <c r="G142" t="str">
        <f>_xlfn.XLOOKUP(Table1_1[[#This Row],[Parameter]],[1]analyte_order!$B:$B,[1]analyte_order!$C:$C)</f>
        <v>27619-97-2</v>
      </c>
      <c r="H142">
        <f>_xlfn.XLOOKUP(Table1_1[[#This Row],[CAS_rn]],[1]analyte_order!$C:$C,[1]analyte_order!$E:$E)</f>
        <v>23</v>
      </c>
      <c r="I142">
        <v>0.08</v>
      </c>
    </row>
    <row r="143" spans="1:9" x14ac:dyDescent="0.3">
      <c r="A143" t="s">
        <v>34</v>
      </c>
      <c r="B143" s="1">
        <v>44314</v>
      </c>
      <c r="C143" s="1" t="str">
        <f t="shared" si="2"/>
        <v>21118</v>
      </c>
      <c r="D143" t="s">
        <v>26</v>
      </c>
      <c r="E143" t="s">
        <v>27</v>
      </c>
      <c r="F143" t="s">
        <v>51</v>
      </c>
      <c r="G143" t="str">
        <f>_xlfn.XLOOKUP(Table1_1[[#This Row],[Parameter]],[1]analyte_order!$B:$B,[1]analyte_order!$C:$C)</f>
        <v>39108-34-4</v>
      </c>
      <c r="H143">
        <f>_xlfn.XLOOKUP(Table1_1[[#This Row],[CAS_rn]],[1]analyte_order!$C:$C,[1]analyte_order!$E:$E)</f>
        <v>24</v>
      </c>
      <c r="I143">
        <v>0.08</v>
      </c>
    </row>
    <row r="144" spans="1:9" x14ac:dyDescent="0.3">
      <c r="A144" t="s">
        <v>34</v>
      </c>
      <c r="B144" s="1">
        <v>44314</v>
      </c>
      <c r="C144" s="1" t="str">
        <f t="shared" si="2"/>
        <v>21118</v>
      </c>
      <c r="D144" t="s">
        <v>26</v>
      </c>
      <c r="E144" t="s">
        <v>27</v>
      </c>
      <c r="F144" t="s">
        <v>60</v>
      </c>
      <c r="G144" t="str">
        <f>_xlfn.XLOOKUP(Table1_1[[#This Row],[Parameter]],[1]analyte_order!$B:$B,[1]analyte_order!$C:$C)</f>
        <v>754-91-6</v>
      </c>
      <c r="H144">
        <f>_xlfn.XLOOKUP(Table1_1[[#This Row],[CAS_rn]],[1]analyte_order!$C:$C,[1]analyte_order!$E:$E)</f>
        <v>28</v>
      </c>
      <c r="I144">
        <v>0.02</v>
      </c>
    </row>
    <row r="145" spans="1:9" x14ac:dyDescent="0.3">
      <c r="A145" t="s">
        <v>34</v>
      </c>
      <c r="B145" s="1">
        <v>44314</v>
      </c>
      <c r="C145" s="1" t="str">
        <f t="shared" si="2"/>
        <v>21118</v>
      </c>
      <c r="D145" t="s">
        <v>26</v>
      </c>
      <c r="E145" t="s">
        <v>27</v>
      </c>
      <c r="F145" t="s">
        <v>58</v>
      </c>
      <c r="G145" t="str">
        <f>_xlfn.XLOOKUP(Table1_1[[#This Row],[Parameter]],[1]analyte_order!$B:$B,[1]analyte_order!$C:$C)</f>
        <v>31506-32-8</v>
      </c>
      <c r="H145">
        <f>_xlfn.XLOOKUP(Table1_1[[#This Row],[CAS_rn]],[1]analyte_order!$C:$C,[1]analyte_order!$E:$E)</f>
        <v>30</v>
      </c>
      <c r="I145">
        <v>0.02</v>
      </c>
    </row>
    <row r="146" spans="1:9" x14ac:dyDescent="0.3">
      <c r="A146" t="s">
        <v>34</v>
      </c>
      <c r="B146" s="1">
        <v>44314</v>
      </c>
      <c r="C146" s="1" t="str">
        <f t="shared" si="2"/>
        <v>21118</v>
      </c>
      <c r="D146" t="s">
        <v>26</v>
      </c>
      <c r="E146" t="s">
        <v>27</v>
      </c>
      <c r="F146" t="s">
        <v>59</v>
      </c>
      <c r="G146" t="str">
        <f>_xlfn.XLOOKUP(Table1_1[[#This Row],[Parameter]],[1]analyte_order!$B:$B,[1]analyte_order!$C:$C)</f>
        <v>2355-31-9</v>
      </c>
      <c r="H146">
        <f>_xlfn.XLOOKUP(Table1_1[[#This Row],[CAS_rn]],[1]analyte_order!$C:$C,[1]analyte_order!$E:$E)</f>
        <v>26</v>
      </c>
      <c r="I146">
        <v>0.02</v>
      </c>
    </row>
    <row r="147" spans="1:9" x14ac:dyDescent="0.3">
      <c r="A147" t="s">
        <v>34</v>
      </c>
      <c r="B147" s="1">
        <v>44314</v>
      </c>
      <c r="C147" s="1" t="str">
        <f t="shared" si="2"/>
        <v>21118</v>
      </c>
      <c r="D147" t="s">
        <v>26</v>
      </c>
      <c r="E147" t="s">
        <v>27</v>
      </c>
      <c r="F147" t="s">
        <v>57</v>
      </c>
      <c r="G147" t="str">
        <f>_xlfn.XLOOKUP(Table1_1[[#This Row],[Parameter]],[1]analyte_order!$B:$B,[1]analyte_order!$C:$C)</f>
        <v>2991-50-6</v>
      </c>
      <c r="H147">
        <f>_xlfn.XLOOKUP(Table1_1[[#This Row],[CAS_rn]],[1]analyte_order!$C:$C,[1]analyte_order!$E:$E)</f>
        <v>27</v>
      </c>
      <c r="I147">
        <v>0.02</v>
      </c>
    </row>
    <row r="148" spans="1:9" x14ac:dyDescent="0.3">
      <c r="A148" t="s">
        <v>34</v>
      </c>
      <c r="B148" s="1">
        <v>44314</v>
      </c>
      <c r="C148" s="1" t="str">
        <f t="shared" si="2"/>
        <v>21118</v>
      </c>
      <c r="D148" t="s">
        <v>26</v>
      </c>
      <c r="E148" t="s">
        <v>27</v>
      </c>
      <c r="F148" t="s">
        <v>24</v>
      </c>
      <c r="G148" t="str">
        <f>_xlfn.XLOOKUP(Table1_1[[#This Row],[Parameter]],[1]analyte_order!$B:$B,[1]analyte_order!$C:$C)</f>
        <v>919005-14-4</v>
      </c>
      <c r="H148">
        <f>_xlfn.XLOOKUP(Table1_1[[#This Row],[CAS_rn]],[1]analyte_order!$C:$C,[1]analyte_order!$E:$E)</f>
        <v>35</v>
      </c>
      <c r="I148">
        <v>0.08</v>
      </c>
    </row>
    <row r="149" spans="1:9" x14ac:dyDescent="0.3">
      <c r="A149" t="s">
        <v>34</v>
      </c>
      <c r="B149" s="1">
        <v>44314</v>
      </c>
      <c r="C149" s="1" t="str">
        <f t="shared" si="2"/>
        <v>21118</v>
      </c>
      <c r="D149" t="s">
        <v>26</v>
      </c>
      <c r="E149" t="s">
        <v>27</v>
      </c>
      <c r="F149" t="s">
        <v>52</v>
      </c>
      <c r="G149" t="str">
        <f>_xlfn.XLOOKUP(Table1_1[[#This Row],[Parameter]],[1]analyte_order!$B:$B,[1]analyte_order!$C:$C)</f>
        <v>356-02-5</v>
      </c>
      <c r="H149">
        <f>_xlfn.XLOOKUP(Table1_1[[#This Row],[CAS_rn]],[1]analyte_order!$C:$C,[1]analyte_order!$E:$E)</f>
        <v>38</v>
      </c>
      <c r="I149">
        <v>0.08</v>
      </c>
    </row>
    <row r="150" spans="1:9" x14ac:dyDescent="0.3">
      <c r="A150" t="s">
        <v>34</v>
      </c>
      <c r="B150" s="1">
        <v>44314</v>
      </c>
      <c r="C150" s="1" t="str">
        <f t="shared" si="2"/>
        <v>21118</v>
      </c>
      <c r="D150" t="s">
        <v>26</v>
      </c>
      <c r="E150" t="s">
        <v>27</v>
      </c>
      <c r="F150" t="s">
        <v>53</v>
      </c>
      <c r="G150" t="str">
        <f>_xlfn.XLOOKUP(Table1_1[[#This Row],[Parameter]],[1]analyte_order!$B:$B,[1]analyte_order!$C:$C)</f>
        <v>914637-49-3</v>
      </c>
      <c r="H150">
        <f>_xlfn.XLOOKUP(Table1_1[[#This Row],[CAS_rn]],[1]analyte_order!$C:$C,[1]analyte_order!$E:$E)</f>
        <v>39</v>
      </c>
      <c r="I150">
        <v>0.5</v>
      </c>
    </row>
    <row r="151" spans="1:9" x14ac:dyDescent="0.3">
      <c r="A151" t="s">
        <v>34</v>
      </c>
      <c r="B151" s="1">
        <v>44314</v>
      </c>
      <c r="C151" s="1" t="str">
        <f t="shared" si="2"/>
        <v>21118</v>
      </c>
      <c r="D151" t="s">
        <v>26</v>
      </c>
      <c r="E151" t="s">
        <v>27</v>
      </c>
      <c r="F151" t="s">
        <v>54</v>
      </c>
      <c r="G151" t="str">
        <f>_xlfn.XLOOKUP(Table1_1[[#This Row],[Parameter]],[1]analyte_order!$B:$B,[1]analyte_order!$C:$C)</f>
        <v>812-70-4</v>
      </c>
      <c r="H151">
        <f>_xlfn.XLOOKUP(Table1_1[[#This Row],[CAS_rn]],[1]analyte_order!$C:$C,[1]analyte_order!$E:$E)</f>
        <v>40</v>
      </c>
      <c r="I151">
        <v>0.5</v>
      </c>
    </row>
    <row r="152" spans="1:9" x14ac:dyDescent="0.3">
      <c r="A152" t="s">
        <v>35</v>
      </c>
      <c r="B152" s="1">
        <v>44314</v>
      </c>
      <c r="C152" s="1" t="str">
        <f t="shared" si="2"/>
        <v>21118</v>
      </c>
      <c r="D152" t="s">
        <v>29</v>
      </c>
      <c r="E152" t="s">
        <v>27</v>
      </c>
      <c r="F152" t="s">
        <v>5</v>
      </c>
      <c r="G152" t="str">
        <f>_xlfn.XLOOKUP(Table1_1[[#This Row],[Parameter]],[1]analyte_order!$B:$B,[1]analyte_order!$C:$C)</f>
        <v>375-22-4</v>
      </c>
      <c r="H152">
        <f>_xlfn.XLOOKUP(Table1_1[[#This Row],[CAS_rn]],[1]analyte_order!$C:$C,[1]analyte_order!$E:$E)</f>
        <v>1</v>
      </c>
      <c r="I152">
        <v>0.08</v>
      </c>
    </row>
    <row r="153" spans="1:9" x14ac:dyDescent="0.3">
      <c r="A153" t="s">
        <v>35</v>
      </c>
      <c r="B153" s="1">
        <v>44314</v>
      </c>
      <c r="C153" s="1" t="str">
        <f t="shared" si="2"/>
        <v>21118</v>
      </c>
      <c r="D153" t="s">
        <v>29</v>
      </c>
      <c r="E153" t="s">
        <v>27</v>
      </c>
      <c r="F153" t="s">
        <v>6</v>
      </c>
      <c r="G153" t="str">
        <f>_xlfn.XLOOKUP(Table1_1[[#This Row],[Parameter]],[1]analyte_order!$B:$B,[1]analyte_order!$C:$C)</f>
        <v>2706-90-3</v>
      </c>
      <c r="H153">
        <f>_xlfn.XLOOKUP(Table1_1[[#This Row],[CAS_rn]],[1]analyte_order!$C:$C,[1]analyte_order!$E:$E)</f>
        <v>2</v>
      </c>
      <c r="I153">
        <v>0.04</v>
      </c>
    </row>
    <row r="154" spans="1:9" x14ac:dyDescent="0.3">
      <c r="A154" t="s">
        <v>35</v>
      </c>
      <c r="B154" s="1">
        <v>44314</v>
      </c>
      <c r="C154" s="1" t="str">
        <f t="shared" si="2"/>
        <v>21118</v>
      </c>
      <c r="D154" t="s">
        <v>29</v>
      </c>
      <c r="E154" t="s">
        <v>27</v>
      </c>
      <c r="F154" t="s">
        <v>7</v>
      </c>
      <c r="G154" t="str">
        <f>_xlfn.XLOOKUP(Table1_1[[#This Row],[Parameter]],[1]analyte_order!$B:$B,[1]analyte_order!$C:$C)</f>
        <v>307-24-4</v>
      </c>
      <c r="H154">
        <f>_xlfn.XLOOKUP(Table1_1[[#This Row],[CAS_rn]],[1]analyte_order!$C:$C,[1]analyte_order!$E:$E)</f>
        <v>3</v>
      </c>
      <c r="I154">
        <v>7.4999999999999997E-2</v>
      </c>
    </row>
    <row r="155" spans="1:9" x14ac:dyDescent="0.3">
      <c r="A155" t="s">
        <v>35</v>
      </c>
      <c r="B155" s="1">
        <v>44314</v>
      </c>
      <c r="C155" s="1" t="str">
        <f t="shared" si="2"/>
        <v>21118</v>
      </c>
      <c r="D155" t="s">
        <v>29</v>
      </c>
      <c r="E155" t="s">
        <v>27</v>
      </c>
      <c r="F155" t="s">
        <v>8</v>
      </c>
      <c r="G155" t="str">
        <f>_xlfn.XLOOKUP(Table1_1[[#This Row],[Parameter]],[1]analyte_order!$B:$B,[1]analyte_order!$C:$C)</f>
        <v>375-85-9</v>
      </c>
      <c r="H155">
        <f>_xlfn.XLOOKUP(Table1_1[[#This Row],[CAS_rn]],[1]analyte_order!$C:$C,[1]analyte_order!$E:$E)</f>
        <v>4</v>
      </c>
      <c r="I155">
        <v>0.02</v>
      </c>
    </row>
    <row r="156" spans="1:9" x14ac:dyDescent="0.3">
      <c r="A156" t="s">
        <v>35</v>
      </c>
      <c r="B156" s="1">
        <v>44314</v>
      </c>
      <c r="C156" s="1" t="str">
        <f t="shared" si="2"/>
        <v>21118</v>
      </c>
      <c r="D156" t="s">
        <v>29</v>
      </c>
      <c r="E156" t="s">
        <v>27</v>
      </c>
      <c r="F156" t="s">
        <v>9</v>
      </c>
      <c r="G156" t="str">
        <f>_xlfn.XLOOKUP(Table1_1[[#This Row],[Parameter]],[1]analyte_order!$B:$B,[1]analyte_order!$C:$C)</f>
        <v>335-67-1</v>
      </c>
      <c r="H156">
        <f>_xlfn.XLOOKUP(Table1_1[[#This Row],[CAS_rn]],[1]analyte_order!$C:$C,[1]analyte_order!$E:$E)</f>
        <v>5</v>
      </c>
      <c r="I156">
        <v>7.9000000000000001E-2</v>
      </c>
    </row>
    <row r="157" spans="1:9" x14ac:dyDescent="0.3">
      <c r="A157" t="s">
        <v>35</v>
      </c>
      <c r="B157" s="1">
        <v>44314</v>
      </c>
      <c r="C157" s="1" t="str">
        <f t="shared" si="2"/>
        <v>21118</v>
      </c>
      <c r="D157" t="s">
        <v>29</v>
      </c>
      <c r="E157" t="s">
        <v>27</v>
      </c>
      <c r="F157" t="s">
        <v>10</v>
      </c>
      <c r="G157" t="str">
        <f>_xlfn.XLOOKUP(Table1_1[[#This Row],[Parameter]],[1]analyte_order!$B:$B,[1]analyte_order!$C:$C)</f>
        <v>375-95-1</v>
      </c>
      <c r="H157">
        <f>_xlfn.XLOOKUP(Table1_1[[#This Row],[CAS_rn]],[1]analyte_order!$C:$C,[1]analyte_order!$E:$E)</f>
        <v>6</v>
      </c>
      <c r="I157">
        <v>0.02</v>
      </c>
    </row>
    <row r="158" spans="1:9" x14ac:dyDescent="0.3">
      <c r="A158" t="s">
        <v>35</v>
      </c>
      <c r="B158" s="1">
        <v>44314</v>
      </c>
      <c r="C158" s="1" t="str">
        <f t="shared" si="2"/>
        <v>21118</v>
      </c>
      <c r="D158" t="s">
        <v>29</v>
      </c>
      <c r="E158" t="s">
        <v>27</v>
      </c>
      <c r="F158" t="s">
        <v>11</v>
      </c>
      <c r="G158" t="str">
        <f>_xlfn.XLOOKUP(Table1_1[[#This Row],[Parameter]],[1]analyte_order!$B:$B,[1]analyte_order!$C:$C)</f>
        <v>335-76-2</v>
      </c>
      <c r="H158">
        <f>_xlfn.XLOOKUP(Table1_1[[#This Row],[CAS_rn]],[1]analyte_order!$C:$C,[1]analyte_order!$E:$E)</f>
        <v>7</v>
      </c>
      <c r="I158">
        <v>0.02</v>
      </c>
    </row>
    <row r="159" spans="1:9" x14ac:dyDescent="0.3">
      <c r="A159" t="s">
        <v>35</v>
      </c>
      <c r="B159" s="1">
        <v>44314</v>
      </c>
      <c r="C159" s="1" t="str">
        <f t="shared" si="2"/>
        <v>21118</v>
      </c>
      <c r="D159" t="s">
        <v>29</v>
      </c>
      <c r="E159" t="s">
        <v>27</v>
      </c>
      <c r="F159" t="s">
        <v>12</v>
      </c>
      <c r="G159" t="str">
        <f>_xlfn.XLOOKUP(Table1_1[[#This Row],[Parameter]],[1]analyte_order!$B:$B,[1]analyte_order!$C:$C)</f>
        <v>2058-94-8</v>
      </c>
      <c r="H159">
        <f>_xlfn.XLOOKUP(Table1_1[[#This Row],[CAS_rn]],[1]analyte_order!$C:$C,[1]analyte_order!$E:$E)</f>
        <v>8</v>
      </c>
      <c r="I159">
        <v>0.02</v>
      </c>
    </row>
    <row r="160" spans="1:9" x14ac:dyDescent="0.3">
      <c r="A160" t="s">
        <v>35</v>
      </c>
      <c r="B160" s="1">
        <v>44314</v>
      </c>
      <c r="C160" s="1" t="str">
        <f t="shared" si="2"/>
        <v>21118</v>
      </c>
      <c r="D160" t="s">
        <v>29</v>
      </c>
      <c r="E160" t="s">
        <v>27</v>
      </c>
      <c r="F160" t="s">
        <v>13</v>
      </c>
      <c r="G160" t="str">
        <f>_xlfn.XLOOKUP(Table1_1[[#This Row],[Parameter]],[1]analyte_order!$B:$B,[1]analyte_order!$C:$C)</f>
        <v>307-55-1</v>
      </c>
      <c r="H160">
        <f>_xlfn.XLOOKUP(Table1_1[[#This Row],[CAS_rn]],[1]analyte_order!$C:$C,[1]analyte_order!$E:$E)</f>
        <v>9</v>
      </c>
      <c r="I160">
        <v>0.02</v>
      </c>
    </row>
    <row r="161" spans="1:9" x14ac:dyDescent="0.3">
      <c r="A161" t="s">
        <v>35</v>
      </c>
      <c r="B161" s="1">
        <v>44314</v>
      </c>
      <c r="C161" s="1" t="str">
        <f t="shared" si="2"/>
        <v>21118</v>
      </c>
      <c r="D161" t="s">
        <v>29</v>
      </c>
      <c r="E161" t="s">
        <v>27</v>
      </c>
      <c r="F161" t="s">
        <v>14</v>
      </c>
      <c r="G161" t="str">
        <f>_xlfn.XLOOKUP(Table1_1[[#This Row],[Parameter]],[1]analyte_order!$B:$B,[1]analyte_order!$C:$C)</f>
        <v>72629-94-8</v>
      </c>
      <c r="H161">
        <f>_xlfn.XLOOKUP(Table1_1[[#This Row],[CAS_rn]],[1]analyte_order!$C:$C,[1]analyte_order!$E:$E)</f>
        <v>10</v>
      </c>
      <c r="I161">
        <v>0.02</v>
      </c>
    </row>
    <row r="162" spans="1:9" x14ac:dyDescent="0.3">
      <c r="A162" t="s">
        <v>35</v>
      </c>
      <c r="B162" s="1">
        <v>44314</v>
      </c>
      <c r="C162" s="1" t="str">
        <f t="shared" si="2"/>
        <v>21118</v>
      </c>
      <c r="D162" t="s">
        <v>29</v>
      </c>
      <c r="E162" t="s">
        <v>27</v>
      </c>
      <c r="F162" t="s">
        <v>15</v>
      </c>
      <c r="G162" t="str">
        <f>_xlfn.XLOOKUP(Table1_1[[#This Row],[Parameter]],[1]analyte_order!$B:$B,[1]analyte_order!$C:$C)</f>
        <v>376-06-7</v>
      </c>
      <c r="H162">
        <f>_xlfn.XLOOKUP(Table1_1[[#This Row],[CAS_rn]],[1]analyte_order!$C:$C,[1]analyte_order!$E:$E)</f>
        <v>11</v>
      </c>
      <c r="I162">
        <v>0.02</v>
      </c>
    </row>
    <row r="163" spans="1:9" x14ac:dyDescent="0.3">
      <c r="A163" t="s">
        <v>35</v>
      </c>
      <c r="B163" s="1">
        <v>44314</v>
      </c>
      <c r="C163" s="1" t="str">
        <f t="shared" si="2"/>
        <v>21118</v>
      </c>
      <c r="D163" t="s">
        <v>29</v>
      </c>
      <c r="E163" t="s">
        <v>27</v>
      </c>
      <c r="F163" t="s">
        <v>16</v>
      </c>
      <c r="G163" t="str">
        <f>_xlfn.XLOOKUP(Table1_1[[#This Row],[Parameter]],[1]analyte_order!$B:$B,[1]analyte_order!$C:$C)</f>
        <v>375-73-5</v>
      </c>
      <c r="H163">
        <f>_xlfn.XLOOKUP(Table1_1[[#This Row],[CAS_rn]],[1]analyte_order!$C:$C,[1]analyte_order!$E:$E)</f>
        <v>14</v>
      </c>
      <c r="I163">
        <v>0.02</v>
      </c>
    </row>
    <row r="164" spans="1:9" x14ac:dyDescent="0.3">
      <c r="A164" t="s">
        <v>35</v>
      </c>
      <c r="B164" s="1">
        <v>44314</v>
      </c>
      <c r="C164" s="1" t="str">
        <f t="shared" si="2"/>
        <v>21118</v>
      </c>
      <c r="D164" t="s">
        <v>29</v>
      </c>
      <c r="E164" t="s">
        <v>27</v>
      </c>
      <c r="F164" t="s">
        <v>17</v>
      </c>
      <c r="G164" t="str">
        <f>_xlfn.XLOOKUP(Table1_1[[#This Row],[Parameter]],[1]analyte_order!$B:$B,[1]analyte_order!$C:$C)</f>
        <v>2706-91-4</v>
      </c>
      <c r="H164">
        <f>_xlfn.XLOOKUP(Table1_1[[#This Row],[CAS_rn]],[1]analyte_order!$C:$C,[1]analyte_order!$E:$E)</f>
        <v>15</v>
      </c>
      <c r="I164">
        <v>0.02</v>
      </c>
    </row>
    <row r="165" spans="1:9" x14ac:dyDescent="0.3">
      <c r="A165" t="s">
        <v>35</v>
      </c>
      <c r="B165" s="1">
        <v>44314</v>
      </c>
      <c r="C165" s="1" t="str">
        <f t="shared" si="2"/>
        <v>21118</v>
      </c>
      <c r="D165" t="s">
        <v>29</v>
      </c>
      <c r="E165" t="s">
        <v>27</v>
      </c>
      <c r="F165" t="s">
        <v>18</v>
      </c>
      <c r="G165" t="str">
        <f>_xlfn.XLOOKUP(Table1_1[[#This Row],[Parameter]],[1]analyte_order!$B:$B,[1]analyte_order!$C:$C)</f>
        <v>355-46-4</v>
      </c>
      <c r="H165">
        <f>_xlfn.XLOOKUP(Table1_1[[#This Row],[CAS_rn]],[1]analyte_order!$C:$C,[1]analyte_order!$E:$E)</f>
        <v>16</v>
      </c>
      <c r="I165">
        <v>0.21099999999999999</v>
      </c>
    </row>
    <row r="166" spans="1:9" x14ac:dyDescent="0.3">
      <c r="A166" t="s">
        <v>35</v>
      </c>
      <c r="B166" s="1">
        <v>44314</v>
      </c>
      <c r="C166" s="1" t="str">
        <f t="shared" si="2"/>
        <v>21118</v>
      </c>
      <c r="D166" t="s">
        <v>29</v>
      </c>
      <c r="E166" t="s">
        <v>27</v>
      </c>
      <c r="F166" t="s">
        <v>19</v>
      </c>
      <c r="G166" t="str">
        <f>_xlfn.XLOOKUP(Table1_1[[#This Row],[Parameter]],[1]analyte_order!$B:$B,[1]analyte_order!$C:$C)</f>
        <v>375-92-8</v>
      </c>
      <c r="H166">
        <f>_xlfn.XLOOKUP(Table1_1[[#This Row],[CAS_rn]],[1]analyte_order!$C:$C,[1]analyte_order!$E:$E)</f>
        <v>17</v>
      </c>
      <c r="I166">
        <v>0.02</v>
      </c>
    </row>
    <row r="167" spans="1:9" x14ac:dyDescent="0.3">
      <c r="A167" t="s">
        <v>35</v>
      </c>
      <c r="B167" s="1">
        <v>44314</v>
      </c>
      <c r="C167" s="1" t="str">
        <f t="shared" si="2"/>
        <v>21118</v>
      </c>
      <c r="D167" t="s">
        <v>29</v>
      </c>
      <c r="E167" t="s">
        <v>27</v>
      </c>
      <c r="F167" t="s">
        <v>20</v>
      </c>
      <c r="G167" t="str">
        <f>_xlfn.XLOOKUP(Table1_1[[#This Row],[Parameter]],[1]analyte_order!$B:$B,[1]analyte_order!$C:$C)</f>
        <v>1763-23-1</v>
      </c>
      <c r="H167">
        <f>_xlfn.XLOOKUP(Table1_1[[#This Row],[CAS_rn]],[1]analyte_order!$C:$C,[1]analyte_order!$E:$E)</f>
        <v>18</v>
      </c>
      <c r="I167">
        <v>0.69299999999999995</v>
      </c>
    </row>
    <row r="168" spans="1:9" x14ac:dyDescent="0.3">
      <c r="A168" t="s">
        <v>35</v>
      </c>
      <c r="B168" s="1">
        <v>44314</v>
      </c>
      <c r="C168" s="1" t="str">
        <f t="shared" si="2"/>
        <v>21118</v>
      </c>
      <c r="D168" t="s">
        <v>29</v>
      </c>
      <c r="E168" t="s">
        <v>27</v>
      </c>
      <c r="F168" t="s">
        <v>21</v>
      </c>
      <c r="G168" t="str">
        <f>_xlfn.XLOOKUP(Table1_1[[#This Row],[Parameter]],[1]analyte_order!$B:$B,[1]analyte_order!$C:$C)</f>
        <v>68259-12-1</v>
      </c>
      <c r="H168">
        <f>_xlfn.XLOOKUP(Table1_1[[#This Row],[CAS_rn]],[1]analyte_order!$C:$C,[1]analyte_order!$E:$E)</f>
        <v>19</v>
      </c>
      <c r="I168">
        <v>0.02</v>
      </c>
    </row>
    <row r="169" spans="1:9" x14ac:dyDescent="0.3">
      <c r="A169" t="s">
        <v>35</v>
      </c>
      <c r="B169" s="1">
        <v>44314</v>
      </c>
      <c r="C169" s="1" t="str">
        <f t="shared" si="2"/>
        <v>21118</v>
      </c>
      <c r="D169" t="s">
        <v>29</v>
      </c>
      <c r="E169" t="s">
        <v>27</v>
      </c>
      <c r="F169" t="s">
        <v>22</v>
      </c>
      <c r="G169" t="str">
        <f>_xlfn.XLOOKUP(Table1_1[[#This Row],[Parameter]],[1]analyte_order!$B:$B,[1]analyte_order!$C:$C)</f>
        <v>335-77-3</v>
      </c>
      <c r="H169">
        <f>_xlfn.XLOOKUP(Table1_1[[#This Row],[CAS_rn]],[1]analyte_order!$C:$C,[1]analyte_order!$E:$E)</f>
        <v>20</v>
      </c>
      <c r="I169">
        <v>0.02</v>
      </c>
    </row>
    <row r="170" spans="1:9" x14ac:dyDescent="0.3">
      <c r="A170" t="s">
        <v>35</v>
      </c>
      <c r="B170" s="1">
        <v>44314</v>
      </c>
      <c r="C170" s="1" t="str">
        <f t="shared" si="2"/>
        <v>21118</v>
      </c>
      <c r="D170" t="s">
        <v>29</v>
      </c>
      <c r="E170" t="s">
        <v>27</v>
      </c>
      <c r="F170" t="s">
        <v>23</v>
      </c>
      <c r="G170" t="str">
        <f>_xlfn.XLOOKUP(Table1_1[[#This Row],[Parameter]],[1]analyte_order!$B:$B,[1]analyte_order!$C:$C)</f>
        <v>79780-39-5</v>
      </c>
      <c r="H170">
        <f>_xlfn.XLOOKUP(Table1_1[[#This Row],[CAS_rn]],[1]analyte_order!$C:$C,[1]analyte_order!$E:$E)</f>
        <v>21</v>
      </c>
      <c r="I170">
        <v>0.02</v>
      </c>
    </row>
    <row r="171" spans="1:9" x14ac:dyDescent="0.3">
      <c r="A171" t="s">
        <v>35</v>
      </c>
      <c r="B171" s="1">
        <v>44314</v>
      </c>
      <c r="C171" s="1" t="str">
        <f t="shared" si="2"/>
        <v>21118</v>
      </c>
      <c r="D171" t="s">
        <v>29</v>
      </c>
      <c r="E171" t="s">
        <v>27</v>
      </c>
      <c r="F171" t="s">
        <v>49</v>
      </c>
      <c r="G171" t="str">
        <f>_xlfn.XLOOKUP(Table1_1[[#This Row],[Parameter]],[1]analyte_order!$B:$B,[1]analyte_order!$C:$C)</f>
        <v>757124-72-4</v>
      </c>
      <c r="H171">
        <f>_xlfn.XLOOKUP(Table1_1[[#This Row],[CAS_rn]],[1]analyte_order!$C:$C,[1]analyte_order!$E:$E)</f>
        <v>22</v>
      </c>
      <c r="I171">
        <v>0.08</v>
      </c>
    </row>
    <row r="172" spans="1:9" x14ac:dyDescent="0.3">
      <c r="A172" t="s">
        <v>35</v>
      </c>
      <c r="B172" s="1">
        <v>44314</v>
      </c>
      <c r="C172" s="1" t="str">
        <f t="shared" si="2"/>
        <v>21118</v>
      </c>
      <c r="D172" t="s">
        <v>29</v>
      </c>
      <c r="E172" t="s">
        <v>27</v>
      </c>
      <c r="F172" t="s">
        <v>50</v>
      </c>
      <c r="G172" t="str">
        <f>_xlfn.XLOOKUP(Table1_1[[#This Row],[Parameter]],[1]analyte_order!$B:$B,[1]analyte_order!$C:$C)</f>
        <v>27619-97-2</v>
      </c>
      <c r="H172">
        <f>_xlfn.XLOOKUP(Table1_1[[#This Row],[CAS_rn]],[1]analyte_order!$C:$C,[1]analyte_order!$E:$E)</f>
        <v>23</v>
      </c>
      <c r="I172">
        <v>0.08</v>
      </c>
    </row>
    <row r="173" spans="1:9" x14ac:dyDescent="0.3">
      <c r="A173" t="s">
        <v>35</v>
      </c>
      <c r="B173" s="1">
        <v>44314</v>
      </c>
      <c r="C173" s="1" t="str">
        <f t="shared" si="2"/>
        <v>21118</v>
      </c>
      <c r="D173" t="s">
        <v>29</v>
      </c>
      <c r="E173" t="s">
        <v>27</v>
      </c>
      <c r="F173" t="s">
        <v>51</v>
      </c>
      <c r="G173" t="str">
        <f>_xlfn.XLOOKUP(Table1_1[[#This Row],[Parameter]],[1]analyte_order!$B:$B,[1]analyte_order!$C:$C)</f>
        <v>39108-34-4</v>
      </c>
      <c r="H173">
        <f>_xlfn.XLOOKUP(Table1_1[[#This Row],[CAS_rn]],[1]analyte_order!$C:$C,[1]analyte_order!$E:$E)</f>
        <v>24</v>
      </c>
      <c r="I173">
        <v>0.08</v>
      </c>
    </row>
    <row r="174" spans="1:9" x14ac:dyDescent="0.3">
      <c r="A174" t="s">
        <v>35</v>
      </c>
      <c r="B174" s="1">
        <v>44314</v>
      </c>
      <c r="C174" s="1" t="str">
        <f t="shared" si="2"/>
        <v>21118</v>
      </c>
      <c r="D174" t="s">
        <v>29</v>
      </c>
      <c r="E174" t="s">
        <v>27</v>
      </c>
      <c r="F174" t="s">
        <v>60</v>
      </c>
      <c r="G174" t="str">
        <f>_xlfn.XLOOKUP(Table1_1[[#This Row],[Parameter]],[1]analyte_order!$B:$B,[1]analyte_order!$C:$C)</f>
        <v>754-91-6</v>
      </c>
      <c r="H174">
        <f>_xlfn.XLOOKUP(Table1_1[[#This Row],[CAS_rn]],[1]analyte_order!$C:$C,[1]analyte_order!$E:$E)</f>
        <v>28</v>
      </c>
      <c r="I174">
        <v>4.1000000000000002E-2</v>
      </c>
    </row>
    <row r="175" spans="1:9" x14ac:dyDescent="0.3">
      <c r="A175" t="s">
        <v>35</v>
      </c>
      <c r="B175" s="1">
        <v>44314</v>
      </c>
      <c r="C175" s="1" t="str">
        <f t="shared" si="2"/>
        <v>21118</v>
      </c>
      <c r="D175" t="s">
        <v>29</v>
      </c>
      <c r="E175" t="s">
        <v>27</v>
      </c>
      <c r="F175" t="s">
        <v>58</v>
      </c>
      <c r="G175" t="str">
        <f>_xlfn.XLOOKUP(Table1_1[[#This Row],[Parameter]],[1]analyte_order!$B:$B,[1]analyte_order!$C:$C)</f>
        <v>31506-32-8</v>
      </c>
      <c r="H175">
        <f>_xlfn.XLOOKUP(Table1_1[[#This Row],[CAS_rn]],[1]analyte_order!$C:$C,[1]analyte_order!$E:$E)</f>
        <v>30</v>
      </c>
      <c r="I175">
        <v>0.02</v>
      </c>
    </row>
    <row r="176" spans="1:9" x14ac:dyDescent="0.3">
      <c r="A176" t="s">
        <v>35</v>
      </c>
      <c r="B176" s="1">
        <v>44314</v>
      </c>
      <c r="C176" s="1" t="str">
        <f t="shared" si="2"/>
        <v>21118</v>
      </c>
      <c r="D176" t="s">
        <v>29</v>
      </c>
      <c r="E176" t="s">
        <v>27</v>
      </c>
      <c r="F176" t="s">
        <v>59</v>
      </c>
      <c r="G176" t="str">
        <f>_xlfn.XLOOKUP(Table1_1[[#This Row],[Parameter]],[1]analyte_order!$B:$B,[1]analyte_order!$C:$C)</f>
        <v>2355-31-9</v>
      </c>
      <c r="H176">
        <f>_xlfn.XLOOKUP(Table1_1[[#This Row],[CAS_rn]],[1]analyte_order!$C:$C,[1]analyte_order!$E:$E)</f>
        <v>26</v>
      </c>
      <c r="I176">
        <v>0.02</v>
      </c>
    </row>
    <row r="177" spans="1:9" x14ac:dyDescent="0.3">
      <c r="A177" t="s">
        <v>35</v>
      </c>
      <c r="B177" s="1">
        <v>44314</v>
      </c>
      <c r="C177" s="1" t="str">
        <f t="shared" si="2"/>
        <v>21118</v>
      </c>
      <c r="D177" t="s">
        <v>29</v>
      </c>
      <c r="E177" t="s">
        <v>27</v>
      </c>
      <c r="F177" t="s">
        <v>57</v>
      </c>
      <c r="G177" t="str">
        <f>_xlfn.XLOOKUP(Table1_1[[#This Row],[Parameter]],[1]analyte_order!$B:$B,[1]analyte_order!$C:$C)</f>
        <v>2991-50-6</v>
      </c>
      <c r="H177">
        <f>_xlfn.XLOOKUP(Table1_1[[#This Row],[CAS_rn]],[1]analyte_order!$C:$C,[1]analyte_order!$E:$E)</f>
        <v>27</v>
      </c>
      <c r="I177">
        <v>0.02</v>
      </c>
    </row>
    <row r="178" spans="1:9" x14ac:dyDescent="0.3">
      <c r="A178" t="s">
        <v>35</v>
      </c>
      <c r="B178" s="1">
        <v>44314</v>
      </c>
      <c r="C178" s="1" t="str">
        <f t="shared" si="2"/>
        <v>21118</v>
      </c>
      <c r="D178" t="s">
        <v>29</v>
      </c>
      <c r="E178" t="s">
        <v>27</v>
      </c>
      <c r="F178" t="s">
        <v>24</v>
      </c>
      <c r="G178" t="str">
        <f>_xlfn.XLOOKUP(Table1_1[[#This Row],[Parameter]],[1]analyte_order!$B:$B,[1]analyte_order!$C:$C)</f>
        <v>919005-14-4</v>
      </c>
      <c r="H178">
        <f>_xlfn.XLOOKUP(Table1_1[[#This Row],[CAS_rn]],[1]analyte_order!$C:$C,[1]analyte_order!$E:$E)</f>
        <v>35</v>
      </c>
      <c r="I178">
        <v>0.08</v>
      </c>
    </row>
    <row r="179" spans="1:9" x14ac:dyDescent="0.3">
      <c r="A179" t="s">
        <v>35</v>
      </c>
      <c r="B179" s="1">
        <v>44314</v>
      </c>
      <c r="C179" s="1" t="str">
        <f t="shared" si="2"/>
        <v>21118</v>
      </c>
      <c r="D179" t="s">
        <v>29</v>
      </c>
      <c r="E179" t="s">
        <v>27</v>
      </c>
      <c r="F179" t="s">
        <v>52</v>
      </c>
      <c r="G179" t="str">
        <f>_xlfn.XLOOKUP(Table1_1[[#This Row],[Parameter]],[1]analyte_order!$B:$B,[1]analyte_order!$C:$C)</f>
        <v>356-02-5</v>
      </c>
      <c r="H179">
        <f>_xlfn.XLOOKUP(Table1_1[[#This Row],[CAS_rn]],[1]analyte_order!$C:$C,[1]analyte_order!$E:$E)</f>
        <v>38</v>
      </c>
      <c r="I179">
        <v>0.08</v>
      </c>
    </row>
    <row r="180" spans="1:9" x14ac:dyDescent="0.3">
      <c r="A180" t="s">
        <v>35</v>
      </c>
      <c r="B180" s="1">
        <v>44314</v>
      </c>
      <c r="C180" s="1" t="str">
        <f t="shared" si="2"/>
        <v>21118</v>
      </c>
      <c r="D180" t="s">
        <v>29</v>
      </c>
      <c r="E180" t="s">
        <v>27</v>
      </c>
      <c r="F180" t="s">
        <v>53</v>
      </c>
      <c r="G180" t="str">
        <f>_xlfn.XLOOKUP(Table1_1[[#This Row],[Parameter]],[1]analyte_order!$B:$B,[1]analyte_order!$C:$C)</f>
        <v>914637-49-3</v>
      </c>
      <c r="H180">
        <f>_xlfn.XLOOKUP(Table1_1[[#This Row],[CAS_rn]],[1]analyte_order!$C:$C,[1]analyte_order!$E:$E)</f>
        <v>39</v>
      </c>
      <c r="I180">
        <v>0.5</v>
      </c>
    </row>
    <row r="181" spans="1:9" x14ac:dyDescent="0.3">
      <c r="A181" t="s">
        <v>35</v>
      </c>
      <c r="B181" s="1">
        <v>44314</v>
      </c>
      <c r="C181" s="1" t="str">
        <f t="shared" si="2"/>
        <v>21118</v>
      </c>
      <c r="D181" t="s">
        <v>29</v>
      </c>
      <c r="E181" t="s">
        <v>27</v>
      </c>
      <c r="F181" t="s">
        <v>54</v>
      </c>
      <c r="G181" t="str">
        <f>_xlfn.XLOOKUP(Table1_1[[#This Row],[Parameter]],[1]analyte_order!$B:$B,[1]analyte_order!$C:$C)</f>
        <v>812-70-4</v>
      </c>
      <c r="H181">
        <f>_xlfn.XLOOKUP(Table1_1[[#This Row],[CAS_rn]],[1]analyte_order!$C:$C,[1]analyte_order!$E:$E)</f>
        <v>40</v>
      </c>
      <c r="I181">
        <v>0.5</v>
      </c>
    </row>
    <row r="182" spans="1:9" x14ac:dyDescent="0.3">
      <c r="A182" t="s">
        <v>36</v>
      </c>
      <c r="B182" s="1">
        <v>44314</v>
      </c>
      <c r="C182" s="1" t="str">
        <f t="shared" si="2"/>
        <v>21118</v>
      </c>
      <c r="D182" t="s">
        <v>31</v>
      </c>
      <c r="E182" t="s">
        <v>27</v>
      </c>
      <c r="F182" t="s">
        <v>5</v>
      </c>
      <c r="G182" t="str">
        <f>_xlfn.XLOOKUP(Table1_1[[#This Row],[Parameter]],[1]analyte_order!$B:$B,[1]analyte_order!$C:$C)</f>
        <v>375-22-4</v>
      </c>
      <c r="H182">
        <f>_xlfn.XLOOKUP(Table1_1[[#This Row],[CAS_rn]],[1]analyte_order!$C:$C,[1]analyte_order!$E:$E)</f>
        <v>1</v>
      </c>
      <c r="I182">
        <v>0.08</v>
      </c>
    </row>
    <row r="183" spans="1:9" x14ac:dyDescent="0.3">
      <c r="A183" t="s">
        <v>36</v>
      </c>
      <c r="B183" s="1">
        <v>44314</v>
      </c>
      <c r="C183" s="1" t="str">
        <f t="shared" si="2"/>
        <v>21118</v>
      </c>
      <c r="D183" t="s">
        <v>31</v>
      </c>
      <c r="E183" t="s">
        <v>27</v>
      </c>
      <c r="F183" t="s">
        <v>6</v>
      </c>
      <c r="G183" t="str">
        <f>_xlfn.XLOOKUP(Table1_1[[#This Row],[Parameter]],[1]analyte_order!$B:$B,[1]analyte_order!$C:$C)</f>
        <v>2706-90-3</v>
      </c>
      <c r="H183">
        <f>_xlfn.XLOOKUP(Table1_1[[#This Row],[CAS_rn]],[1]analyte_order!$C:$C,[1]analyte_order!$E:$E)</f>
        <v>2</v>
      </c>
      <c r="I183">
        <v>0.17299999999999999</v>
      </c>
    </row>
    <row r="184" spans="1:9" x14ac:dyDescent="0.3">
      <c r="A184" t="s">
        <v>36</v>
      </c>
      <c r="B184" s="1">
        <v>44314</v>
      </c>
      <c r="C184" s="1" t="str">
        <f t="shared" si="2"/>
        <v>21118</v>
      </c>
      <c r="D184" t="s">
        <v>31</v>
      </c>
      <c r="E184" t="s">
        <v>27</v>
      </c>
      <c r="F184" t="s">
        <v>7</v>
      </c>
      <c r="G184" t="str">
        <f>_xlfn.XLOOKUP(Table1_1[[#This Row],[Parameter]],[1]analyte_order!$B:$B,[1]analyte_order!$C:$C)</f>
        <v>307-24-4</v>
      </c>
      <c r="H184">
        <f>_xlfn.XLOOKUP(Table1_1[[#This Row],[CAS_rn]],[1]analyte_order!$C:$C,[1]analyte_order!$E:$E)</f>
        <v>3</v>
      </c>
      <c r="I184">
        <v>0.71699999999999997</v>
      </c>
    </row>
    <row r="185" spans="1:9" x14ac:dyDescent="0.3">
      <c r="A185" t="s">
        <v>36</v>
      </c>
      <c r="B185" s="1">
        <v>44314</v>
      </c>
      <c r="C185" s="1" t="str">
        <f t="shared" si="2"/>
        <v>21118</v>
      </c>
      <c r="D185" t="s">
        <v>31</v>
      </c>
      <c r="E185" t="s">
        <v>27</v>
      </c>
      <c r="F185" t="s">
        <v>8</v>
      </c>
      <c r="G185" t="str">
        <f>_xlfn.XLOOKUP(Table1_1[[#This Row],[Parameter]],[1]analyte_order!$B:$B,[1]analyte_order!$C:$C)</f>
        <v>375-85-9</v>
      </c>
      <c r="H185">
        <f>_xlfn.XLOOKUP(Table1_1[[#This Row],[CAS_rn]],[1]analyte_order!$C:$C,[1]analyte_order!$E:$E)</f>
        <v>4</v>
      </c>
      <c r="I185">
        <v>4.4999999999999998E-2</v>
      </c>
    </row>
    <row r="186" spans="1:9" x14ac:dyDescent="0.3">
      <c r="A186" t="s">
        <v>36</v>
      </c>
      <c r="B186" s="1">
        <v>44314</v>
      </c>
      <c r="C186" s="1" t="str">
        <f t="shared" si="2"/>
        <v>21118</v>
      </c>
      <c r="D186" t="s">
        <v>31</v>
      </c>
      <c r="E186" t="s">
        <v>27</v>
      </c>
      <c r="F186" t="s">
        <v>9</v>
      </c>
      <c r="G186" t="str">
        <f>_xlfn.XLOOKUP(Table1_1[[#This Row],[Parameter]],[1]analyte_order!$B:$B,[1]analyte_order!$C:$C)</f>
        <v>335-67-1</v>
      </c>
      <c r="H186">
        <f>_xlfn.XLOOKUP(Table1_1[[#This Row],[CAS_rn]],[1]analyte_order!$C:$C,[1]analyte_order!$E:$E)</f>
        <v>5</v>
      </c>
      <c r="I186">
        <v>0.2</v>
      </c>
    </row>
    <row r="187" spans="1:9" x14ac:dyDescent="0.3">
      <c r="A187" t="s">
        <v>36</v>
      </c>
      <c r="B187" s="1">
        <v>44314</v>
      </c>
      <c r="C187" s="1" t="str">
        <f t="shared" si="2"/>
        <v>21118</v>
      </c>
      <c r="D187" t="s">
        <v>31</v>
      </c>
      <c r="E187" t="s">
        <v>27</v>
      </c>
      <c r="F187" t="s">
        <v>10</v>
      </c>
      <c r="G187" t="str">
        <f>_xlfn.XLOOKUP(Table1_1[[#This Row],[Parameter]],[1]analyte_order!$B:$B,[1]analyte_order!$C:$C)</f>
        <v>375-95-1</v>
      </c>
      <c r="H187">
        <f>_xlfn.XLOOKUP(Table1_1[[#This Row],[CAS_rn]],[1]analyte_order!$C:$C,[1]analyte_order!$E:$E)</f>
        <v>6</v>
      </c>
      <c r="I187">
        <v>3.9E-2</v>
      </c>
    </row>
    <row r="188" spans="1:9" x14ac:dyDescent="0.3">
      <c r="A188" t="s">
        <v>36</v>
      </c>
      <c r="B188" s="1">
        <v>44314</v>
      </c>
      <c r="C188" s="1" t="str">
        <f t="shared" si="2"/>
        <v>21118</v>
      </c>
      <c r="D188" t="s">
        <v>31</v>
      </c>
      <c r="E188" t="s">
        <v>27</v>
      </c>
      <c r="F188" t="s">
        <v>11</v>
      </c>
      <c r="G188" t="str">
        <f>_xlfn.XLOOKUP(Table1_1[[#This Row],[Parameter]],[1]analyte_order!$B:$B,[1]analyte_order!$C:$C)</f>
        <v>335-76-2</v>
      </c>
      <c r="H188">
        <f>_xlfn.XLOOKUP(Table1_1[[#This Row],[CAS_rn]],[1]analyte_order!$C:$C,[1]analyte_order!$E:$E)</f>
        <v>7</v>
      </c>
      <c r="I188">
        <v>0.02</v>
      </c>
    </row>
    <row r="189" spans="1:9" x14ac:dyDescent="0.3">
      <c r="A189" t="s">
        <v>36</v>
      </c>
      <c r="B189" s="1">
        <v>44314</v>
      </c>
      <c r="C189" s="1" t="str">
        <f t="shared" si="2"/>
        <v>21118</v>
      </c>
      <c r="D189" t="s">
        <v>31</v>
      </c>
      <c r="E189" t="s">
        <v>27</v>
      </c>
      <c r="F189" t="s">
        <v>12</v>
      </c>
      <c r="G189" t="str">
        <f>_xlfn.XLOOKUP(Table1_1[[#This Row],[Parameter]],[1]analyte_order!$B:$B,[1]analyte_order!$C:$C)</f>
        <v>2058-94-8</v>
      </c>
      <c r="H189">
        <f>_xlfn.XLOOKUP(Table1_1[[#This Row],[CAS_rn]],[1]analyte_order!$C:$C,[1]analyte_order!$E:$E)</f>
        <v>8</v>
      </c>
      <c r="I189">
        <v>4.2999999999999997E-2</v>
      </c>
    </row>
    <row r="190" spans="1:9" x14ac:dyDescent="0.3">
      <c r="A190" t="s">
        <v>36</v>
      </c>
      <c r="B190" s="1">
        <v>44314</v>
      </c>
      <c r="C190" s="1" t="str">
        <f t="shared" si="2"/>
        <v>21118</v>
      </c>
      <c r="D190" t="s">
        <v>31</v>
      </c>
      <c r="E190" t="s">
        <v>27</v>
      </c>
      <c r="F190" t="s">
        <v>13</v>
      </c>
      <c r="G190" t="str">
        <f>_xlfn.XLOOKUP(Table1_1[[#This Row],[Parameter]],[1]analyte_order!$B:$B,[1]analyte_order!$C:$C)</f>
        <v>307-55-1</v>
      </c>
      <c r="H190">
        <f>_xlfn.XLOOKUP(Table1_1[[#This Row],[CAS_rn]],[1]analyte_order!$C:$C,[1]analyte_order!$E:$E)</f>
        <v>9</v>
      </c>
      <c r="I190">
        <v>0.08</v>
      </c>
    </row>
    <row r="191" spans="1:9" x14ac:dyDescent="0.3">
      <c r="A191" t="s">
        <v>36</v>
      </c>
      <c r="B191" s="1">
        <v>44314</v>
      </c>
      <c r="C191" s="1" t="str">
        <f t="shared" si="2"/>
        <v>21118</v>
      </c>
      <c r="D191" t="s">
        <v>31</v>
      </c>
      <c r="E191" t="s">
        <v>27</v>
      </c>
      <c r="F191" t="s">
        <v>14</v>
      </c>
      <c r="G191" t="str">
        <f>_xlfn.XLOOKUP(Table1_1[[#This Row],[Parameter]],[1]analyte_order!$B:$B,[1]analyte_order!$C:$C)</f>
        <v>72629-94-8</v>
      </c>
      <c r="H191">
        <f>_xlfn.XLOOKUP(Table1_1[[#This Row],[CAS_rn]],[1]analyte_order!$C:$C,[1]analyte_order!$E:$E)</f>
        <v>10</v>
      </c>
      <c r="I191">
        <v>0.05</v>
      </c>
    </row>
    <row r="192" spans="1:9" x14ac:dyDescent="0.3">
      <c r="A192" t="s">
        <v>36</v>
      </c>
      <c r="B192" s="1">
        <v>44314</v>
      </c>
      <c r="C192" s="1" t="str">
        <f t="shared" si="2"/>
        <v>21118</v>
      </c>
      <c r="D192" t="s">
        <v>31</v>
      </c>
      <c r="E192" t="s">
        <v>27</v>
      </c>
      <c r="F192" t="s">
        <v>15</v>
      </c>
      <c r="G192" t="str">
        <f>_xlfn.XLOOKUP(Table1_1[[#This Row],[Parameter]],[1]analyte_order!$B:$B,[1]analyte_order!$C:$C)</f>
        <v>376-06-7</v>
      </c>
      <c r="H192">
        <f>_xlfn.XLOOKUP(Table1_1[[#This Row],[CAS_rn]],[1]analyte_order!$C:$C,[1]analyte_order!$E:$E)</f>
        <v>11</v>
      </c>
      <c r="I192">
        <v>0.02</v>
      </c>
    </row>
    <row r="193" spans="1:9" x14ac:dyDescent="0.3">
      <c r="A193" t="s">
        <v>36</v>
      </c>
      <c r="B193" s="1">
        <v>44314</v>
      </c>
      <c r="C193" s="1" t="str">
        <f t="shared" si="2"/>
        <v>21118</v>
      </c>
      <c r="D193" t="s">
        <v>31</v>
      </c>
      <c r="E193" t="s">
        <v>27</v>
      </c>
      <c r="F193" t="s">
        <v>16</v>
      </c>
      <c r="G193" t="str">
        <f>_xlfn.XLOOKUP(Table1_1[[#This Row],[Parameter]],[1]analyte_order!$B:$B,[1]analyte_order!$C:$C)</f>
        <v>375-73-5</v>
      </c>
      <c r="H193">
        <f>_xlfn.XLOOKUP(Table1_1[[#This Row],[CAS_rn]],[1]analyte_order!$C:$C,[1]analyte_order!$E:$E)</f>
        <v>14</v>
      </c>
      <c r="I193">
        <v>0.02</v>
      </c>
    </row>
    <row r="194" spans="1:9" x14ac:dyDescent="0.3">
      <c r="A194" t="s">
        <v>36</v>
      </c>
      <c r="B194" s="1">
        <v>44314</v>
      </c>
      <c r="C194" s="1" t="str">
        <f t="shared" si="2"/>
        <v>21118</v>
      </c>
      <c r="D194" t="s">
        <v>31</v>
      </c>
      <c r="E194" t="s">
        <v>27</v>
      </c>
      <c r="F194" t="s">
        <v>17</v>
      </c>
      <c r="G194" t="str">
        <f>_xlfn.XLOOKUP(Table1_1[[#This Row],[Parameter]],[1]analyte_order!$B:$B,[1]analyte_order!$C:$C)</f>
        <v>2706-91-4</v>
      </c>
      <c r="H194">
        <f>_xlfn.XLOOKUP(Table1_1[[#This Row],[CAS_rn]],[1]analyte_order!$C:$C,[1]analyte_order!$E:$E)</f>
        <v>15</v>
      </c>
      <c r="I194">
        <v>0.02</v>
      </c>
    </row>
    <row r="195" spans="1:9" x14ac:dyDescent="0.3">
      <c r="A195" t="s">
        <v>36</v>
      </c>
      <c r="B195" s="1">
        <v>44314</v>
      </c>
      <c r="C195" s="1" t="str">
        <f t="shared" ref="C195:C258" si="3">TEXT(B195,"yy")&amp;TEXT((B195-DATEVALUE("1/1/"&amp;TEXT(B195,"yy"))+1),"000")</f>
        <v>21118</v>
      </c>
      <c r="D195" t="s">
        <v>31</v>
      </c>
      <c r="E195" t="s">
        <v>27</v>
      </c>
      <c r="F195" t="s">
        <v>18</v>
      </c>
      <c r="G195" t="str">
        <f>_xlfn.XLOOKUP(Table1_1[[#This Row],[Parameter]],[1]analyte_order!$B:$B,[1]analyte_order!$C:$C)</f>
        <v>355-46-4</v>
      </c>
      <c r="H195">
        <f>_xlfn.XLOOKUP(Table1_1[[#This Row],[CAS_rn]],[1]analyte_order!$C:$C,[1]analyte_order!$E:$E)</f>
        <v>16</v>
      </c>
      <c r="I195">
        <v>0.66</v>
      </c>
    </row>
    <row r="196" spans="1:9" x14ac:dyDescent="0.3">
      <c r="A196" t="s">
        <v>36</v>
      </c>
      <c r="B196" s="1">
        <v>44314</v>
      </c>
      <c r="C196" s="1" t="str">
        <f t="shared" si="3"/>
        <v>21118</v>
      </c>
      <c r="D196" t="s">
        <v>31</v>
      </c>
      <c r="E196" t="s">
        <v>27</v>
      </c>
      <c r="F196" t="s">
        <v>19</v>
      </c>
      <c r="G196" t="str">
        <f>_xlfn.XLOOKUP(Table1_1[[#This Row],[Parameter]],[1]analyte_order!$B:$B,[1]analyte_order!$C:$C)</f>
        <v>375-92-8</v>
      </c>
      <c r="H196">
        <f>_xlfn.XLOOKUP(Table1_1[[#This Row],[CAS_rn]],[1]analyte_order!$C:$C,[1]analyte_order!$E:$E)</f>
        <v>17</v>
      </c>
      <c r="I196">
        <v>0.02</v>
      </c>
    </row>
    <row r="197" spans="1:9" x14ac:dyDescent="0.3">
      <c r="A197" t="s">
        <v>36</v>
      </c>
      <c r="B197" s="1">
        <v>44314</v>
      </c>
      <c r="C197" s="1" t="str">
        <f t="shared" si="3"/>
        <v>21118</v>
      </c>
      <c r="D197" t="s">
        <v>31</v>
      </c>
      <c r="E197" t="s">
        <v>27</v>
      </c>
      <c r="F197" t="s">
        <v>20</v>
      </c>
      <c r="G197" t="str">
        <f>_xlfn.XLOOKUP(Table1_1[[#This Row],[Parameter]],[1]analyte_order!$B:$B,[1]analyte_order!$C:$C)</f>
        <v>1763-23-1</v>
      </c>
      <c r="H197">
        <f>_xlfn.XLOOKUP(Table1_1[[#This Row],[CAS_rn]],[1]analyte_order!$C:$C,[1]analyte_order!$E:$E)</f>
        <v>18</v>
      </c>
      <c r="I197">
        <v>3.22</v>
      </c>
    </row>
    <row r="198" spans="1:9" x14ac:dyDescent="0.3">
      <c r="A198" t="s">
        <v>36</v>
      </c>
      <c r="B198" s="1">
        <v>44314</v>
      </c>
      <c r="C198" s="1" t="str">
        <f t="shared" si="3"/>
        <v>21118</v>
      </c>
      <c r="D198" t="s">
        <v>31</v>
      </c>
      <c r="E198" t="s">
        <v>27</v>
      </c>
      <c r="F198" t="s">
        <v>21</v>
      </c>
      <c r="G198" t="str">
        <f>_xlfn.XLOOKUP(Table1_1[[#This Row],[Parameter]],[1]analyte_order!$B:$B,[1]analyte_order!$C:$C)</f>
        <v>68259-12-1</v>
      </c>
      <c r="H198">
        <f>_xlfn.XLOOKUP(Table1_1[[#This Row],[CAS_rn]],[1]analyte_order!$C:$C,[1]analyte_order!$E:$E)</f>
        <v>19</v>
      </c>
      <c r="I198">
        <v>0.02</v>
      </c>
    </row>
    <row r="199" spans="1:9" x14ac:dyDescent="0.3">
      <c r="A199" t="s">
        <v>36</v>
      </c>
      <c r="B199" s="1">
        <v>44314</v>
      </c>
      <c r="C199" s="1" t="str">
        <f t="shared" si="3"/>
        <v>21118</v>
      </c>
      <c r="D199" t="s">
        <v>31</v>
      </c>
      <c r="E199" t="s">
        <v>27</v>
      </c>
      <c r="F199" t="s">
        <v>22</v>
      </c>
      <c r="G199" t="str">
        <f>_xlfn.XLOOKUP(Table1_1[[#This Row],[Parameter]],[1]analyte_order!$B:$B,[1]analyte_order!$C:$C)</f>
        <v>335-77-3</v>
      </c>
      <c r="H199">
        <f>_xlfn.XLOOKUP(Table1_1[[#This Row],[CAS_rn]],[1]analyte_order!$C:$C,[1]analyte_order!$E:$E)</f>
        <v>20</v>
      </c>
      <c r="I199">
        <v>4.7E-2</v>
      </c>
    </row>
    <row r="200" spans="1:9" x14ac:dyDescent="0.3">
      <c r="A200" t="s">
        <v>36</v>
      </c>
      <c r="B200" s="1">
        <v>44314</v>
      </c>
      <c r="C200" s="1" t="str">
        <f t="shared" si="3"/>
        <v>21118</v>
      </c>
      <c r="D200" t="s">
        <v>31</v>
      </c>
      <c r="E200" t="s">
        <v>27</v>
      </c>
      <c r="F200" t="s">
        <v>23</v>
      </c>
      <c r="G200" t="str">
        <f>_xlfn.XLOOKUP(Table1_1[[#This Row],[Parameter]],[1]analyte_order!$B:$B,[1]analyte_order!$C:$C)</f>
        <v>79780-39-5</v>
      </c>
      <c r="H200">
        <f>_xlfn.XLOOKUP(Table1_1[[#This Row],[CAS_rn]],[1]analyte_order!$C:$C,[1]analyte_order!$E:$E)</f>
        <v>21</v>
      </c>
      <c r="I200">
        <v>0.02</v>
      </c>
    </row>
    <row r="201" spans="1:9" x14ac:dyDescent="0.3">
      <c r="A201" t="s">
        <v>36</v>
      </c>
      <c r="B201" s="1">
        <v>44314</v>
      </c>
      <c r="C201" s="1" t="str">
        <f t="shared" si="3"/>
        <v>21118</v>
      </c>
      <c r="D201" t="s">
        <v>31</v>
      </c>
      <c r="E201" t="s">
        <v>27</v>
      </c>
      <c r="F201" t="s">
        <v>49</v>
      </c>
      <c r="G201" t="str">
        <f>_xlfn.XLOOKUP(Table1_1[[#This Row],[Parameter]],[1]analyte_order!$B:$B,[1]analyte_order!$C:$C)</f>
        <v>757124-72-4</v>
      </c>
      <c r="H201">
        <f>_xlfn.XLOOKUP(Table1_1[[#This Row],[CAS_rn]],[1]analyte_order!$C:$C,[1]analyte_order!$E:$E)</f>
        <v>22</v>
      </c>
      <c r="I201">
        <v>0.08</v>
      </c>
    </row>
    <row r="202" spans="1:9" x14ac:dyDescent="0.3">
      <c r="A202" t="s">
        <v>36</v>
      </c>
      <c r="B202" s="1">
        <v>44314</v>
      </c>
      <c r="C202" s="1" t="str">
        <f t="shared" si="3"/>
        <v>21118</v>
      </c>
      <c r="D202" t="s">
        <v>31</v>
      </c>
      <c r="E202" t="s">
        <v>27</v>
      </c>
      <c r="F202" t="s">
        <v>50</v>
      </c>
      <c r="G202" t="str">
        <f>_xlfn.XLOOKUP(Table1_1[[#This Row],[Parameter]],[1]analyte_order!$B:$B,[1]analyte_order!$C:$C)</f>
        <v>27619-97-2</v>
      </c>
      <c r="H202">
        <f>_xlfn.XLOOKUP(Table1_1[[#This Row],[CAS_rn]],[1]analyte_order!$C:$C,[1]analyte_order!$E:$E)</f>
        <v>23</v>
      </c>
      <c r="I202">
        <v>0.316</v>
      </c>
    </row>
    <row r="203" spans="1:9" x14ac:dyDescent="0.3">
      <c r="A203" t="s">
        <v>36</v>
      </c>
      <c r="B203" s="1">
        <v>44314</v>
      </c>
      <c r="C203" s="1" t="str">
        <f t="shared" si="3"/>
        <v>21118</v>
      </c>
      <c r="D203" t="s">
        <v>31</v>
      </c>
      <c r="E203" t="s">
        <v>27</v>
      </c>
      <c r="F203" t="s">
        <v>51</v>
      </c>
      <c r="G203" t="str">
        <f>_xlfn.XLOOKUP(Table1_1[[#This Row],[Parameter]],[1]analyte_order!$B:$B,[1]analyte_order!$C:$C)</f>
        <v>39108-34-4</v>
      </c>
      <c r="H203">
        <f>_xlfn.XLOOKUP(Table1_1[[#This Row],[CAS_rn]],[1]analyte_order!$C:$C,[1]analyte_order!$E:$E)</f>
        <v>24</v>
      </c>
      <c r="I203">
        <v>0.08</v>
      </c>
    </row>
    <row r="204" spans="1:9" x14ac:dyDescent="0.3">
      <c r="A204" t="s">
        <v>36</v>
      </c>
      <c r="B204" s="1">
        <v>44314</v>
      </c>
      <c r="C204" s="1" t="str">
        <f t="shared" si="3"/>
        <v>21118</v>
      </c>
      <c r="D204" t="s">
        <v>31</v>
      </c>
      <c r="E204" t="s">
        <v>27</v>
      </c>
      <c r="F204" t="s">
        <v>60</v>
      </c>
      <c r="G204" t="str">
        <f>_xlfn.XLOOKUP(Table1_1[[#This Row],[Parameter]],[1]analyte_order!$B:$B,[1]analyte_order!$C:$C)</f>
        <v>754-91-6</v>
      </c>
      <c r="H204">
        <f>_xlfn.XLOOKUP(Table1_1[[#This Row],[CAS_rn]],[1]analyte_order!$C:$C,[1]analyte_order!$E:$E)</f>
        <v>28</v>
      </c>
      <c r="I204">
        <v>0.42</v>
      </c>
    </row>
    <row r="205" spans="1:9" x14ac:dyDescent="0.3">
      <c r="A205" t="s">
        <v>36</v>
      </c>
      <c r="B205" s="1">
        <v>44314</v>
      </c>
      <c r="C205" s="1" t="str">
        <f t="shared" si="3"/>
        <v>21118</v>
      </c>
      <c r="D205" t="s">
        <v>31</v>
      </c>
      <c r="E205" t="s">
        <v>27</v>
      </c>
      <c r="F205" t="s">
        <v>58</v>
      </c>
      <c r="G205" t="str">
        <f>_xlfn.XLOOKUP(Table1_1[[#This Row],[Parameter]],[1]analyte_order!$B:$B,[1]analyte_order!$C:$C)</f>
        <v>31506-32-8</v>
      </c>
      <c r="H205">
        <f>_xlfn.XLOOKUP(Table1_1[[#This Row],[CAS_rn]],[1]analyte_order!$C:$C,[1]analyte_order!$E:$E)</f>
        <v>30</v>
      </c>
      <c r="I205">
        <v>0.02</v>
      </c>
    </row>
    <row r="206" spans="1:9" x14ac:dyDescent="0.3">
      <c r="A206" t="s">
        <v>36</v>
      </c>
      <c r="B206" s="1">
        <v>44314</v>
      </c>
      <c r="C206" s="1" t="str">
        <f t="shared" si="3"/>
        <v>21118</v>
      </c>
      <c r="D206" t="s">
        <v>31</v>
      </c>
      <c r="E206" t="s">
        <v>27</v>
      </c>
      <c r="F206" t="s">
        <v>59</v>
      </c>
      <c r="G206" t="str">
        <f>_xlfn.XLOOKUP(Table1_1[[#This Row],[Parameter]],[1]analyte_order!$B:$B,[1]analyte_order!$C:$C)</f>
        <v>2355-31-9</v>
      </c>
      <c r="H206">
        <f>_xlfn.XLOOKUP(Table1_1[[#This Row],[CAS_rn]],[1]analyte_order!$C:$C,[1]analyte_order!$E:$E)</f>
        <v>26</v>
      </c>
      <c r="I206">
        <v>0.02</v>
      </c>
    </row>
    <row r="207" spans="1:9" x14ac:dyDescent="0.3">
      <c r="A207" t="s">
        <v>36</v>
      </c>
      <c r="B207" s="1">
        <v>44314</v>
      </c>
      <c r="C207" s="1" t="str">
        <f t="shared" si="3"/>
        <v>21118</v>
      </c>
      <c r="D207" t="s">
        <v>31</v>
      </c>
      <c r="E207" t="s">
        <v>27</v>
      </c>
      <c r="F207" t="s">
        <v>57</v>
      </c>
      <c r="G207" t="str">
        <f>_xlfn.XLOOKUP(Table1_1[[#This Row],[Parameter]],[1]analyte_order!$B:$B,[1]analyte_order!$C:$C)</f>
        <v>2991-50-6</v>
      </c>
      <c r="H207">
        <f>_xlfn.XLOOKUP(Table1_1[[#This Row],[CAS_rn]],[1]analyte_order!$C:$C,[1]analyte_order!$E:$E)</f>
        <v>27</v>
      </c>
      <c r="I207">
        <v>0.02</v>
      </c>
    </row>
    <row r="208" spans="1:9" x14ac:dyDescent="0.3">
      <c r="A208" t="s">
        <v>36</v>
      </c>
      <c r="B208" s="1">
        <v>44314</v>
      </c>
      <c r="C208" s="1" t="str">
        <f t="shared" si="3"/>
        <v>21118</v>
      </c>
      <c r="D208" t="s">
        <v>31</v>
      </c>
      <c r="E208" t="s">
        <v>27</v>
      </c>
      <c r="F208" t="s">
        <v>24</v>
      </c>
      <c r="G208" t="str">
        <f>_xlfn.XLOOKUP(Table1_1[[#This Row],[Parameter]],[1]analyte_order!$B:$B,[1]analyte_order!$C:$C)</f>
        <v>919005-14-4</v>
      </c>
      <c r="H208">
        <f>_xlfn.XLOOKUP(Table1_1[[#This Row],[CAS_rn]],[1]analyte_order!$C:$C,[1]analyte_order!$E:$E)</f>
        <v>35</v>
      </c>
      <c r="I208">
        <v>0.08</v>
      </c>
    </row>
    <row r="209" spans="1:9" x14ac:dyDescent="0.3">
      <c r="A209" t="s">
        <v>36</v>
      </c>
      <c r="B209" s="1">
        <v>44314</v>
      </c>
      <c r="C209" s="1" t="str">
        <f t="shared" si="3"/>
        <v>21118</v>
      </c>
      <c r="D209" t="s">
        <v>31</v>
      </c>
      <c r="E209" t="s">
        <v>27</v>
      </c>
      <c r="F209" t="s">
        <v>52</v>
      </c>
      <c r="G209" t="str">
        <f>_xlfn.XLOOKUP(Table1_1[[#This Row],[Parameter]],[1]analyte_order!$B:$B,[1]analyte_order!$C:$C)</f>
        <v>356-02-5</v>
      </c>
      <c r="H209">
        <f>_xlfn.XLOOKUP(Table1_1[[#This Row],[CAS_rn]],[1]analyte_order!$C:$C,[1]analyte_order!$E:$E)</f>
        <v>38</v>
      </c>
      <c r="I209">
        <v>0.08</v>
      </c>
    </row>
    <row r="210" spans="1:9" x14ac:dyDescent="0.3">
      <c r="A210" t="s">
        <v>36</v>
      </c>
      <c r="B210" s="1">
        <v>44314</v>
      </c>
      <c r="C210" s="1" t="str">
        <f t="shared" si="3"/>
        <v>21118</v>
      </c>
      <c r="D210" t="s">
        <v>31</v>
      </c>
      <c r="E210" t="s">
        <v>27</v>
      </c>
      <c r="F210" t="s">
        <v>53</v>
      </c>
      <c r="G210" t="str">
        <f>_xlfn.XLOOKUP(Table1_1[[#This Row],[Parameter]],[1]analyte_order!$B:$B,[1]analyte_order!$C:$C)</f>
        <v>914637-49-3</v>
      </c>
      <c r="H210">
        <f>_xlfn.XLOOKUP(Table1_1[[#This Row],[CAS_rn]],[1]analyte_order!$C:$C,[1]analyte_order!$E:$E)</f>
        <v>39</v>
      </c>
      <c r="I210">
        <v>0.5</v>
      </c>
    </row>
    <row r="211" spans="1:9" x14ac:dyDescent="0.3">
      <c r="A211" t="s">
        <v>36</v>
      </c>
      <c r="B211" s="1">
        <v>44314</v>
      </c>
      <c r="C211" s="1" t="str">
        <f t="shared" si="3"/>
        <v>21118</v>
      </c>
      <c r="D211" t="s">
        <v>31</v>
      </c>
      <c r="E211" t="s">
        <v>27</v>
      </c>
      <c r="F211" t="s">
        <v>54</v>
      </c>
      <c r="G211" t="str">
        <f>_xlfn.XLOOKUP(Table1_1[[#This Row],[Parameter]],[1]analyte_order!$B:$B,[1]analyte_order!$C:$C)</f>
        <v>812-70-4</v>
      </c>
      <c r="H211">
        <f>_xlfn.XLOOKUP(Table1_1[[#This Row],[CAS_rn]],[1]analyte_order!$C:$C,[1]analyte_order!$E:$E)</f>
        <v>40</v>
      </c>
      <c r="I211">
        <v>0.5</v>
      </c>
    </row>
    <row r="212" spans="1:9" x14ac:dyDescent="0.3">
      <c r="A212" t="s">
        <v>37</v>
      </c>
      <c r="B212" s="1">
        <v>44314</v>
      </c>
      <c r="C212" s="1" t="str">
        <f t="shared" si="3"/>
        <v>21118</v>
      </c>
      <c r="D212" t="s">
        <v>33</v>
      </c>
      <c r="E212" t="s">
        <v>27</v>
      </c>
      <c r="F212" t="s">
        <v>5</v>
      </c>
      <c r="G212" t="str">
        <f>_xlfn.XLOOKUP(Table1_1[[#This Row],[Parameter]],[1]analyte_order!$B:$B,[1]analyte_order!$C:$C)</f>
        <v>375-22-4</v>
      </c>
      <c r="H212">
        <f>_xlfn.XLOOKUP(Table1_1[[#This Row],[CAS_rn]],[1]analyte_order!$C:$C,[1]analyte_order!$E:$E)</f>
        <v>1</v>
      </c>
      <c r="I212">
        <v>0.08</v>
      </c>
    </row>
    <row r="213" spans="1:9" x14ac:dyDescent="0.3">
      <c r="A213" t="s">
        <v>37</v>
      </c>
      <c r="B213" s="1">
        <v>44314</v>
      </c>
      <c r="C213" s="1" t="str">
        <f t="shared" si="3"/>
        <v>21118</v>
      </c>
      <c r="D213" t="s">
        <v>33</v>
      </c>
      <c r="E213" t="s">
        <v>27</v>
      </c>
      <c r="F213" t="s">
        <v>6</v>
      </c>
      <c r="G213" t="str">
        <f>_xlfn.XLOOKUP(Table1_1[[#This Row],[Parameter]],[1]analyte_order!$B:$B,[1]analyte_order!$C:$C)</f>
        <v>2706-90-3</v>
      </c>
      <c r="H213">
        <f>_xlfn.XLOOKUP(Table1_1[[#This Row],[CAS_rn]],[1]analyte_order!$C:$C,[1]analyte_order!$E:$E)</f>
        <v>2</v>
      </c>
      <c r="I213">
        <v>8.5999999999999993E-2</v>
      </c>
    </row>
    <row r="214" spans="1:9" x14ac:dyDescent="0.3">
      <c r="A214" t="s">
        <v>37</v>
      </c>
      <c r="B214" s="1">
        <v>44314</v>
      </c>
      <c r="C214" s="1" t="str">
        <f t="shared" si="3"/>
        <v>21118</v>
      </c>
      <c r="D214" t="s">
        <v>33</v>
      </c>
      <c r="E214" t="s">
        <v>27</v>
      </c>
      <c r="F214" t="s">
        <v>7</v>
      </c>
      <c r="G214" t="str">
        <f>_xlfn.XLOOKUP(Table1_1[[#This Row],[Parameter]],[1]analyte_order!$B:$B,[1]analyte_order!$C:$C)</f>
        <v>307-24-4</v>
      </c>
      <c r="H214">
        <f>_xlfn.XLOOKUP(Table1_1[[#This Row],[CAS_rn]],[1]analyte_order!$C:$C,[1]analyte_order!$E:$E)</f>
        <v>3</v>
      </c>
      <c r="I214">
        <v>0.23300000000000001</v>
      </c>
    </row>
    <row r="215" spans="1:9" x14ac:dyDescent="0.3">
      <c r="A215" t="s">
        <v>37</v>
      </c>
      <c r="B215" s="1">
        <v>44314</v>
      </c>
      <c r="C215" s="1" t="str">
        <f t="shared" si="3"/>
        <v>21118</v>
      </c>
      <c r="D215" t="s">
        <v>33</v>
      </c>
      <c r="E215" t="s">
        <v>27</v>
      </c>
      <c r="F215" t="s">
        <v>8</v>
      </c>
      <c r="G215" t="str">
        <f>_xlfn.XLOOKUP(Table1_1[[#This Row],[Parameter]],[1]analyte_order!$B:$B,[1]analyte_order!$C:$C)</f>
        <v>375-85-9</v>
      </c>
      <c r="H215">
        <f>_xlfn.XLOOKUP(Table1_1[[#This Row],[CAS_rn]],[1]analyte_order!$C:$C,[1]analyte_order!$E:$E)</f>
        <v>4</v>
      </c>
      <c r="I215">
        <v>0.02</v>
      </c>
    </row>
    <row r="216" spans="1:9" x14ac:dyDescent="0.3">
      <c r="A216" t="s">
        <v>37</v>
      </c>
      <c r="B216" s="1">
        <v>44314</v>
      </c>
      <c r="C216" s="1" t="str">
        <f t="shared" si="3"/>
        <v>21118</v>
      </c>
      <c r="D216" t="s">
        <v>33</v>
      </c>
      <c r="E216" t="s">
        <v>27</v>
      </c>
      <c r="F216" t="s">
        <v>9</v>
      </c>
      <c r="G216" t="str">
        <f>_xlfn.XLOOKUP(Table1_1[[#This Row],[Parameter]],[1]analyte_order!$B:$B,[1]analyte_order!$C:$C)</f>
        <v>335-67-1</v>
      </c>
      <c r="H216">
        <f>_xlfn.XLOOKUP(Table1_1[[#This Row],[CAS_rn]],[1]analyte_order!$C:$C,[1]analyte_order!$E:$E)</f>
        <v>5</v>
      </c>
      <c r="I216">
        <v>0.114</v>
      </c>
    </row>
    <row r="217" spans="1:9" x14ac:dyDescent="0.3">
      <c r="A217" t="s">
        <v>37</v>
      </c>
      <c r="B217" s="1">
        <v>44314</v>
      </c>
      <c r="C217" s="1" t="str">
        <f t="shared" si="3"/>
        <v>21118</v>
      </c>
      <c r="D217" t="s">
        <v>33</v>
      </c>
      <c r="E217" t="s">
        <v>27</v>
      </c>
      <c r="F217" t="s">
        <v>10</v>
      </c>
      <c r="G217" t="str">
        <f>_xlfn.XLOOKUP(Table1_1[[#This Row],[Parameter]],[1]analyte_order!$B:$B,[1]analyte_order!$C:$C)</f>
        <v>375-95-1</v>
      </c>
      <c r="H217">
        <f>_xlfn.XLOOKUP(Table1_1[[#This Row],[CAS_rn]],[1]analyte_order!$C:$C,[1]analyte_order!$E:$E)</f>
        <v>6</v>
      </c>
      <c r="I217">
        <v>0.02</v>
      </c>
    </row>
    <row r="218" spans="1:9" x14ac:dyDescent="0.3">
      <c r="A218" t="s">
        <v>37</v>
      </c>
      <c r="B218" s="1">
        <v>44314</v>
      </c>
      <c r="C218" s="1" t="str">
        <f t="shared" si="3"/>
        <v>21118</v>
      </c>
      <c r="D218" t="s">
        <v>33</v>
      </c>
      <c r="E218" t="s">
        <v>27</v>
      </c>
      <c r="F218" t="s">
        <v>11</v>
      </c>
      <c r="G218" t="str">
        <f>_xlfn.XLOOKUP(Table1_1[[#This Row],[Parameter]],[1]analyte_order!$B:$B,[1]analyte_order!$C:$C)</f>
        <v>335-76-2</v>
      </c>
      <c r="H218">
        <f>_xlfn.XLOOKUP(Table1_1[[#This Row],[CAS_rn]],[1]analyte_order!$C:$C,[1]analyte_order!$E:$E)</f>
        <v>7</v>
      </c>
      <c r="I218">
        <v>0.02</v>
      </c>
    </row>
    <row r="219" spans="1:9" x14ac:dyDescent="0.3">
      <c r="A219" t="s">
        <v>37</v>
      </c>
      <c r="B219" s="1">
        <v>44314</v>
      </c>
      <c r="C219" s="1" t="str">
        <f t="shared" si="3"/>
        <v>21118</v>
      </c>
      <c r="D219" t="s">
        <v>33</v>
      </c>
      <c r="E219" t="s">
        <v>27</v>
      </c>
      <c r="F219" t="s">
        <v>12</v>
      </c>
      <c r="G219" t="str">
        <f>_xlfn.XLOOKUP(Table1_1[[#This Row],[Parameter]],[1]analyte_order!$B:$B,[1]analyte_order!$C:$C)</f>
        <v>2058-94-8</v>
      </c>
      <c r="H219">
        <f>_xlfn.XLOOKUP(Table1_1[[#This Row],[CAS_rn]],[1]analyte_order!$C:$C,[1]analyte_order!$E:$E)</f>
        <v>8</v>
      </c>
      <c r="I219">
        <v>0.02</v>
      </c>
    </row>
    <row r="220" spans="1:9" x14ac:dyDescent="0.3">
      <c r="A220" t="s">
        <v>37</v>
      </c>
      <c r="B220" s="1">
        <v>44314</v>
      </c>
      <c r="C220" s="1" t="str">
        <f t="shared" si="3"/>
        <v>21118</v>
      </c>
      <c r="D220" t="s">
        <v>33</v>
      </c>
      <c r="E220" t="s">
        <v>27</v>
      </c>
      <c r="F220" t="s">
        <v>13</v>
      </c>
      <c r="G220" t="str">
        <f>_xlfn.XLOOKUP(Table1_1[[#This Row],[Parameter]],[1]analyte_order!$B:$B,[1]analyte_order!$C:$C)</f>
        <v>307-55-1</v>
      </c>
      <c r="H220">
        <f>_xlfn.XLOOKUP(Table1_1[[#This Row],[CAS_rn]],[1]analyte_order!$C:$C,[1]analyte_order!$E:$E)</f>
        <v>9</v>
      </c>
      <c r="I220">
        <v>3.9E-2</v>
      </c>
    </row>
    <row r="221" spans="1:9" x14ac:dyDescent="0.3">
      <c r="A221" t="s">
        <v>37</v>
      </c>
      <c r="B221" s="1">
        <v>44314</v>
      </c>
      <c r="C221" s="1" t="str">
        <f t="shared" si="3"/>
        <v>21118</v>
      </c>
      <c r="D221" t="s">
        <v>33</v>
      </c>
      <c r="E221" t="s">
        <v>27</v>
      </c>
      <c r="F221" t="s">
        <v>14</v>
      </c>
      <c r="G221" t="str">
        <f>_xlfn.XLOOKUP(Table1_1[[#This Row],[Parameter]],[1]analyte_order!$B:$B,[1]analyte_order!$C:$C)</f>
        <v>72629-94-8</v>
      </c>
      <c r="H221">
        <f>_xlfn.XLOOKUP(Table1_1[[#This Row],[CAS_rn]],[1]analyte_order!$C:$C,[1]analyte_order!$E:$E)</f>
        <v>10</v>
      </c>
      <c r="I221">
        <v>0.02</v>
      </c>
    </row>
    <row r="222" spans="1:9" x14ac:dyDescent="0.3">
      <c r="A222" t="s">
        <v>37</v>
      </c>
      <c r="B222" s="1">
        <v>44314</v>
      </c>
      <c r="C222" s="1" t="str">
        <f t="shared" si="3"/>
        <v>21118</v>
      </c>
      <c r="D222" t="s">
        <v>33</v>
      </c>
      <c r="E222" t="s">
        <v>27</v>
      </c>
      <c r="F222" t="s">
        <v>15</v>
      </c>
      <c r="G222" t="str">
        <f>_xlfn.XLOOKUP(Table1_1[[#This Row],[Parameter]],[1]analyte_order!$B:$B,[1]analyte_order!$C:$C)</f>
        <v>376-06-7</v>
      </c>
      <c r="H222">
        <f>_xlfn.XLOOKUP(Table1_1[[#This Row],[CAS_rn]],[1]analyte_order!$C:$C,[1]analyte_order!$E:$E)</f>
        <v>11</v>
      </c>
      <c r="I222">
        <v>0.02</v>
      </c>
    </row>
    <row r="223" spans="1:9" x14ac:dyDescent="0.3">
      <c r="A223" t="s">
        <v>37</v>
      </c>
      <c r="B223" s="1">
        <v>44314</v>
      </c>
      <c r="C223" s="1" t="str">
        <f t="shared" si="3"/>
        <v>21118</v>
      </c>
      <c r="D223" t="s">
        <v>33</v>
      </c>
      <c r="E223" t="s">
        <v>27</v>
      </c>
      <c r="F223" t="s">
        <v>16</v>
      </c>
      <c r="G223" t="str">
        <f>_xlfn.XLOOKUP(Table1_1[[#This Row],[Parameter]],[1]analyte_order!$B:$B,[1]analyte_order!$C:$C)</f>
        <v>375-73-5</v>
      </c>
      <c r="H223">
        <f>_xlfn.XLOOKUP(Table1_1[[#This Row],[CAS_rn]],[1]analyte_order!$C:$C,[1]analyte_order!$E:$E)</f>
        <v>14</v>
      </c>
      <c r="I223">
        <v>0.02</v>
      </c>
    </row>
    <row r="224" spans="1:9" x14ac:dyDescent="0.3">
      <c r="A224" t="s">
        <v>37</v>
      </c>
      <c r="B224" s="1">
        <v>44314</v>
      </c>
      <c r="C224" s="1" t="str">
        <f t="shared" si="3"/>
        <v>21118</v>
      </c>
      <c r="D224" t="s">
        <v>33</v>
      </c>
      <c r="E224" t="s">
        <v>27</v>
      </c>
      <c r="F224" t="s">
        <v>17</v>
      </c>
      <c r="G224" t="str">
        <f>_xlfn.XLOOKUP(Table1_1[[#This Row],[Parameter]],[1]analyte_order!$B:$B,[1]analyte_order!$C:$C)</f>
        <v>2706-91-4</v>
      </c>
      <c r="H224">
        <f>_xlfn.XLOOKUP(Table1_1[[#This Row],[CAS_rn]],[1]analyte_order!$C:$C,[1]analyte_order!$E:$E)</f>
        <v>15</v>
      </c>
      <c r="I224">
        <v>0.02</v>
      </c>
    </row>
    <row r="225" spans="1:9" x14ac:dyDescent="0.3">
      <c r="A225" t="s">
        <v>37</v>
      </c>
      <c r="B225" s="1">
        <v>44314</v>
      </c>
      <c r="C225" s="1" t="str">
        <f t="shared" si="3"/>
        <v>21118</v>
      </c>
      <c r="D225" t="s">
        <v>33</v>
      </c>
      <c r="E225" t="s">
        <v>27</v>
      </c>
      <c r="F225" t="s">
        <v>18</v>
      </c>
      <c r="G225" t="str">
        <f>_xlfn.XLOOKUP(Table1_1[[#This Row],[Parameter]],[1]analyte_order!$B:$B,[1]analyte_order!$C:$C)</f>
        <v>355-46-4</v>
      </c>
      <c r="H225">
        <f>_xlfn.XLOOKUP(Table1_1[[#This Row],[CAS_rn]],[1]analyte_order!$C:$C,[1]analyte_order!$E:$E)</f>
        <v>16</v>
      </c>
      <c r="I225">
        <v>0.42899999999999999</v>
      </c>
    </row>
    <row r="226" spans="1:9" x14ac:dyDescent="0.3">
      <c r="A226" t="s">
        <v>37</v>
      </c>
      <c r="B226" s="1">
        <v>44314</v>
      </c>
      <c r="C226" s="1" t="str">
        <f t="shared" si="3"/>
        <v>21118</v>
      </c>
      <c r="D226" t="s">
        <v>33</v>
      </c>
      <c r="E226" t="s">
        <v>27</v>
      </c>
      <c r="F226" t="s">
        <v>19</v>
      </c>
      <c r="G226" t="str">
        <f>_xlfn.XLOOKUP(Table1_1[[#This Row],[Parameter]],[1]analyte_order!$B:$B,[1]analyte_order!$C:$C)</f>
        <v>375-92-8</v>
      </c>
      <c r="H226">
        <f>_xlfn.XLOOKUP(Table1_1[[#This Row],[CAS_rn]],[1]analyte_order!$C:$C,[1]analyte_order!$E:$E)</f>
        <v>17</v>
      </c>
      <c r="I226">
        <v>0.02</v>
      </c>
    </row>
    <row r="227" spans="1:9" x14ac:dyDescent="0.3">
      <c r="A227" t="s">
        <v>37</v>
      </c>
      <c r="B227" s="1">
        <v>44314</v>
      </c>
      <c r="C227" s="1" t="str">
        <f t="shared" si="3"/>
        <v>21118</v>
      </c>
      <c r="D227" t="s">
        <v>33</v>
      </c>
      <c r="E227" t="s">
        <v>27</v>
      </c>
      <c r="F227" t="s">
        <v>20</v>
      </c>
      <c r="G227" t="str">
        <f>_xlfn.XLOOKUP(Table1_1[[#This Row],[Parameter]],[1]analyte_order!$B:$B,[1]analyte_order!$C:$C)</f>
        <v>1763-23-1</v>
      </c>
      <c r="H227">
        <f>_xlfn.XLOOKUP(Table1_1[[#This Row],[CAS_rn]],[1]analyte_order!$C:$C,[1]analyte_order!$E:$E)</f>
        <v>18</v>
      </c>
      <c r="I227">
        <v>2.1</v>
      </c>
    </row>
    <row r="228" spans="1:9" x14ac:dyDescent="0.3">
      <c r="A228" t="s">
        <v>37</v>
      </c>
      <c r="B228" s="1">
        <v>44314</v>
      </c>
      <c r="C228" s="1" t="str">
        <f t="shared" si="3"/>
        <v>21118</v>
      </c>
      <c r="D228" t="s">
        <v>33</v>
      </c>
      <c r="E228" t="s">
        <v>27</v>
      </c>
      <c r="F228" t="s">
        <v>21</v>
      </c>
      <c r="G228" t="str">
        <f>_xlfn.XLOOKUP(Table1_1[[#This Row],[Parameter]],[1]analyte_order!$B:$B,[1]analyte_order!$C:$C)</f>
        <v>68259-12-1</v>
      </c>
      <c r="H228">
        <f>_xlfn.XLOOKUP(Table1_1[[#This Row],[CAS_rn]],[1]analyte_order!$C:$C,[1]analyte_order!$E:$E)</f>
        <v>19</v>
      </c>
      <c r="I228">
        <v>0.02</v>
      </c>
    </row>
    <row r="229" spans="1:9" x14ac:dyDescent="0.3">
      <c r="A229" t="s">
        <v>37</v>
      </c>
      <c r="B229" s="1">
        <v>44314</v>
      </c>
      <c r="C229" s="1" t="str">
        <f t="shared" si="3"/>
        <v>21118</v>
      </c>
      <c r="D229" t="s">
        <v>33</v>
      </c>
      <c r="E229" t="s">
        <v>27</v>
      </c>
      <c r="F229" t="s">
        <v>22</v>
      </c>
      <c r="G229" t="str">
        <f>_xlfn.XLOOKUP(Table1_1[[#This Row],[Parameter]],[1]analyte_order!$B:$B,[1]analyte_order!$C:$C)</f>
        <v>335-77-3</v>
      </c>
      <c r="H229">
        <f>_xlfn.XLOOKUP(Table1_1[[#This Row],[CAS_rn]],[1]analyte_order!$C:$C,[1]analyte_order!$E:$E)</f>
        <v>20</v>
      </c>
      <c r="I229">
        <v>0.02</v>
      </c>
    </row>
    <row r="230" spans="1:9" x14ac:dyDescent="0.3">
      <c r="A230" t="s">
        <v>37</v>
      </c>
      <c r="B230" s="1">
        <v>44314</v>
      </c>
      <c r="C230" s="1" t="str">
        <f t="shared" si="3"/>
        <v>21118</v>
      </c>
      <c r="D230" t="s">
        <v>33</v>
      </c>
      <c r="E230" t="s">
        <v>27</v>
      </c>
      <c r="F230" t="s">
        <v>23</v>
      </c>
      <c r="G230" t="str">
        <f>_xlfn.XLOOKUP(Table1_1[[#This Row],[Parameter]],[1]analyte_order!$B:$B,[1]analyte_order!$C:$C)</f>
        <v>79780-39-5</v>
      </c>
      <c r="H230">
        <f>_xlfn.XLOOKUP(Table1_1[[#This Row],[CAS_rn]],[1]analyte_order!$C:$C,[1]analyte_order!$E:$E)</f>
        <v>21</v>
      </c>
      <c r="I230">
        <v>0.02</v>
      </c>
    </row>
    <row r="231" spans="1:9" x14ac:dyDescent="0.3">
      <c r="A231" t="s">
        <v>37</v>
      </c>
      <c r="B231" s="1">
        <v>44314</v>
      </c>
      <c r="C231" s="1" t="str">
        <f t="shared" si="3"/>
        <v>21118</v>
      </c>
      <c r="D231" t="s">
        <v>33</v>
      </c>
      <c r="E231" t="s">
        <v>27</v>
      </c>
      <c r="F231" t="s">
        <v>49</v>
      </c>
      <c r="G231" t="str">
        <f>_xlfn.XLOOKUP(Table1_1[[#This Row],[Parameter]],[1]analyte_order!$B:$B,[1]analyte_order!$C:$C)</f>
        <v>757124-72-4</v>
      </c>
      <c r="H231">
        <f>_xlfn.XLOOKUP(Table1_1[[#This Row],[CAS_rn]],[1]analyte_order!$C:$C,[1]analyte_order!$E:$E)</f>
        <v>22</v>
      </c>
      <c r="I231">
        <v>0.08</v>
      </c>
    </row>
    <row r="232" spans="1:9" x14ac:dyDescent="0.3">
      <c r="A232" t="s">
        <v>37</v>
      </c>
      <c r="B232" s="1">
        <v>44314</v>
      </c>
      <c r="C232" s="1" t="str">
        <f t="shared" si="3"/>
        <v>21118</v>
      </c>
      <c r="D232" t="s">
        <v>33</v>
      </c>
      <c r="E232" t="s">
        <v>27</v>
      </c>
      <c r="F232" t="s">
        <v>50</v>
      </c>
      <c r="G232" t="str">
        <f>_xlfn.XLOOKUP(Table1_1[[#This Row],[Parameter]],[1]analyte_order!$B:$B,[1]analyte_order!$C:$C)</f>
        <v>27619-97-2</v>
      </c>
      <c r="H232">
        <f>_xlfn.XLOOKUP(Table1_1[[#This Row],[CAS_rn]],[1]analyte_order!$C:$C,[1]analyte_order!$E:$E)</f>
        <v>23</v>
      </c>
      <c r="I232">
        <v>0.39</v>
      </c>
    </row>
    <row r="233" spans="1:9" x14ac:dyDescent="0.3">
      <c r="A233" t="s">
        <v>37</v>
      </c>
      <c r="B233" s="1">
        <v>44314</v>
      </c>
      <c r="C233" s="1" t="str">
        <f t="shared" si="3"/>
        <v>21118</v>
      </c>
      <c r="D233" t="s">
        <v>33</v>
      </c>
      <c r="E233" t="s">
        <v>27</v>
      </c>
      <c r="F233" t="s">
        <v>51</v>
      </c>
      <c r="G233" t="str">
        <f>_xlfn.XLOOKUP(Table1_1[[#This Row],[Parameter]],[1]analyte_order!$B:$B,[1]analyte_order!$C:$C)</f>
        <v>39108-34-4</v>
      </c>
      <c r="H233">
        <f>_xlfn.XLOOKUP(Table1_1[[#This Row],[CAS_rn]],[1]analyte_order!$C:$C,[1]analyte_order!$E:$E)</f>
        <v>24</v>
      </c>
      <c r="I233">
        <v>0.152</v>
      </c>
    </row>
    <row r="234" spans="1:9" x14ac:dyDescent="0.3">
      <c r="A234" t="s">
        <v>37</v>
      </c>
      <c r="B234" s="1">
        <v>44314</v>
      </c>
      <c r="C234" s="1" t="str">
        <f t="shared" si="3"/>
        <v>21118</v>
      </c>
      <c r="D234" t="s">
        <v>33</v>
      </c>
      <c r="E234" t="s">
        <v>27</v>
      </c>
      <c r="F234" t="s">
        <v>60</v>
      </c>
      <c r="G234" t="str">
        <f>_xlfn.XLOOKUP(Table1_1[[#This Row],[Parameter]],[1]analyte_order!$B:$B,[1]analyte_order!$C:$C)</f>
        <v>754-91-6</v>
      </c>
      <c r="H234">
        <f>_xlfn.XLOOKUP(Table1_1[[#This Row],[CAS_rn]],[1]analyte_order!$C:$C,[1]analyte_order!$E:$E)</f>
        <v>28</v>
      </c>
      <c r="I234">
        <v>0.19400000000000001</v>
      </c>
    </row>
    <row r="235" spans="1:9" x14ac:dyDescent="0.3">
      <c r="A235" t="s">
        <v>37</v>
      </c>
      <c r="B235" s="1">
        <v>44314</v>
      </c>
      <c r="C235" s="1" t="str">
        <f t="shared" si="3"/>
        <v>21118</v>
      </c>
      <c r="D235" t="s">
        <v>33</v>
      </c>
      <c r="E235" t="s">
        <v>27</v>
      </c>
      <c r="F235" t="s">
        <v>58</v>
      </c>
      <c r="G235" t="str">
        <f>_xlfn.XLOOKUP(Table1_1[[#This Row],[Parameter]],[1]analyte_order!$B:$B,[1]analyte_order!$C:$C)</f>
        <v>31506-32-8</v>
      </c>
      <c r="H235">
        <f>_xlfn.XLOOKUP(Table1_1[[#This Row],[CAS_rn]],[1]analyte_order!$C:$C,[1]analyte_order!$E:$E)</f>
        <v>30</v>
      </c>
      <c r="I235">
        <v>0.02</v>
      </c>
    </row>
    <row r="236" spans="1:9" x14ac:dyDescent="0.3">
      <c r="A236" t="s">
        <v>37</v>
      </c>
      <c r="B236" s="1">
        <v>44314</v>
      </c>
      <c r="C236" s="1" t="str">
        <f t="shared" si="3"/>
        <v>21118</v>
      </c>
      <c r="D236" t="s">
        <v>33</v>
      </c>
      <c r="E236" t="s">
        <v>27</v>
      </c>
      <c r="F236" t="s">
        <v>59</v>
      </c>
      <c r="G236" t="str">
        <f>_xlfn.XLOOKUP(Table1_1[[#This Row],[Parameter]],[1]analyte_order!$B:$B,[1]analyte_order!$C:$C)</f>
        <v>2355-31-9</v>
      </c>
      <c r="H236">
        <f>_xlfn.XLOOKUP(Table1_1[[#This Row],[CAS_rn]],[1]analyte_order!$C:$C,[1]analyte_order!$E:$E)</f>
        <v>26</v>
      </c>
      <c r="I236">
        <v>0.02</v>
      </c>
    </row>
    <row r="237" spans="1:9" x14ac:dyDescent="0.3">
      <c r="A237" t="s">
        <v>37</v>
      </c>
      <c r="B237" s="1">
        <v>44314</v>
      </c>
      <c r="C237" s="1" t="str">
        <f t="shared" si="3"/>
        <v>21118</v>
      </c>
      <c r="D237" t="s">
        <v>33</v>
      </c>
      <c r="E237" t="s">
        <v>27</v>
      </c>
      <c r="F237" t="s">
        <v>57</v>
      </c>
      <c r="G237" t="str">
        <f>_xlfn.XLOOKUP(Table1_1[[#This Row],[Parameter]],[1]analyte_order!$B:$B,[1]analyte_order!$C:$C)</f>
        <v>2991-50-6</v>
      </c>
      <c r="H237">
        <f>_xlfn.XLOOKUP(Table1_1[[#This Row],[CAS_rn]],[1]analyte_order!$C:$C,[1]analyte_order!$E:$E)</f>
        <v>27</v>
      </c>
      <c r="I237">
        <v>0.02</v>
      </c>
    </row>
    <row r="238" spans="1:9" x14ac:dyDescent="0.3">
      <c r="A238" t="s">
        <v>37</v>
      </c>
      <c r="B238" s="1">
        <v>44314</v>
      </c>
      <c r="C238" s="1" t="str">
        <f t="shared" si="3"/>
        <v>21118</v>
      </c>
      <c r="D238" t="s">
        <v>33</v>
      </c>
      <c r="E238" t="s">
        <v>27</v>
      </c>
      <c r="F238" t="s">
        <v>24</v>
      </c>
      <c r="G238" t="str">
        <f>_xlfn.XLOOKUP(Table1_1[[#This Row],[Parameter]],[1]analyte_order!$B:$B,[1]analyte_order!$C:$C)</f>
        <v>919005-14-4</v>
      </c>
      <c r="H238">
        <f>_xlfn.XLOOKUP(Table1_1[[#This Row],[CAS_rn]],[1]analyte_order!$C:$C,[1]analyte_order!$E:$E)</f>
        <v>35</v>
      </c>
      <c r="I238">
        <v>0.08</v>
      </c>
    </row>
    <row r="239" spans="1:9" x14ac:dyDescent="0.3">
      <c r="A239" t="s">
        <v>37</v>
      </c>
      <c r="B239" s="1">
        <v>44314</v>
      </c>
      <c r="C239" s="1" t="str">
        <f t="shared" si="3"/>
        <v>21118</v>
      </c>
      <c r="D239" t="s">
        <v>33</v>
      </c>
      <c r="E239" t="s">
        <v>27</v>
      </c>
      <c r="F239" t="s">
        <v>52</v>
      </c>
      <c r="G239" t="str">
        <f>_xlfn.XLOOKUP(Table1_1[[#This Row],[Parameter]],[1]analyte_order!$B:$B,[1]analyte_order!$C:$C)</f>
        <v>356-02-5</v>
      </c>
      <c r="H239">
        <f>_xlfn.XLOOKUP(Table1_1[[#This Row],[CAS_rn]],[1]analyte_order!$C:$C,[1]analyte_order!$E:$E)</f>
        <v>38</v>
      </c>
      <c r="I239">
        <v>0.08</v>
      </c>
    </row>
    <row r="240" spans="1:9" x14ac:dyDescent="0.3">
      <c r="A240" t="s">
        <v>37</v>
      </c>
      <c r="B240" s="1">
        <v>44314</v>
      </c>
      <c r="C240" s="1" t="str">
        <f t="shared" si="3"/>
        <v>21118</v>
      </c>
      <c r="D240" t="s">
        <v>33</v>
      </c>
      <c r="E240" t="s">
        <v>27</v>
      </c>
      <c r="F240" t="s">
        <v>53</v>
      </c>
      <c r="G240" t="str">
        <f>_xlfn.XLOOKUP(Table1_1[[#This Row],[Parameter]],[1]analyte_order!$B:$B,[1]analyte_order!$C:$C)</f>
        <v>914637-49-3</v>
      </c>
      <c r="H240">
        <f>_xlfn.XLOOKUP(Table1_1[[#This Row],[CAS_rn]],[1]analyte_order!$C:$C,[1]analyte_order!$E:$E)</f>
        <v>39</v>
      </c>
      <c r="I240">
        <v>0.5</v>
      </c>
    </row>
    <row r="241" spans="1:9" x14ac:dyDescent="0.3">
      <c r="A241" t="s">
        <v>37</v>
      </c>
      <c r="B241" s="1">
        <v>44314</v>
      </c>
      <c r="C241" s="1" t="str">
        <f t="shared" si="3"/>
        <v>21118</v>
      </c>
      <c r="D241" t="s">
        <v>33</v>
      </c>
      <c r="E241" t="s">
        <v>27</v>
      </c>
      <c r="F241" t="s">
        <v>54</v>
      </c>
      <c r="G241" t="str">
        <f>_xlfn.XLOOKUP(Table1_1[[#This Row],[Parameter]],[1]analyte_order!$B:$B,[1]analyte_order!$C:$C)</f>
        <v>812-70-4</v>
      </c>
      <c r="H241">
        <f>_xlfn.XLOOKUP(Table1_1[[#This Row],[CAS_rn]],[1]analyte_order!$C:$C,[1]analyte_order!$E:$E)</f>
        <v>40</v>
      </c>
      <c r="I241">
        <v>0.5</v>
      </c>
    </row>
    <row r="242" spans="1:9" x14ac:dyDescent="0.3">
      <c r="A242" t="s">
        <v>38</v>
      </c>
      <c r="B242" s="1">
        <v>44361</v>
      </c>
      <c r="C242" s="1" t="str">
        <f t="shared" si="3"/>
        <v>21165</v>
      </c>
      <c r="D242" t="s">
        <v>26</v>
      </c>
      <c r="E242" t="s">
        <v>39</v>
      </c>
      <c r="F242" t="s">
        <v>5</v>
      </c>
      <c r="G242" t="str">
        <f>_xlfn.XLOOKUP(Table1_1[[#This Row],[Parameter]],[1]analyte_order!$B:$B,[1]analyte_order!$C:$C)</f>
        <v>375-22-4</v>
      </c>
      <c r="H242">
        <f>_xlfn.XLOOKUP(Table1_1[[#This Row],[CAS_rn]],[1]analyte_order!$C:$C,[1]analyte_order!$E:$E)</f>
        <v>1</v>
      </c>
      <c r="I242">
        <v>0.08</v>
      </c>
    </row>
    <row r="243" spans="1:9" x14ac:dyDescent="0.3">
      <c r="A243" t="s">
        <v>38</v>
      </c>
      <c r="B243" s="1">
        <v>44361</v>
      </c>
      <c r="C243" s="1" t="str">
        <f t="shared" si="3"/>
        <v>21165</v>
      </c>
      <c r="D243" t="s">
        <v>26</v>
      </c>
      <c r="E243" t="s">
        <v>39</v>
      </c>
      <c r="F243" t="s">
        <v>6</v>
      </c>
      <c r="G243" t="str">
        <f>_xlfn.XLOOKUP(Table1_1[[#This Row],[Parameter]],[1]analyte_order!$B:$B,[1]analyte_order!$C:$C)</f>
        <v>2706-90-3</v>
      </c>
      <c r="H243">
        <f>_xlfn.XLOOKUP(Table1_1[[#This Row],[CAS_rn]],[1]analyte_order!$C:$C,[1]analyte_order!$E:$E)</f>
        <v>2</v>
      </c>
      <c r="I243">
        <v>8.1000000000000003E-2</v>
      </c>
    </row>
    <row r="244" spans="1:9" x14ac:dyDescent="0.3">
      <c r="A244" t="s">
        <v>38</v>
      </c>
      <c r="B244" s="1">
        <v>44361</v>
      </c>
      <c r="C244" s="1" t="str">
        <f t="shared" si="3"/>
        <v>21165</v>
      </c>
      <c r="D244" t="s">
        <v>26</v>
      </c>
      <c r="E244" t="s">
        <v>39</v>
      </c>
      <c r="F244" t="s">
        <v>7</v>
      </c>
      <c r="G244" t="str">
        <f>_xlfn.XLOOKUP(Table1_1[[#This Row],[Parameter]],[1]analyte_order!$B:$B,[1]analyte_order!$C:$C)</f>
        <v>307-24-4</v>
      </c>
      <c r="H244">
        <f>_xlfn.XLOOKUP(Table1_1[[#This Row],[CAS_rn]],[1]analyte_order!$C:$C,[1]analyte_order!$E:$E)</f>
        <v>3</v>
      </c>
      <c r="I244">
        <v>0.161</v>
      </c>
    </row>
    <row r="245" spans="1:9" x14ac:dyDescent="0.3">
      <c r="A245" t="s">
        <v>38</v>
      </c>
      <c r="B245" s="1">
        <v>44361</v>
      </c>
      <c r="C245" s="1" t="str">
        <f t="shared" si="3"/>
        <v>21165</v>
      </c>
      <c r="D245" t="s">
        <v>26</v>
      </c>
      <c r="E245" t="s">
        <v>39</v>
      </c>
      <c r="F245" t="s">
        <v>8</v>
      </c>
      <c r="G245" t="str">
        <f>_xlfn.XLOOKUP(Table1_1[[#This Row],[Parameter]],[1]analyte_order!$B:$B,[1]analyte_order!$C:$C)</f>
        <v>375-85-9</v>
      </c>
      <c r="H245">
        <f>_xlfn.XLOOKUP(Table1_1[[#This Row],[CAS_rn]],[1]analyte_order!$C:$C,[1]analyte_order!$E:$E)</f>
        <v>4</v>
      </c>
      <c r="I245">
        <v>0.02</v>
      </c>
    </row>
    <row r="246" spans="1:9" x14ac:dyDescent="0.3">
      <c r="A246" t="s">
        <v>38</v>
      </c>
      <c r="B246" s="1">
        <v>44361</v>
      </c>
      <c r="C246" s="1" t="str">
        <f t="shared" si="3"/>
        <v>21165</v>
      </c>
      <c r="D246" t="s">
        <v>26</v>
      </c>
      <c r="E246" t="s">
        <v>39</v>
      </c>
      <c r="F246" t="s">
        <v>9</v>
      </c>
      <c r="G246" t="str">
        <f>_xlfn.XLOOKUP(Table1_1[[#This Row],[Parameter]],[1]analyte_order!$B:$B,[1]analyte_order!$C:$C)</f>
        <v>335-67-1</v>
      </c>
      <c r="H246">
        <f>_xlfn.XLOOKUP(Table1_1[[#This Row],[CAS_rn]],[1]analyte_order!$C:$C,[1]analyte_order!$E:$E)</f>
        <v>5</v>
      </c>
      <c r="I246">
        <v>0.29199999999999998</v>
      </c>
    </row>
    <row r="247" spans="1:9" x14ac:dyDescent="0.3">
      <c r="A247" t="s">
        <v>38</v>
      </c>
      <c r="B247" s="1">
        <v>44361</v>
      </c>
      <c r="C247" s="1" t="str">
        <f t="shared" si="3"/>
        <v>21165</v>
      </c>
      <c r="D247" t="s">
        <v>26</v>
      </c>
      <c r="E247" t="s">
        <v>39</v>
      </c>
      <c r="F247" t="s">
        <v>10</v>
      </c>
      <c r="G247" t="str">
        <f>_xlfn.XLOOKUP(Table1_1[[#This Row],[Parameter]],[1]analyte_order!$B:$B,[1]analyte_order!$C:$C)</f>
        <v>375-95-1</v>
      </c>
      <c r="H247">
        <f>_xlfn.XLOOKUP(Table1_1[[#This Row],[CAS_rn]],[1]analyte_order!$C:$C,[1]analyte_order!$E:$E)</f>
        <v>6</v>
      </c>
      <c r="I247">
        <v>0.04</v>
      </c>
    </row>
    <row r="248" spans="1:9" x14ac:dyDescent="0.3">
      <c r="A248" t="s">
        <v>38</v>
      </c>
      <c r="B248" s="1">
        <v>44361</v>
      </c>
      <c r="C248" s="1" t="str">
        <f t="shared" si="3"/>
        <v>21165</v>
      </c>
      <c r="D248" t="s">
        <v>26</v>
      </c>
      <c r="E248" t="s">
        <v>39</v>
      </c>
      <c r="F248" t="s">
        <v>11</v>
      </c>
      <c r="G248" t="str">
        <f>_xlfn.XLOOKUP(Table1_1[[#This Row],[Parameter]],[1]analyte_order!$B:$B,[1]analyte_order!$C:$C)</f>
        <v>335-76-2</v>
      </c>
      <c r="H248">
        <f>_xlfn.XLOOKUP(Table1_1[[#This Row],[CAS_rn]],[1]analyte_order!$C:$C,[1]analyte_order!$E:$E)</f>
        <v>7</v>
      </c>
      <c r="I248">
        <v>0.02</v>
      </c>
    </row>
    <row r="249" spans="1:9" x14ac:dyDescent="0.3">
      <c r="A249" t="s">
        <v>38</v>
      </c>
      <c r="B249" s="1">
        <v>44361</v>
      </c>
      <c r="C249" s="1" t="str">
        <f t="shared" si="3"/>
        <v>21165</v>
      </c>
      <c r="D249" t="s">
        <v>26</v>
      </c>
      <c r="E249" t="s">
        <v>39</v>
      </c>
      <c r="F249" t="s">
        <v>12</v>
      </c>
      <c r="G249" t="str">
        <f>_xlfn.XLOOKUP(Table1_1[[#This Row],[Parameter]],[1]analyte_order!$B:$B,[1]analyte_order!$C:$C)</f>
        <v>2058-94-8</v>
      </c>
      <c r="H249">
        <f>_xlfn.XLOOKUP(Table1_1[[#This Row],[CAS_rn]],[1]analyte_order!$C:$C,[1]analyte_order!$E:$E)</f>
        <v>8</v>
      </c>
      <c r="I249">
        <v>0.02</v>
      </c>
    </row>
    <row r="250" spans="1:9" x14ac:dyDescent="0.3">
      <c r="A250" t="s">
        <v>38</v>
      </c>
      <c r="B250" s="1">
        <v>44361</v>
      </c>
      <c r="C250" s="1" t="str">
        <f t="shared" si="3"/>
        <v>21165</v>
      </c>
      <c r="D250" t="s">
        <v>26</v>
      </c>
      <c r="E250" t="s">
        <v>39</v>
      </c>
      <c r="F250" t="s">
        <v>13</v>
      </c>
      <c r="G250" t="str">
        <f>_xlfn.XLOOKUP(Table1_1[[#This Row],[Parameter]],[1]analyte_order!$B:$B,[1]analyte_order!$C:$C)</f>
        <v>307-55-1</v>
      </c>
      <c r="H250">
        <f>_xlfn.XLOOKUP(Table1_1[[#This Row],[CAS_rn]],[1]analyte_order!$C:$C,[1]analyte_order!$E:$E)</f>
        <v>9</v>
      </c>
      <c r="I250">
        <v>0.02</v>
      </c>
    </row>
    <row r="251" spans="1:9" x14ac:dyDescent="0.3">
      <c r="A251" t="s">
        <v>38</v>
      </c>
      <c r="B251" s="1">
        <v>44361</v>
      </c>
      <c r="C251" s="1" t="str">
        <f t="shared" si="3"/>
        <v>21165</v>
      </c>
      <c r="D251" t="s">
        <v>26</v>
      </c>
      <c r="E251" t="s">
        <v>39</v>
      </c>
      <c r="F251" t="s">
        <v>14</v>
      </c>
      <c r="G251" t="str">
        <f>_xlfn.XLOOKUP(Table1_1[[#This Row],[Parameter]],[1]analyte_order!$B:$B,[1]analyte_order!$C:$C)</f>
        <v>72629-94-8</v>
      </c>
      <c r="H251">
        <f>_xlfn.XLOOKUP(Table1_1[[#This Row],[CAS_rn]],[1]analyte_order!$C:$C,[1]analyte_order!$E:$E)</f>
        <v>10</v>
      </c>
      <c r="I251">
        <v>0.02</v>
      </c>
    </row>
    <row r="252" spans="1:9" x14ac:dyDescent="0.3">
      <c r="A252" t="s">
        <v>38</v>
      </c>
      <c r="B252" s="1">
        <v>44361</v>
      </c>
      <c r="C252" s="1" t="str">
        <f t="shared" si="3"/>
        <v>21165</v>
      </c>
      <c r="D252" t="s">
        <v>26</v>
      </c>
      <c r="E252" t="s">
        <v>39</v>
      </c>
      <c r="F252" t="s">
        <v>15</v>
      </c>
      <c r="G252" t="str">
        <f>_xlfn.XLOOKUP(Table1_1[[#This Row],[Parameter]],[1]analyte_order!$B:$B,[1]analyte_order!$C:$C)</f>
        <v>376-06-7</v>
      </c>
      <c r="H252">
        <f>_xlfn.XLOOKUP(Table1_1[[#This Row],[CAS_rn]],[1]analyte_order!$C:$C,[1]analyte_order!$E:$E)</f>
        <v>11</v>
      </c>
      <c r="I252">
        <v>0.02</v>
      </c>
    </row>
    <row r="253" spans="1:9" x14ac:dyDescent="0.3">
      <c r="A253" t="s">
        <v>38</v>
      </c>
      <c r="B253" s="1">
        <v>44361</v>
      </c>
      <c r="C253" s="1" t="str">
        <f t="shared" si="3"/>
        <v>21165</v>
      </c>
      <c r="D253" t="s">
        <v>26</v>
      </c>
      <c r="E253" t="s">
        <v>39</v>
      </c>
      <c r="F253" t="s">
        <v>16</v>
      </c>
      <c r="G253" t="str">
        <f>_xlfn.XLOOKUP(Table1_1[[#This Row],[Parameter]],[1]analyte_order!$B:$B,[1]analyte_order!$C:$C)</f>
        <v>375-73-5</v>
      </c>
      <c r="H253">
        <f>_xlfn.XLOOKUP(Table1_1[[#This Row],[CAS_rn]],[1]analyte_order!$C:$C,[1]analyte_order!$E:$E)</f>
        <v>14</v>
      </c>
      <c r="I253">
        <v>0.02</v>
      </c>
    </row>
    <row r="254" spans="1:9" x14ac:dyDescent="0.3">
      <c r="A254" t="s">
        <v>38</v>
      </c>
      <c r="B254" s="1">
        <v>44361</v>
      </c>
      <c r="C254" s="1" t="str">
        <f t="shared" si="3"/>
        <v>21165</v>
      </c>
      <c r="D254" t="s">
        <v>26</v>
      </c>
      <c r="E254" t="s">
        <v>39</v>
      </c>
      <c r="F254" t="s">
        <v>17</v>
      </c>
      <c r="G254" t="str">
        <f>_xlfn.XLOOKUP(Table1_1[[#This Row],[Parameter]],[1]analyte_order!$B:$B,[1]analyte_order!$C:$C)</f>
        <v>2706-91-4</v>
      </c>
      <c r="H254">
        <f>_xlfn.XLOOKUP(Table1_1[[#This Row],[CAS_rn]],[1]analyte_order!$C:$C,[1]analyte_order!$E:$E)</f>
        <v>15</v>
      </c>
      <c r="I254">
        <v>0.02</v>
      </c>
    </row>
    <row r="255" spans="1:9" x14ac:dyDescent="0.3">
      <c r="A255" t="s">
        <v>38</v>
      </c>
      <c r="B255" s="1">
        <v>44361</v>
      </c>
      <c r="C255" s="1" t="str">
        <f t="shared" si="3"/>
        <v>21165</v>
      </c>
      <c r="D255" t="s">
        <v>26</v>
      </c>
      <c r="E255" t="s">
        <v>39</v>
      </c>
      <c r="F255" t="s">
        <v>18</v>
      </c>
      <c r="G255" t="str">
        <f>_xlfn.XLOOKUP(Table1_1[[#This Row],[Parameter]],[1]analyte_order!$B:$B,[1]analyte_order!$C:$C)</f>
        <v>355-46-4</v>
      </c>
      <c r="H255">
        <f>_xlfn.XLOOKUP(Table1_1[[#This Row],[CAS_rn]],[1]analyte_order!$C:$C,[1]analyte_order!$E:$E)</f>
        <v>16</v>
      </c>
      <c r="I255">
        <v>0.24399999999999999</v>
      </c>
    </row>
    <row r="256" spans="1:9" x14ac:dyDescent="0.3">
      <c r="A256" t="s">
        <v>38</v>
      </c>
      <c r="B256" s="1">
        <v>44361</v>
      </c>
      <c r="C256" s="1" t="str">
        <f t="shared" si="3"/>
        <v>21165</v>
      </c>
      <c r="D256" t="s">
        <v>26</v>
      </c>
      <c r="E256" t="s">
        <v>39</v>
      </c>
      <c r="F256" t="s">
        <v>19</v>
      </c>
      <c r="G256" t="str">
        <f>_xlfn.XLOOKUP(Table1_1[[#This Row],[Parameter]],[1]analyte_order!$B:$B,[1]analyte_order!$C:$C)</f>
        <v>375-92-8</v>
      </c>
      <c r="H256">
        <f>_xlfn.XLOOKUP(Table1_1[[#This Row],[CAS_rn]],[1]analyte_order!$C:$C,[1]analyte_order!$E:$E)</f>
        <v>17</v>
      </c>
      <c r="I256">
        <v>0.02</v>
      </c>
    </row>
    <row r="257" spans="1:9" x14ac:dyDescent="0.3">
      <c r="A257" t="s">
        <v>38</v>
      </c>
      <c r="B257" s="1">
        <v>44361</v>
      </c>
      <c r="C257" s="1" t="str">
        <f t="shared" si="3"/>
        <v>21165</v>
      </c>
      <c r="D257" t="s">
        <v>26</v>
      </c>
      <c r="E257" t="s">
        <v>39</v>
      </c>
      <c r="F257" t="s">
        <v>20</v>
      </c>
      <c r="G257" t="str">
        <f>_xlfn.XLOOKUP(Table1_1[[#This Row],[Parameter]],[1]analyte_order!$B:$B,[1]analyte_order!$C:$C)</f>
        <v>1763-23-1</v>
      </c>
      <c r="H257">
        <f>_xlfn.XLOOKUP(Table1_1[[#This Row],[CAS_rn]],[1]analyte_order!$C:$C,[1]analyte_order!$E:$E)</f>
        <v>18</v>
      </c>
      <c r="I257">
        <v>0.81200000000000006</v>
      </c>
    </row>
    <row r="258" spans="1:9" x14ac:dyDescent="0.3">
      <c r="A258" t="s">
        <v>38</v>
      </c>
      <c r="B258" s="1">
        <v>44361</v>
      </c>
      <c r="C258" s="1" t="str">
        <f t="shared" si="3"/>
        <v>21165</v>
      </c>
      <c r="D258" t="s">
        <v>26</v>
      </c>
      <c r="E258" t="s">
        <v>39</v>
      </c>
      <c r="F258" t="s">
        <v>21</v>
      </c>
      <c r="G258" t="str">
        <f>_xlfn.XLOOKUP(Table1_1[[#This Row],[Parameter]],[1]analyte_order!$B:$B,[1]analyte_order!$C:$C)</f>
        <v>68259-12-1</v>
      </c>
      <c r="H258">
        <f>_xlfn.XLOOKUP(Table1_1[[#This Row],[CAS_rn]],[1]analyte_order!$C:$C,[1]analyte_order!$E:$E)</f>
        <v>19</v>
      </c>
      <c r="I258">
        <v>0.02</v>
      </c>
    </row>
    <row r="259" spans="1:9" x14ac:dyDescent="0.3">
      <c r="A259" t="s">
        <v>38</v>
      </c>
      <c r="B259" s="1">
        <v>44361</v>
      </c>
      <c r="C259" s="1" t="str">
        <f t="shared" ref="C259:C322" si="4">TEXT(B259,"yy")&amp;TEXT((B259-DATEVALUE("1/1/"&amp;TEXT(B259,"yy"))+1),"000")</f>
        <v>21165</v>
      </c>
      <c r="D259" t="s">
        <v>26</v>
      </c>
      <c r="E259" t="s">
        <v>39</v>
      </c>
      <c r="F259" t="s">
        <v>22</v>
      </c>
      <c r="G259" t="str">
        <f>_xlfn.XLOOKUP(Table1_1[[#This Row],[Parameter]],[1]analyte_order!$B:$B,[1]analyte_order!$C:$C)</f>
        <v>335-77-3</v>
      </c>
      <c r="H259">
        <f>_xlfn.XLOOKUP(Table1_1[[#This Row],[CAS_rn]],[1]analyte_order!$C:$C,[1]analyte_order!$E:$E)</f>
        <v>20</v>
      </c>
      <c r="I259">
        <v>0.02</v>
      </c>
    </row>
    <row r="260" spans="1:9" x14ac:dyDescent="0.3">
      <c r="A260" t="s">
        <v>38</v>
      </c>
      <c r="B260" s="1">
        <v>44361</v>
      </c>
      <c r="C260" s="1" t="str">
        <f t="shared" si="4"/>
        <v>21165</v>
      </c>
      <c r="D260" t="s">
        <v>26</v>
      </c>
      <c r="E260" t="s">
        <v>39</v>
      </c>
      <c r="F260" t="s">
        <v>23</v>
      </c>
      <c r="G260" t="str">
        <f>_xlfn.XLOOKUP(Table1_1[[#This Row],[Parameter]],[1]analyte_order!$B:$B,[1]analyte_order!$C:$C)</f>
        <v>79780-39-5</v>
      </c>
      <c r="H260">
        <f>_xlfn.XLOOKUP(Table1_1[[#This Row],[CAS_rn]],[1]analyte_order!$C:$C,[1]analyte_order!$E:$E)</f>
        <v>21</v>
      </c>
      <c r="I260">
        <v>0.02</v>
      </c>
    </row>
    <row r="261" spans="1:9" x14ac:dyDescent="0.3">
      <c r="A261" t="s">
        <v>38</v>
      </c>
      <c r="B261" s="1">
        <v>44361</v>
      </c>
      <c r="C261" s="1" t="str">
        <f t="shared" si="4"/>
        <v>21165</v>
      </c>
      <c r="D261" t="s">
        <v>26</v>
      </c>
      <c r="E261" t="s">
        <v>39</v>
      </c>
      <c r="F261" t="s">
        <v>49</v>
      </c>
      <c r="G261" t="str">
        <f>_xlfn.XLOOKUP(Table1_1[[#This Row],[Parameter]],[1]analyte_order!$B:$B,[1]analyte_order!$C:$C)</f>
        <v>757124-72-4</v>
      </c>
      <c r="H261">
        <f>_xlfn.XLOOKUP(Table1_1[[#This Row],[CAS_rn]],[1]analyte_order!$C:$C,[1]analyte_order!$E:$E)</f>
        <v>22</v>
      </c>
      <c r="I261">
        <v>0.08</v>
      </c>
    </row>
    <row r="262" spans="1:9" x14ac:dyDescent="0.3">
      <c r="A262" t="s">
        <v>38</v>
      </c>
      <c r="B262" s="1">
        <v>44361</v>
      </c>
      <c r="C262" s="1" t="str">
        <f t="shared" si="4"/>
        <v>21165</v>
      </c>
      <c r="D262" t="s">
        <v>26</v>
      </c>
      <c r="E262" t="s">
        <v>39</v>
      </c>
      <c r="F262" t="s">
        <v>50</v>
      </c>
      <c r="G262" t="str">
        <f>_xlfn.XLOOKUP(Table1_1[[#This Row],[Parameter]],[1]analyte_order!$B:$B,[1]analyte_order!$C:$C)</f>
        <v>27619-97-2</v>
      </c>
      <c r="H262">
        <f>_xlfn.XLOOKUP(Table1_1[[#This Row],[CAS_rn]],[1]analyte_order!$C:$C,[1]analyte_order!$E:$E)</f>
        <v>23</v>
      </c>
      <c r="I262">
        <v>0.08</v>
      </c>
    </row>
    <row r="263" spans="1:9" x14ac:dyDescent="0.3">
      <c r="A263" t="s">
        <v>38</v>
      </c>
      <c r="B263" s="1">
        <v>44361</v>
      </c>
      <c r="C263" s="1" t="str">
        <f t="shared" si="4"/>
        <v>21165</v>
      </c>
      <c r="D263" t="s">
        <v>26</v>
      </c>
      <c r="E263" t="s">
        <v>39</v>
      </c>
      <c r="F263" t="s">
        <v>51</v>
      </c>
      <c r="G263" t="str">
        <f>_xlfn.XLOOKUP(Table1_1[[#This Row],[Parameter]],[1]analyte_order!$B:$B,[1]analyte_order!$C:$C)</f>
        <v>39108-34-4</v>
      </c>
      <c r="H263">
        <f>_xlfn.XLOOKUP(Table1_1[[#This Row],[CAS_rn]],[1]analyte_order!$C:$C,[1]analyte_order!$E:$E)</f>
        <v>24</v>
      </c>
      <c r="I263">
        <v>0.08</v>
      </c>
    </row>
    <row r="264" spans="1:9" x14ac:dyDescent="0.3">
      <c r="A264" t="s">
        <v>38</v>
      </c>
      <c r="B264" s="1">
        <v>44361</v>
      </c>
      <c r="C264" s="1" t="str">
        <f t="shared" si="4"/>
        <v>21165</v>
      </c>
      <c r="D264" t="s">
        <v>26</v>
      </c>
      <c r="E264" t="s">
        <v>39</v>
      </c>
      <c r="F264" t="s">
        <v>60</v>
      </c>
      <c r="G264" t="str">
        <f>_xlfn.XLOOKUP(Table1_1[[#This Row],[Parameter]],[1]analyte_order!$B:$B,[1]analyte_order!$C:$C)</f>
        <v>754-91-6</v>
      </c>
      <c r="H264">
        <f>_xlfn.XLOOKUP(Table1_1[[#This Row],[CAS_rn]],[1]analyte_order!$C:$C,[1]analyte_order!$E:$E)</f>
        <v>28</v>
      </c>
      <c r="I264">
        <v>0.02</v>
      </c>
    </row>
    <row r="265" spans="1:9" x14ac:dyDescent="0.3">
      <c r="A265" t="s">
        <v>38</v>
      </c>
      <c r="B265" s="1">
        <v>44361</v>
      </c>
      <c r="C265" s="1" t="str">
        <f t="shared" si="4"/>
        <v>21165</v>
      </c>
      <c r="D265" t="s">
        <v>26</v>
      </c>
      <c r="E265" t="s">
        <v>39</v>
      </c>
      <c r="F265" t="s">
        <v>58</v>
      </c>
      <c r="G265" t="str">
        <f>_xlfn.XLOOKUP(Table1_1[[#This Row],[Parameter]],[1]analyte_order!$B:$B,[1]analyte_order!$C:$C)</f>
        <v>31506-32-8</v>
      </c>
      <c r="H265">
        <f>_xlfn.XLOOKUP(Table1_1[[#This Row],[CAS_rn]],[1]analyte_order!$C:$C,[1]analyte_order!$E:$E)</f>
        <v>30</v>
      </c>
      <c r="I265">
        <v>0.02</v>
      </c>
    </row>
    <row r="266" spans="1:9" x14ac:dyDescent="0.3">
      <c r="A266" t="s">
        <v>38</v>
      </c>
      <c r="B266" s="1">
        <v>44361</v>
      </c>
      <c r="C266" s="1" t="str">
        <f t="shared" si="4"/>
        <v>21165</v>
      </c>
      <c r="D266" t="s">
        <v>26</v>
      </c>
      <c r="E266" t="s">
        <v>39</v>
      </c>
      <c r="F266" t="s">
        <v>59</v>
      </c>
      <c r="G266" t="str">
        <f>_xlfn.XLOOKUP(Table1_1[[#This Row],[Parameter]],[1]analyte_order!$B:$B,[1]analyte_order!$C:$C)</f>
        <v>2355-31-9</v>
      </c>
      <c r="H266">
        <f>_xlfn.XLOOKUP(Table1_1[[#This Row],[CAS_rn]],[1]analyte_order!$C:$C,[1]analyte_order!$E:$E)</f>
        <v>26</v>
      </c>
      <c r="I266">
        <v>0.02</v>
      </c>
    </row>
    <row r="267" spans="1:9" x14ac:dyDescent="0.3">
      <c r="A267" t="s">
        <v>38</v>
      </c>
      <c r="B267" s="1">
        <v>44361</v>
      </c>
      <c r="C267" s="1" t="str">
        <f t="shared" si="4"/>
        <v>21165</v>
      </c>
      <c r="D267" t="s">
        <v>26</v>
      </c>
      <c r="E267" t="s">
        <v>39</v>
      </c>
      <c r="F267" t="s">
        <v>57</v>
      </c>
      <c r="G267" t="str">
        <f>_xlfn.XLOOKUP(Table1_1[[#This Row],[Parameter]],[1]analyte_order!$B:$B,[1]analyte_order!$C:$C)</f>
        <v>2991-50-6</v>
      </c>
      <c r="H267">
        <f>_xlfn.XLOOKUP(Table1_1[[#This Row],[CAS_rn]],[1]analyte_order!$C:$C,[1]analyte_order!$E:$E)</f>
        <v>27</v>
      </c>
      <c r="I267">
        <v>0.02</v>
      </c>
    </row>
    <row r="268" spans="1:9" x14ac:dyDescent="0.3">
      <c r="A268" t="s">
        <v>38</v>
      </c>
      <c r="B268" s="1">
        <v>44361</v>
      </c>
      <c r="C268" s="1" t="str">
        <f t="shared" si="4"/>
        <v>21165</v>
      </c>
      <c r="D268" t="s">
        <v>26</v>
      </c>
      <c r="E268" t="s">
        <v>39</v>
      </c>
      <c r="F268" t="s">
        <v>24</v>
      </c>
      <c r="G268" t="str">
        <f>_xlfn.XLOOKUP(Table1_1[[#This Row],[Parameter]],[1]analyte_order!$B:$B,[1]analyte_order!$C:$C)</f>
        <v>919005-14-4</v>
      </c>
      <c r="H268">
        <f>_xlfn.XLOOKUP(Table1_1[[#This Row],[CAS_rn]],[1]analyte_order!$C:$C,[1]analyte_order!$E:$E)</f>
        <v>35</v>
      </c>
      <c r="I268">
        <v>0.08</v>
      </c>
    </row>
    <row r="269" spans="1:9" x14ac:dyDescent="0.3">
      <c r="A269" t="s">
        <v>38</v>
      </c>
      <c r="B269" s="1">
        <v>44361</v>
      </c>
      <c r="C269" s="1" t="str">
        <f t="shared" si="4"/>
        <v>21165</v>
      </c>
      <c r="D269" t="s">
        <v>26</v>
      </c>
      <c r="E269" t="s">
        <v>39</v>
      </c>
      <c r="F269" t="s">
        <v>52</v>
      </c>
      <c r="G269" t="str">
        <f>_xlfn.XLOOKUP(Table1_1[[#This Row],[Parameter]],[1]analyte_order!$B:$B,[1]analyte_order!$C:$C)</f>
        <v>356-02-5</v>
      </c>
      <c r="H269">
        <f>_xlfn.XLOOKUP(Table1_1[[#This Row],[CAS_rn]],[1]analyte_order!$C:$C,[1]analyte_order!$E:$E)</f>
        <v>38</v>
      </c>
      <c r="I269">
        <v>0.08</v>
      </c>
    </row>
    <row r="270" spans="1:9" x14ac:dyDescent="0.3">
      <c r="A270" t="s">
        <v>38</v>
      </c>
      <c r="B270" s="1">
        <v>44361</v>
      </c>
      <c r="C270" s="1" t="str">
        <f t="shared" si="4"/>
        <v>21165</v>
      </c>
      <c r="D270" t="s">
        <v>26</v>
      </c>
      <c r="E270" t="s">
        <v>39</v>
      </c>
      <c r="F270" t="s">
        <v>53</v>
      </c>
      <c r="G270" t="str">
        <f>_xlfn.XLOOKUP(Table1_1[[#This Row],[Parameter]],[1]analyte_order!$B:$B,[1]analyte_order!$C:$C)</f>
        <v>914637-49-3</v>
      </c>
      <c r="H270">
        <f>_xlfn.XLOOKUP(Table1_1[[#This Row],[CAS_rn]],[1]analyte_order!$C:$C,[1]analyte_order!$E:$E)</f>
        <v>39</v>
      </c>
      <c r="I270">
        <v>0.5</v>
      </c>
    </row>
    <row r="271" spans="1:9" x14ac:dyDescent="0.3">
      <c r="A271" t="s">
        <v>38</v>
      </c>
      <c r="B271" s="1">
        <v>44361</v>
      </c>
      <c r="C271" s="1" t="str">
        <f t="shared" si="4"/>
        <v>21165</v>
      </c>
      <c r="D271" t="s">
        <v>26</v>
      </c>
      <c r="E271" t="s">
        <v>39</v>
      </c>
      <c r="F271" t="s">
        <v>54</v>
      </c>
      <c r="G271" t="str">
        <f>_xlfn.XLOOKUP(Table1_1[[#This Row],[Parameter]],[1]analyte_order!$B:$B,[1]analyte_order!$C:$C)</f>
        <v>812-70-4</v>
      </c>
      <c r="H271">
        <f>_xlfn.XLOOKUP(Table1_1[[#This Row],[CAS_rn]],[1]analyte_order!$C:$C,[1]analyte_order!$E:$E)</f>
        <v>40</v>
      </c>
      <c r="I271">
        <v>0.5</v>
      </c>
    </row>
    <row r="272" spans="1:9" x14ac:dyDescent="0.3">
      <c r="A272" t="s">
        <v>40</v>
      </c>
      <c r="B272" s="1">
        <v>44361</v>
      </c>
      <c r="C272" s="1" t="str">
        <f t="shared" si="4"/>
        <v>21165</v>
      </c>
      <c r="D272" t="s">
        <v>29</v>
      </c>
      <c r="E272" t="s">
        <v>39</v>
      </c>
      <c r="F272" t="s">
        <v>5</v>
      </c>
      <c r="G272" t="str">
        <f>_xlfn.XLOOKUP(Table1_1[[#This Row],[Parameter]],[1]analyte_order!$B:$B,[1]analyte_order!$C:$C)</f>
        <v>375-22-4</v>
      </c>
      <c r="H272">
        <f>_xlfn.XLOOKUP(Table1_1[[#This Row],[CAS_rn]],[1]analyte_order!$C:$C,[1]analyte_order!$E:$E)</f>
        <v>1</v>
      </c>
      <c r="I272">
        <v>0.08</v>
      </c>
    </row>
    <row r="273" spans="1:9" x14ac:dyDescent="0.3">
      <c r="A273" t="s">
        <v>40</v>
      </c>
      <c r="B273" s="1">
        <v>44361</v>
      </c>
      <c r="C273" s="1" t="str">
        <f t="shared" si="4"/>
        <v>21165</v>
      </c>
      <c r="D273" t="s">
        <v>29</v>
      </c>
      <c r="E273" t="s">
        <v>39</v>
      </c>
      <c r="F273" t="s">
        <v>6</v>
      </c>
      <c r="G273" t="str">
        <f>_xlfn.XLOOKUP(Table1_1[[#This Row],[Parameter]],[1]analyte_order!$B:$B,[1]analyte_order!$C:$C)</f>
        <v>2706-90-3</v>
      </c>
      <c r="H273">
        <f>_xlfn.XLOOKUP(Table1_1[[#This Row],[CAS_rn]],[1]analyte_order!$C:$C,[1]analyte_order!$E:$E)</f>
        <v>2</v>
      </c>
      <c r="I273">
        <v>0.04</v>
      </c>
    </row>
    <row r="274" spans="1:9" x14ac:dyDescent="0.3">
      <c r="A274" t="s">
        <v>40</v>
      </c>
      <c r="B274" s="1">
        <v>44361</v>
      </c>
      <c r="C274" s="1" t="str">
        <f t="shared" si="4"/>
        <v>21165</v>
      </c>
      <c r="D274" t="s">
        <v>29</v>
      </c>
      <c r="E274" t="s">
        <v>39</v>
      </c>
      <c r="F274" t="s">
        <v>7</v>
      </c>
      <c r="G274" t="str">
        <f>_xlfn.XLOOKUP(Table1_1[[#This Row],[Parameter]],[1]analyte_order!$B:$B,[1]analyte_order!$C:$C)</f>
        <v>307-24-4</v>
      </c>
      <c r="H274">
        <f>_xlfn.XLOOKUP(Table1_1[[#This Row],[CAS_rn]],[1]analyte_order!$C:$C,[1]analyte_order!$E:$E)</f>
        <v>3</v>
      </c>
      <c r="I274">
        <v>6.0999999999999999E-2</v>
      </c>
    </row>
    <row r="275" spans="1:9" x14ac:dyDescent="0.3">
      <c r="A275" t="s">
        <v>40</v>
      </c>
      <c r="B275" s="1">
        <v>44361</v>
      </c>
      <c r="C275" s="1" t="str">
        <f t="shared" si="4"/>
        <v>21165</v>
      </c>
      <c r="D275" t="s">
        <v>29</v>
      </c>
      <c r="E275" t="s">
        <v>39</v>
      </c>
      <c r="F275" t="s">
        <v>8</v>
      </c>
      <c r="G275" t="str">
        <f>_xlfn.XLOOKUP(Table1_1[[#This Row],[Parameter]],[1]analyte_order!$B:$B,[1]analyte_order!$C:$C)</f>
        <v>375-85-9</v>
      </c>
      <c r="H275">
        <f>_xlfn.XLOOKUP(Table1_1[[#This Row],[CAS_rn]],[1]analyte_order!$C:$C,[1]analyte_order!$E:$E)</f>
        <v>4</v>
      </c>
      <c r="I275">
        <v>0.02</v>
      </c>
    </row>
    <row r="276" spans="1:9" x14ac:dyDescent="0.3">
      <c r="A276" t="s">
        <v>40</v>
      </c>
      <c r="B276" s="1">
        <v>44361</v>
      </c>
      <c r="C276" s="1" t="str">
        <f t="shared" si="4"/>
        <v>21165</v>
      </c>
      <c r="D276" t="s">
        <v>29</v>
      </c>
      <c r="E276" t="s">
        <v>39</v>
      </c>
      <c r="F276" t="s">
        <v>9</v>
      </c>
      <c r="G276" t="str">
        <f>_xlfn.XLOOKUP(Table1_1[[#This Row],[Parameter]],[1]analyte_order!$B:$B,[1]analyte_order!$C:$C)</f>
        <v>335-67-1</v>
      </c>
      <c r="H276">
        <f>_xlfn.XLOOKUP(Table1_1[[#This Row],[CAS_rn]],[1]analyte_order!$C:$C,[1]analyte_order!$E:$E)</f>
        <v>5</v>
      </c>
      <c r="I276">
        <v>7.1999999999999995E-2</v>
      </c>
    </row>
    <row r="277" spans="1:9" x14ac:dyDescent="0.3">
      <c r="A277" t="s">
        <v>40</v>
      </c>
      <c r="B277" s="1">
        <v>44361</v>
      </c>
      <c r="C277" s="1" t="str">
        <f t="shared" si="4"/>
        <v>21165</v>
      </c>
      <c r="D277" t="s">
        <v>29</v>
      </c>
      <c r="E277" t="s">
        <v>39</v>
      </c>
      <c r="F277" t="s">
        <v>10</v>
      </c>
      <c r="G277" t="str">
        <f>_xlfn.XLOOKUP(Table1_1[[#This Row],[Parameter]],[1]analyte_order!$B:$B,[1]analyte_order!$C:$C)</f>
        <v>375-95-1</v>
      </c>
      <c r="H277">
        <f>_xlfn.XLOOKUP(Table1_1[[#This Row],[CAS_rn]],[1]analyte_order!$C:$C,[1]analyte_order!$E:$E)</f>
        <v>6</v>
      </c>
      <c r="I277">
        <v>6.0999999999999999E-2</v>
      </c>
    </row>
    <row r="278" spans="1:9" x14ac:dyDescent="0.3">
      <c r="A278" t="s">
        <v>40</v>
      </c>
      <c r="B278" s="1">
        <v>44361</v>
      </c>
      <c r="C278" s="1" t="str">
        <f t="shared" si="4"/>
        <v>21165</v>
      </c>
      <c r="D278" t="s">
        <v>29</v>
      </c>
      <c r="E278" t="s">
        <v>39</v>
      </c>
      <c r="F278" t="s">
        <v>11</v>
      </c>
      <c r="G278" t="str">
        <f>_xlfn.XLOOKUP(Table1_1[[#This Row],[Parameter]],[1]analyte_order!$B:$B,[1]analyte_order!$C:$C)</f>
        <v>335-76-2</v>
      </c>
      <c r="H278">
        <f>_xlfn.XLOOKUP(Table1_1[[#This Row],[CAS_rn]],[1]analyte_order!$C:$C,[1]analyte_order!$E:$E)</f>
        <v>7</v>
      </c>
      <c r="I278">
        <v>0.02</v>
      </c>
    </row>
    <row r="279" spans="1:9" x14ac:dyDescent="0.3">
      <c r="A279" t="s">
        <v>40</v>
      </c>
      <c r="B279" s="1">
        <v>44361</v>
      </c>
      <c r="C279" s="1" t="str">
        <f t="shared" si="4"/>
        <v>21165</v>
      </c>
      <c r="D279" t="s">
        <v>29</v>
      </c>
      <c r="E279" t="s">
        <v>39</v>
      </c>
      <c r="F279" t="s">
        <v>12</v>
      </c>
      <c r="G279" t="str">
        <f>_xlfn.XLOOKUP(Table1_1[[#This Row],[Parameter]],[1]analyte_order!$B:$B,[1]analyte_order!$C:$C)</f>
        <v>2058-94-8</v>
      </c>
      <c r="H279">
        <f>_xlfn.XLOOKUP(Table1_1[[#This Row],[CAS_rn]],[1]analyte_order!$C:$C,[1]analyte_order!$E:$E)</f>
        <v>8</v>
      </c>
      <c r="I279">
        <v>0.02</v>
      </c>
    </row>
    <row r="280" spans="1:9" x14ac:dyDescent="0.3">
      <c r="A280" t="s">
        <v>40</v>
      </c>
      <c r="B280" s="1">
        <v>44361</v>
      </c>
      <c r="C280" s="1" t="str">
        <f t="shared" si="4"/>
        <v>21165</v>
      </c>
      <c r="D280" t="s">
        <v>29</v>
      </c>
      <c r="E280" t="s">
        <v>39</v>
      </c>
      <c r="F280" t="s">
        <v>13</v>
      </c>
      <c r="G280" t="str">
        <f>_xlfn.XLOOKUP(Table1_1[[#This Row],[Parameter]],[1]analyte_order!$B:$B,[1]analyte_order!$C:$C)</f>
        <v>307-55-1</v>
      </c>
      <c r="H280">
        <f>_xlfn.XLOOKUP(Table1_1[[#This Row],[CAS_rn]],[1]analyte_order!$C:$C,[1]analyte_order!$E:$E)</f>
        <v>9</v>
      </c>
      <c r="I280">
        <v>0.02</v>
      </c>
    </row>
    <row r="281" spans="1:9" x14ac:dyDescent="0.3">
      <c r="A281" t="s">
        <v>40</v>
      </c>
      <c r="B281" s="1">
        <v>44361</v>
      </c>
      <c r="C281" s="1" t="str">
        <f t="shared" si="4"/>
        <v>21165</v>
      </c>
      <c r="D281" t="s">
        <v>29</v>
      </c>
      <c r="E281" t="s">
        <v>39</v>
      </c>
      <c r="F281" t="s">
        <v>14</v>
      </c>
      <c r="G281" t="str">
        <f>_xlfn.XLOOKUP(Table1_1[[#This Row],[Parameter]],[1]analyte_order!$B:$B,[1]analyte_order!$C:$C)</f>
        <v>72629-94-8</v>
      </c>
      <c r="H281">
        <f>_xlfn.XLOOKUP(Table1_1[[#This Row],[CAS_rn]],[1]analyte_order!$C:$C,[1]analyte_order!$E:$E)</f>
        <v>10</v>
      </c>
      <c r="I281">
        <v>0.02</v>
      </c>
    </row>
    <row r="282" spans="1:9" x14ac:dyDescent="0.3">
      <c r="A282" t="s">
        <v>40</v>
      </c>
      <c r="B282" s="1">
        <v>44361</v>
      </c>
      <c r="C282" s="1" t="str">
        <f t="shared" si="4"/>
        <v>21165</v>
      </c>
      <c r="D282" t="s">
        <v>29</v>
      </c>
      <c r="E282" t="s">
        <v>39</v>
      </c>
      <c r="F282" t="s">
        <v>15</v>
      </c>
      <c r="G282" t="str">
        <f>_xlfn.XLOOKUP(Table1_1[[#This Row],[Parameter]],[1]analyte_order!$B:$B,[1]analyte_order!$C:$C)</f>
        <v>376-06-7</v>
      </c>
      <c r="H282">
        <f>_xlfn.XLOOKUP(Table1_1[[#This Row],[CAS_rn]],[1]analyte_order!$C:$C,[1]analyte_order!$E:$E)</f>
        <v>11</v>
      </c>
      <c r="I282">
        <v>0.02</v>
      </c>
    </row>
    <row r="283" spans="1:9" x14ac:dyDescent="0.3">
      <c r="A283" t="s">
        <v>40</v>
      </c>
      <c r="B283" s="1">
        <v>44361</v>
      </c>
      <c r="C283" s="1" t="str">
        <f t="shared" si="4"/>
        <v>21165</v>
      </c>
      <c r="D283" t="s">
        <v>29</v>
      </c>
      <c r="E283" t="s">
        <v>39</v>
      </c>
      <c r="F283" t="s">
        <v>16</v>
      </c>
      <c r="G283" t="str">
        <f>_xlfn.XLOOKUP(Table1_1[[#This Row],[Parameter]],[1]analyte_order!$B:$B,[1]analyte_order!$C:$C)</f>
        <v>375-73-5</v>
      </c>
      <c r="H283">
        <f>_xlfn.XLOOKUP(Table1_1[[#This Row],[CAS_rn]],[1]analyte_order!$C:$C,[1]analyte_order!$E:$E)</f>
        <v>14</v>
      </c>
      <c r="I283">
        <v>0.02</v>
      </c>
    </row>
    <row r="284" spans="1:9" x14ac:dyDescent="0.3">
      <c r="A284" t="s">
        <v>40</v>
      </c>
      <c r="B284" s="1">
        <v>44361</v>
      </c>
      <c r="C284" s="1" t="str">
        <f t="shared" si="4"/>
        <v>21165</v>
      </c>
      <c r="D284" t="s">
        <v>29</v>
      </c>
      <c r="E284" t="s">
        <v>39</v>
      </c>
      <c r="F284" t="s">
        <v>17</v>
      </c>
      <c r="G284" t="str">
        <f>_xlfn.XLOOKUP(Table1_1[[#This Row],[Parameter]],[1]analyte_order!$B:$B,[1]analyte_order!$C:$C)</f>
        <v>2706-91-4</v>
      </c>
      <c r="H284">
        <f>_xlfn.XLOOKUP(Table1_1[[#This Row],[CAS_rn]],[1]analyte_order!$C:$C,[1]analyte_order!$E:$E)</f>
        <v>15</v>
      </c>
      <c r="I284">
        <v>0.02</v>
      </c>
    </row>
    <row r="285" spans="1:9" x14ac:dyDescent="0.3">
      <c r="A285" t="s">
        <v>40</v>
      </c>
      <c r="B285" s="1">
        <v>44361</v>
      </c>
      <c r="C285" s="1" t="str">
        <f t="shared" si="4"/>
        <v>21165</v>
      </c>
      <c r="D285" t="s">
        <v>29</v>
      </c>
      <c r="E285" t="s">
        <v>39</v>
      </c>
      <c r="F285" t="s">
        <v>18</v>
      </c>
      <c r="G285" t="str">
        <f>_xlfn.XLOOKUP(Table1_1[[#This Row],[Parameter]],[1]analyte_order!$B:$B,[1]analyte_order!$C:$C)</f>
        <v>355-46-4</v>
      </c>
      <c r="H285">
        <f>_xlfn.XLOOKUP(Table1_1[[#This Row],[CAS_rn]],[1]analyte_order!$C:$C,[1]analyte_order!$E:$E)</f>
        <v>16</v>
      </c>
      <c r="I285">
        <v>0.189</v>
      </c>
    </row>
    <row r="286" spans="1:9" x14ac:dyDescent="0.3">
      <c r="A286" t="s">
        <v>40</v>
      </c>
      <c r="B286" s="1">
        <v>44361</v>
      </c>
      <c r="C286" s="1" t="str">
        <f t="shared" si="4"/>
        <v>21165</v>
      </c>
      <c r="D286" t="s">
        <v>29</v>
      </c>
      <c r="E286" t="s">
        <v>39</v>
      </c>
      <c r="F286" t="s">
        <v>19</v>
      </c>
      <c r="G286" t="str">
        <f>_xlfn.XLOOKUP(Table1_1[[#This Row],[Parameter]],[1]analyte_order!$B:$B,[1]analyte_order!$C:$C)</f>
        <v>375-92-8</v>
      </c>
      <c r="H286">
        <f>_xlfn.XLOOKUP(Table1_1[[#This Row],[CAS_rn]],[1]analyte_order!$C:$C,[1]analyte_order!$E:$E)</f>
        <v>17</v>
      </c>
      <c r="I286">
        <v>0.02</v>
      </c>
    </row>
    <row r="287" spans="1:9" x14ac:dyDescent="0.3">
      <c r="A287" t="s">
        <v>40</v>
      </c>
      <c r="B287" s="1">
        <v>44361</v>
      </c>
      <c r="C287" s="1" t="str">
        <f t="shared" si="4"/>
        <v>21165</v>
      </c>
      <c r="D287" t="s">
        <v>29</v>
      </c>
      <c r="E287" t="s">
        <v>39</v>
      </c>
      <c r="F287" t="s">
        <v>20</v>
      </c>
      <c r="G287" t="str">
        <f>_xlfn.XLOOKUP(Table1_1[[#This Row],[Parameter]],[1]analyte_order!$B:$B,[1]analyte_order!$C:$C)</f>
        <v>1763-23-1</v>
      </c>
      <c r="H287">
        <f>_xlfn.XLOOKUP(Table1_1[[#This Row],[CAS_rn]],[1]analyte_order!$C:$C,[1]analyte_order!$E:$E)</f>
        <v>18</v>
      </c>
      <c r="I287">
        <v>0.63700000000000001</v>
      </c>
    </row>
    <row r="288" spans="1:9" x14ac:dyDescent="0.3">
      <c r="A288" t="s">
        <v>40</v>
      </c>
      <c r="B288" s="1">
        <v>44361</v>
      </c>
      <c r="C288" s="1" t="str">
        <f t="shared" si="4"/>
        <v>21165</v>
      </c>
      <c r="D288" t="s">
        <v>29</v>
      </c>
      <c r="E288" t="s">
        <v>39</v>
      </c>
      <c r="F288" t="s">
        <v>21</v>
      </c>
      <c r="G288" t="str">
        <f>_xlfn.XLOOKUP(Table1_1[[#This Row],[Parameter]],[1]analyte_order!$B:$B,[1]analyte_order!$C:$C)</f>
        <v>68259-12-1</v>
      </c>
      <c r="H288">
        <f>_xlfn.XLOOKUP(Table1_1[[#This Row],[CAS_rn]],[1]analyte_order!$C:$C,[1]analyte_order!$E:$E)</f>
        <v>19</v>
      </c>
      <c r="I288">
        <v>0.02</v>
      </c>
    </row>
    <row r="289" spans="1:9" x14ac:dyDescent="0.3">
      <c r="A289" t="s">
        <v>40</v>
      </c>
      <c r="B289" s="1">
        <v>44361</v>
      </c>
      <c r="C289" s="1" t="str">
        <f t="shared" si="4"/>
        <v>21165</v>
      </c>
      <c r="D289" t="s">
        <v>29</v>
      </c>
      <c r="E289" t="s">
        <v>39</v>
      </c>
      <c r="F289" t="s">
        <v>22</v>
      </c>
      <c r="G289" t="str">
        <f>_xlfn.XLOOKUP(Table1_1[[#This Row],[Parameter]],[1]analyte_order!$B:$B,[1]analyte_order!$C:$C)</f>
        <v>335-77-3</v>
      </c>
      <c r="H289">
        <f>_xlfn.XLOOKUP(Table1_1[[#This Row],[CAS_rn]],[1]analyte_order!$C:$C,[1]analyte_order!$E:$E)</f>
        <v>20</v>
      </c>
      <c r="I289">
        <v>0.02</v>
      </c>
    </row>
    <row r="290" spans="1:9" x14ac:dyDescent="0.3">
      <c r="A290" t="s">
        <v>40</v>
      </c>
      <c r="B290" s="1">
        <v>44361</v>
      </c>
      <c r="C290" s="1" t="str">
        <f t="shared" si="4"/>
        <v>21165</v>
      </c>
      <c r="D290" t="s">
        <v>29</v>
      </c>
      <c r="E290" t="s">
        <v>39</v>
      </c>
      <c r="F290" t="s">
        <v>23</v>
      </c>
      <c r="G290" t="str">
        <f>_xlfn.XLOOKUP(Table1_1[[#This Row],[Parameter]],[1]analyte_order!$B:$B,[1]analyte_order!$C:$C)</f>
        <v>79780-39-5</v>
      </c>
      <c r="H290">
        <f>_xlfn.XLOOKUP(Table1_1[[#This Row],[CAS_rn]],[1]analyte_order!$C:$C,[1]analyte_order!$E:$E)</f>
        <v>21</v>
      </c>
      <c r="I290">
        <v>0.02</v>
      </c>
    </row>
    <row r="291" spans="1:9" x14ac:dyDescent="0.3">
      <c r="A291" t="s">
        <v>40</v>
      </c>
      <c r="B291" s="1">
        <v>44361</v>
      </c>
      <c r="C291" s="1" t="str">
        <f t="shared" si="4"/>
        <v>21165</v>
      </c>
      <c r="D291" t="s">
        <v>29</v>
      </c>
      <c r="E291" t="s">
        <v>39</v>
      </c>
      <c r="F291" t="s">
        <v>49</v>
      </c>
      <c r="G291" t="str">
        <f>_xlfn.XLOOKUP(Table1_1[[#This Row],[Parameter]],[1]analyte_order!$B:$B,[1]analyte_order!$C:$C)</f>
        <v>757124-72-4</v>
      </c>
      <c r="H291">
        <f>_xlfn.XLOOKUP(Table1_1[[#This Row],[CAS_rn]],[1]analyte_order!$C:$C,[1]analyte_order!$E:$E)</f>
        <v>22</v>
      </c>
      <c r="I291">
        <v>0.08</v>
      </c>
    </row>
    <row r="292" spans="1:9" x14ac:dyDescent="0.3">
      <c r="A292" t="s">
        <v>40</v>
      </c>
      <c r="B292" s="1">
        <v>44361</v>
      </c>
      <c r="C292" s="1" t="str">
        <f t="shared" si="4"/>
        <v>21165</v>
      </c>
      <c r="D292" t="s">
        <v>29</v>
      </c>
      <c r="E292" t="s">
        <v>39</v>
      </c>
      <c r="F292" t="s">
        <v>50</v>
      </c>
      <c r="G292" t="str">
        <f>_xlfn.XLOOKUP(Table1_1[[#This Row],[Parameter]],[1]analyte_order!$B:$B,[1]analyte_order!$C:$C)</f>
        <v>27619-97-2</v>
      </c>
      <c r="H292">
        <f>_xlfn.XLOOKUP(Table1_1[[#This Row],[CAS_rn]],[1]analyte_order!$C:$C,[1]analyte_order!$E:$E)</f>
        <v>23</v>
      </c>
      <c r="I292">
        <v>0.08</v>
      </c>
    </row>
    <row r="293" spans="1:9" x14ac:dyDescent="0.3">
      <c r="A293" t="s">
        <v>40</v>
      </c>
      <c r="B293" s="1">
        <v>44361</v>
      </c>
      <c r="C293" s="1" t="str">
        <f t="shared" si="4"/>
        <v>21165</v>
      </c>
      <c r="D293" t="s">
        <v>29</v>
      </c>
      <c r="E293" t="s">
        <v>39</v>
      </c>
      <c r="F293" t="s">
        <v>51</v>
      </c>
      <c r="G293" t="str">
        <f>_xlfn.XLOOKUP(Table1_1[[#This Row],[Parameter]],[1]analyte_order!$B:$B,[1]analyte_order!$C:$C)</f>
        <v>39108-34-4</v>
      </c>
      <c r="H293">
        <f>_xlfn.XLOOKUP(Table1_1[[#This Row],[CAS_rn]],[1]analyte_order!$C:$C,[1]analyte_order!$E:$E)</f>
        <v>24</v>
      </c>
      <c r="I293">
        <v>0.08</v>
      </c>
    </row>
    <row r="294" spans="1:9" x14ac:dyDescent="0.3">
      <c r="A294" t="s">
        <v>40</v>
      </c>
      <c r="B294" s="1">
        <v>44361</v>
      </c>
      <c r="C294" s="1" t="str">
        <f t="shared" si="4"/>
        <v>21165</v>
      </c>
      <c r="D294" t="s">
        <v>29</v>
      </c>
      <c r="E294" t="s">
        <v>39</v>
      </c>
      <c r="F294" t="s">
        <v>60</v>
      </c>
      <c r="G294" t="str">
        <f>_xlfn.XLOOKUP(Table1_1[[#This Row],[Parameter]],[1]analyte_order!$B:$B,[1]analyte_order!$C:$C)</f>
        <v>754-91-6</v>
      </c>
      <c r="H294">
        <f>_xlfn.XLOOKUP(Table1_1[[#This Row],[CAS_rn]],[1]analyte_order!$C:$C,[1]analyte_order!$E:$E)</f>
        <v>28</v>
      </c>
      <c r="I294">
        <v>0.02</v>
      </c>
    </row>
    <row r="295" spans="1:9" x14ac:dyDescent="0.3">
      <c r="A295" t="s">
        <v>40</v>
      </c>
      <c r="B295" s="1">
        <v>44361</v>
      </c>
      <c r="C295" s="1" t="str">
        <f t="shared" si="4"/>
        <v>21165</v>
      </c>
      <c r="D295" t="s">
        <v>29</v>
      </c>
      <c r="E295" t="s">
        <v>39</v>
      </c>
      <c r="F295" t="s">
        <v>58</v>
      </c>
      <c r="G295" t="str">
        <f>_xlfn.XLOOKUP(Table1_1[[#This Row],[Parameter]],[1]analyte_order!$B:$B,[1]analyte_order!$C:$C)</f>
        <v>31506-32-8</v>
      </c>
      <c r="H295">
        <f>_xlfn.XLOOKUP(Table1_1[[#This Row],[CAS_rn]],[1]analyte_order!$C:$C,[1]analyte_order!$E:$E)</f>
        <v>30</v>
      </c>
      <c r="I295">
        <v>0.02</v>
      </c>
    </row>
    <row r="296" spans="1:9" x14ac:dyDescent="0.3">
      <c r="A296" t="s">
        <v>40</v>
      </c>
      <c r="B296" s="1">
        <v>44361</v>
      </c>
      <c r="C296" s="1" t="str">
        <f t="shared" si="4"/>
        <v>21165</v>
      </c>
      <c r="D296" t="s">
        <v>29</v>
      </c>
      <c r="E296" t="s">
        <v>39</v>
      </c>
      <c r="F296" t="s">
        <v>59</v>
      </c>
      <c r="G296" t="str">
        <f>_xlfn.XLOOKUP(Table1_1[[#This Row],[Parameter]],[1]analyte_order!$B:$B,[1]analyte_order!$C:$C)</f>
        <v>2355-31-9</v>
      </c>
      <c r="H296">
        <f>_xlfn.XLOOKUP(Table1_1[[#This Row],[CAS_rn]],[1]analyte_order!$C:$C,[1]analyte_order!$E:$E)</f>
        <v>26</v>
      </c>
      <c r="I296">
        <v>0.02</v>
      </c>
    </row>
    <row r="297" spans="1:9" x14ac:dyDescent="0.3">
      <c r="A297" t="s">
        <v>40</v>
      </c>
      <c r="B297" s="1">
        <v>44361</v>
      </c>
      <c r="C297" s="1" t="str">
        <f t="shared" si="4"/>
        <v>21165</v>
      </c>
      <c r="D297" t="s">
        <v>29</v>
      </c>
      <c r="E297" t="s">
        <v>39</v>
      </c>
      <c r="F297" t="s">
        <v>57</v>
      </c>
      <c r="G297" t="str">
        <f>_xlfn.XLOOKUP(Table1_1[[#This Row],[Parameter]],[1]analyte_order!$B:$B,[1]analyte_order!$C:$C)</f>
        <v>2991-50-6</v>
      </c>
      <c r="H297">
        <f>_xlfn.XLOOKUP(Table1_1[[#This Row],[CAS_rn]],[1]analyte_order!$C:$C,[1]analyte_order!$E:$E)</f>
        <v>27</v>
      </c>
      <c r="I297">
        <v>0.02</v>
      </c>
    </row>
    <row r="298" spans="1:9" x14ac:dyDescent="0.3">
      <c r="A298" t="s">
        <v>40</v>
      </c>
      <c r="B298" s="1">
        <v>44361</v>
      </c>
      <c r="C298" s="1" t="str">
        <f t="shared" si="4"/>
        <v>21165</v>
      </c>
      <c r="D298" t="s">
        <v>29</v>
      </c>
      <c r="E298" t="s">
        <v>39</v>
      </c>
      <c r="F298" t="s">
        <v>24</v>
      </c>
      <c r="G298" t="str">
        <f>_xlfn.XLOOKUP(Table1_1[[#This Row],[Parameter]],[1]analyte_order!$B:$B,[1]analyte_order!$C:$C)</f>
        <v>919005-14-4</v>
      </c>
      <c r="H298">
        <f>_xlfn.XLOOKUP(Table1_1[[#This Row],[CAS_rn]],[1]analyte_order!$C:$C,[1]analyte_order!$E:$E)</f>
        <v>35</v>
      </c>
      <c r="I298">
        <v>0.08</v>
      </c>
    </row>
    <row r="299" spans="1:9" x14ac:dyDescent="0.3">
      <c r="A299" t="s">
        <v>40</v>
      </c>
      <c r="B299" s="1">
        <v>44361</v>
      </c>
      <c r="C299" s="1" t="str">
        <f t="shared" si="4"/>
        <v>21165</v>
      </c>
      <c r="D299" t="s">
        <v>29</v>
      </c>
      <c r="E299" t="s">
        <v>39</v>
      </c>
      <c r="F299" t="s">
        <v>52</v>
      </c>
      <c r="G299" t="str">
        <f>_xlfn.XLOOKUP(Table1_1[[#This Row],[Parameter]],[1]analyte_order!$B:$B,[1]analyte_order!$C:$C)</f>
        <v>356-02-5</v>
      </c>
      <c r="H299">
        <f>_xlfn.XLOOKUP(Table1_1[[#This Row],[CAS_rn]],[1]analyte_order!$C:$C,[1]analyte_order!$E:$E)</f>
        <v>38</v>
      </c>
      <c r="I299">
        <v>0.08</v>
      </c>
    </row>
    <row r="300" spans="1:9" x14ac:dyDescent="0.3">
      <c r="A300" t="s">
        <v>40</v>
      </c>
      <c r="B300" s="1">
        <v>44361</v>
      </c>
      <c r="C300" s="1" t="str">
        <f t="shared" si="4"/>
        <v>21165</v>
      </c>
      <c r="D300" t="s">
        <v>29</v>
      </c>
      <c r="E300" t="s">
        <v>39</v>
      </c>
      <c r="F300" t="s">
        <v>53</v>
      </c>
      <c r="G300" t="str">
        <f>_xlfn.XLOOKUP(Table1_1[[#This Row],[Parameter]],[1]analyte_order!$B:$B,[1]analyte_order!$C:$C)</f>
        <v>914637-49-3</v>
      </c>
      <c r="H300">
        <f>_xlfn.XLOOKUP(Table1_1[[#This Row],[CAS_rn]],[1]analyte_order!$C:$C,[1]analyte_order!$E:$E)</f>
        <v>39</v>
      </c>
      <c r="I300">
        <v>0.5</v>
      </c>
    </row>
    <row r="301" spans="1:9" x14ac:dyDescent="0.3">
      <c r="A301" t="s">
        <v>40</v>
      </c>
      <c r="B301" s="1">
        <v>44361</v>
      </c>
      <c r="C301" s="1" t="str">
        <f t="shared" si="4"/>
        <v>21165</v>
      </c>
      <c r="D301" t="s">
        <v>29</v>
      </c>
      <c r="E301" t="s">
        <v>39</v>
      </c>
      <c r="F301" t="s">
        <v>54</v>
      </c>
      <c r="G301" t="str">
        <f>_xlfn.XLOOKUP(Table1_1[[#This Row],[Parameter]],[1]analyte_order!$B:$B,[1]analyte_order!$C:$C)</f>
        <v>812-70-4</v>
      </c>
      <c r="H301">
        <f>_xlfn.XLOOKUP(Table1_1[[#This Row],[CAS_rn]],[1]analyte_order!$C:$C,[1]analyte_order!$E:$E)</f>
        <v>40</v>
      </c>
      <c r="I301">
        <v>0.5</v>
      </c>
    </row>
    <row r="302" spans="1:9" x14ac:dyDescent="0.3">
      <c r="A302" t="s">
        <v>41</v>
      </c>
      <c r="B302" s="1">
        <v>44361</v>
      </c>
      <c r="C302" s="1" t="str">
        <f t="shared" si="4"/>
        <v>21165</v>
      </c>
      <c r="D302" t="s">
        <v>31</v>
      </c>
      <c r="E302" t="s">
        <v>39</v>
      </c>
      <c r="F302" t="s">
        <v>5</v>
      </c>
      <c r="G302" t="str">
        <f>_xlfn.XLOOKUP(Table1_1[[#This Row],[Parameter]],[1]analyte_order!$B:$B,[1]analyte_order!$C:$C)</f>
        <v>375-22-4</v>
      </c>
      <c r="H302">
        <f>_xlfn.XLOOKUP(Table1_1[[#This Row],[CAS_rn]],[1]analyte_order!$C:$C,[1]analyte_order!$E:$E)</f>
        <v>1</v>
      </c>
      <c r="I302">
        <v>0.08</v>
      </c>
    </row>
    <row r="303" spans="1:9" x14ac:dyDescent="0.3">
      <c r="A303" t="s">
        <v>41</v>
      </c>
      <c r="B303" s="1">
        <v>44361</v>
      </c>
      <c r="C303" s="1" t="str">
        <f t="shared" si="4"/>
        <v>21165</v>
      </c>
      <c r="D303" t="s">
        <v>31</v>
      </c>
      <c r="E303" t="s">
        <v>39</v>
      </c>
      <c r="F303" t="s">
        <v>6</v>
      </c>
      <c r="G303" t="str">
        <f>_xlfn.XLOOKUP(Table1_1[[#This Row],[Parameter]],[1]analyte_order!$B:$B,[1]analyte_order!$C:$C)</f>
        <v>2706-90-3</v>
      </c>
      <c r="H303">
        <f>_xlfn.XLOOKUP(Table1_1[[#This Row],[CAS_rn]],[1]analyte_order!$C:$C,[1]analyte_order!$E:$E)</f>
        <v>2</v>
      </c>
      <c r="I303">
        <v>0.10100000000000001</v>
      </c>
    </row>
    <row r="304" spans="1:9" x14ac:dyDescent="0.3">
      <c r="A304" t="s">
        <v>41</v>
      </c>
      <c r="B304" s="1">
        <v>44361</v>
      </c>
      <c r="C304" s="1" t="str">
        <f t="shared" si="4"/>
        <v>21165</v>
      </c>
      <c r="D304" t="s">
        <v>31</v>
      </c>
      <c r="E304" t="s">
        <v>39</v>
      </c>
      <c r="F304" t="s">
        <v>7</v>
      </c>
      <c r="G304" t="str">
        <f>_xlfn.XLOOKUP(Table1_1[[#This Row],[Parameter]],[1]analyte_order!$B:$B,[1]analyte_order!$C:$C)</f>
        <v>307-24-4</v>
      </c>
      <c r="H304">
        <f>_xlfn.XLOOKUP(Table1_1[[#This Row],[CAS_rn]],[1]analyte_order!$C:$C,[1]analyte_order!$E:$E)</f>
        <v>3</v>
      </c>
      <c r="I304">
        <v>0.25900000000000001</v>
      </c>
    </row>
    <row r="305" spans="1:9" x14ac:dyDescent="0.3">
      <c r="A305" t="s">
        <v>41</v>
      </c>
      <c r="B305" s="1">
        <v>44361</v>
      </c>
      <c r="C305" s="1" t="str">
        <f t="shared" si="4"/>
        <v>21165</v>
      </c>
      <c r="D305" t="s">
        <v>31</v>
      </c>
      <c r="E305" t="s">
        <v>39</v>
      </c>
      <c r="F305" t="s">
        <v>8</v>
      </c>
      <c r="G305" t="str">
        <f>_xlfn.XLOOKUP(Table1_1[[#This Row],[Parameter]],[1]analyte_order!$B:$B,[1]analyte_order!$C:$C)</f>
        <v>375-85-9</v>
      </c>
      <c r="H305">
        <f>_xlfn.XLOOKUP(Table1_1[[#This Row],[CAS_rn]],[1]analyte_order!$C:$C,[1]analyte_order!$E:$E)</f>
        <v>4</v>
      </c>
      <c r="I305">
        <v>0.02</v>
      </c>
    </row>
    <row r="306" spans="1:9" x14ac:dyDescent="0.3">
      <c r="A306" t="s">
        <v>41</v>
      </c>
      <c r="B306" s="1">
        <v>44361</v>
      </c>
      <c r="C306" s="1" t="str">
        <f t="shared" si="4"/>
        <v>21165</v>
      </c>
      <c r="D306" t="s">
        <v>31</v>
      </c>
      <c r="E306" t="s">
        <v>39</v>
      </c>
      <c r="F306" t="s">
        <v>9</v>
      </c>
      <c r="G306" t="str">
        <f>_xlfn.XLOOKUP(Table1_1[[#This Row],[Parameter]],[1]analyte_order!$B:$B,[1]analyte_order!$C:$C)</f>
        <v>335-67-1</v>
      </c>
      <c r="H306">
        <f>_xlfn.XLOOKUP(Table1_1[[#This Row],[CAS_rn]],[1]analyte_order!$C:$C,[1]analyte_order!$E:$E)</f>
        <v>5</v>
      </c>
      <c r="I306">
        <v>0.125</v>
      </c>
    </row>
    <row r="307" spans="1:9" x14ac:dyDescent="0.3">
      <c r="A307" t="s">
        <v>41</v>
      </c>
      <c r="B307" s="1">
        <v>44361</v>
      </c>
      <c r="C307" s="1" t="str">
        <f t="shared" si="4"/>
        <v>21165</v>
      </c>
      <c r="D307" t="s">
        <v>31</v>
      </c>
      <c r="E307" t="s">
        <v>39</v>
      </c>
      <c r="F307" t="s">
        <v>10</v>
      </c>
      <c r="G307" t="str">
        <f>_xlfn.XLOOKUP(Table1_1[[#This Row],[Parameter]],[1]analyte_order!$B:$B,[1]analyte_order!$C:$C)</f>
        <v>375-95-1</v>
      </c>
      <c r="H307">
        <f>_xlfn.XLOOKUP(Table1_1[[#This Row],[CAS_rn]],[1]analyte_order!$C:$C,[1]analyte_order!$E:$E)</f>
        <v>6</v>
      </c>
      <c r="I307">
        <v>4.2999999999999997E-2</v>
      </c>
    </row>
    <row r="308" spans="1:9" x14ac:dyDescent="0.3">
      <c r="A308" t="s">
        <v>41</v>
      </c>
      <c r="B308" s="1">
        <v>44361</v>
      </c>
      <c r="C308" s="1" t="str">
        <f t="shared" si="4"/>
        <v>21165</v>
      </c>
      <c r="D308" t="s">
        <v>31</v>
      </c>
      <c r="E308" t="s">
        <v>39</v>
      </c>
      <c r="F308" t="s">
        <v>11</v>
      </c>
      <c r="G308" t="str">
        <f>_xlfn.XLOOKUP(Table1_1[[#This Row],[Parameter]],[1]analyte_order!$B:$B,[1]analyte_order!$C:$C)</f>
        <v>335-76-2</v>
      </c>
      <c r="H308">
        <f>_xlfn.XLOOKUP(Table1_1[[#This Row],[CAS_rn]],[1]analyte_order!$C:$C,[1]analyte_order!$E:$E)</f>
        <v>7</v>
      </c>
      <c r="I308">
        <v>0.02</v>
      </c>
    </row>
    <row r="309" spans="1:9" x14ac:dyDescent="0.3">
      <c r="A309" t="s">
        <v>41</v>
      </c>
      <c r="B309" s="1">
        <v>44361</v>
      </c>
      <c r="C309" s="1" t="str">
        <f t="shared" si="4"/>
        <v>21165</v>
      </c>
      <c r="D309" t="s">
        <v>31</v>
      </c>
      <c r="E309" t="s">
        <v>39</v>
      </c>
      <c r="F309" t="s">
        <v>12</v>
      </c>
      <c r="G309" t="str">
        <f>_xlfn.XLOOKUP(Table1_1[[#This Row],[Parameter]],[1]analyte_order!$B:$B,[1]analyte_order!$C:$C)</f>
        <v>2058-94-8</v>
      </c>
      <c r="H309">
        <f>_xlfn.XLOOKUP(Table1_1[[#This Row],[CAS_rn]],[1]analyte_order!$C:$C,[1]analyte_order!$E:$E)</f>
        <v>8</v>
      </c>
      <c r="I309">
        <v>0.02</v>
      </c>
    </row>
    <row r="310" spans="1:9" x14ac:dyDescent="0.3">
      <c r="A310" t="s">
        <v>41</v>
      </c>
      <c r="B310" s="1">
        <v>44361</v>
      </c>
      <c r="C310" s="1" t="str">
        <f t="shared" si="4"/>
        <v>21165</v>
      </c>
      <c r="D310" t="s">
        <v>31</v>
      </c>
      <c r="E310" t="s">
        <v>39</v>
      </c>
      <c r="F310" t="s">
        <v>13</v>
      </c>
      <c r="G310" t="str">
        <f>_xlfn.XLOOKUP(Table1_1[[#This Row],[Parameter]],[1]analyte_order!$B:$B,[1]analyte_order!$C:$C)</f>
        <v>307-55-1</v>
      </c>
      <c r="H310">
        <f>_xlfn.XLOOKUP(Table1_1[[#This Row],[CAS_rn]],[1]analyte_order!$C:$C,[1]analyte_order!$E:$E)</f>
        <v>9</v>
      </c>
      <c r="I310">
        <v>0.02</v>
      </c>
    </row>
    <row r="311" spans="1:9" x14ac:dyDescent="0.3">
      <c r="A311" t="s">
        <v>41</v>
      </c>
      <c r="B311" s="1">
        <v>44361</v>
      </c>
      <c r="C311" s="1" t="str">
        <f t="shared" si="4"/>
        <v>21165</v>
      </c>
      <c r="D311" t="s">
        <v>31</v>
      </c>
      <c r="E311" t="s">
        <v>39</v>
      </c>
      <c r="F311" t="s">
        <v>14</v>
      </c>
      <c r="G311" t="str">
        <f>_xlfn.XLOOKUP(Table1_1[[#This Row],[Parameter]],[1]analyte_order!$B:$B,[1]analyte_order!$C:$C)</f>
        <v>72629-94-8</v>
      </c>
      <c r="H311">
        <f>_xlfn.XLOOKUP(Table1_1[[#This Row],[CAS_rn]],[1]analyte_order!$C:$C,[1]analyte_order!$E:$E)</f>
        <v>10</v>
      </c>
      <c r="I311">
        <v>0.02</v>
      </c>
    </row>
    <row r="312" spans="1:9" x14ac:dyDescent="0.3">
      <c r="A312" t="s">
        <v>41</v>
      </c>
      <c r="B312" s="1">
        <v>44361</v>
      </c>
      <c r="C312" s="1" t="str">
        <f t="shared" si="4"/>
        <v>21165</v>
      </c>
      <c r="D312" t="s">
        <v>31</v>
      </c>
      <c r="E312" t="s">
        <v>39</v>
      </c>
      <c r="F312" t="s">
        <v>15</v>
      </c>
      <c r="G312" t="str">
        <f>_xlfn.XLOOKUP(Table1_1[[#This Row],[Parameter]],[1]analyte_order!$B:$B,[1]analyte_order!$C:$C)</f>
        <v>376-06-7</v>
      </c>
      <c r="H312">
        <f>_xlfn.XLOOKUP(Table1_1[[#This Row],[CAS_rn]],[1]analyte_order!$C:$C,[1]analyte_order!$E:$E)</f>
        <v>11</v>
      </c>
      <c r="I312">
        <v>0.02</v>
      </c>
    </row>
    <row r="313" spans="1:9" x14ac:dyDescent="0.3">
      <c r="A313" t="s">
        <v>41</v>
      </c>
      <c r="B313" s="1">
        <v>44361</v>
      </c>
      <c r="C313" s="1" t="str">
        <f t="shared" si="4"/>
        <v>21165</v>
      </c>
      <c r="D313" t="s">
        <v>31</v>
      </c>
      <c r="E313" t="s">
        <v>39</v>
      </c>
      <c r="F313" t="s">
        <v>16</v>
      </c>
      <c r="G313" t="str">
        <f>_xlfn.XLOOKUP(Table1_1[[#This Row],[Parameter]],[1]analyte_order!$B:$B,[1]analyte_order!$C:$C)</f>
        <v>375-73-5</v>
      </c>
      <c r="H313">
        <f>_xlfn.XLOOKUP(Table1_1[[#This Row],[CAS_rn]],[1]analyte_order!$C:$C,[1]analyte_order!$E:$E)</f>
        <v>14</v>
      </c>
      <c r="I313">
        <v>0.02</v>
      </c>
    </row>
    <row r="314" spans="1:9" x14ac:dyDescent="0.3">
      <c r="A314" t="s">
        <v>41</v>
      </c>
      <c r="B314" s="1">
        <v>44361</v>
      </c>
      <c r="C314" s="1" t="str">
        <f t="shared" si="4"/>
        <v>21165</v>
      </c>
      <c r="D314" t="s">
        <v>31</v>
      </c>
      <c r="E314" t="s">
        <v>39</v>
      </c>
      <c r="F314" t="s">
        <v>17</v>
      </c>
      <c r="G314" t="str">
        <f>_xlfn.XLOOKUP(Table1_1[[#This Row],[Parameter]],[1]analyte_order!$B:$B,[1]analyte_order!$C:$C)</f>
        <v>2706-91-4</v>
      </c>
      <c r="H314">
        <f>_xlfn.XLOOKUP(Table1_1[[#This Row],[CAS_rn]],[1]analyte_order!$C:$C,[1]analyte_order!$E:$E)</f>
        <v>15</v>
      </c>
      <c r="I314">
        <v>0.02</v>
      </c>
    </row>
    <row r="315" spans="1:9" x14ac:dyDescent="0.3">
      <c r="A315" t="s">
        <v>41</v>
      </c>
      <c r="B315" s="1">
        <v>44361</v>
      </c>
      <c r="C315" s="1" t="str">
        <f t="shared" si="4"/>
        <v>21165</v>
      </c>
      <c r="D315" t="s">
        <v>31</v>
      </c>
      <c r="E315" t="s">
        <v>39</v>
      </c>
      <c r="F315" t="s">
        <v>18</v>
      </c>
      <c r="G315" t="str">
        <f>_xlfn.XLOOKUP(Table1_1[[#This Row],[Parameter]],[1]analyte_order!$B:$B,[1]analyte_order!$C:$C)</f>
        <v>355-46-4</v>
      </c>
      <c r="H315">
        <f>_xlfn.XLOOKUP(Table1_1[[#This Row],[CAS_rn]],[1]analyte_order!$C:$C,[1]analyte_order!$E:$E)</f>
        <v>16</v>
      </c>
      <c r="I315">
        <v>0.35899999999999999</v>
      </c>
    </row>
    <row r="316" spans="1:9" x14ac:dyDescent="0.3">
      <c r="A316" t="s">
        <v>41</v>
      </c>
      <c r="B316" s="1">
        <v>44361</v>
      </c>
      <c r="C316" s="1" t="str">
        <f t="shared" si="4"/>
        <v>21165</v>
      </c>
      <c r="D316" t="s">
        <v>31</v>
      </c>
      <c r="E316" t="s">
        <v>39</v>
      </c>
      <c r="F316" t="s">
        <v>19</v>
      </c>
      <c r="G316" t="str">
        <f>_xlfn.XLOOKUP(Table1_1[[#This Row],[Parameter]],[1]analyte_order!$B:$B,[1]analyte_order!$C:$C)</f>
        <v>375-92-8</v>
      </c>
      <c r="H316">
        <f>_xlfn.XLOOKUP(Table1_1[[#This Row],[CAS_rn]],[1]analyte_order!$C:$C,[1]analyte_order!$E:$E)</f>
        <v>17</v>
      </c>
      <c r="I316">
        <v>0.02</v>
      </c>
    </row>
    <row r="317" spans="1:9" x14ac:dyDescent="0.3">
      <c r="A317" t="s">
        <v>41</v>
      </c>
      <c r="B317" s="1">
        <v>44361</v>
      </c>
      <c r="C317" s="1" t="str">
        <f t="shared" si="4"/>
        <v>21165</v>
      </c>
      <c r="D317" t="s">
        <v>31</v>
      </c>
      <c r="E317" t="s">
        <v>39</v>
      </c>
      <c r="F317" t="s">
        <v>20</v>
      </c>
      <c r="G317" t="str">
        <f>_xlfn.XLOOKUP(Table1_1[[#This Row],[Parameter]],[1]analyte_order!$B:$B,[1]analyte_order!$C:$C)</f>
        <v>1763-23-1</v>
      </c>
      <c r="H317">
        <f>_xlfn.XLOOKUP(Table1_1[[#This Row],[CAS_rn]],[1]analyte_order!$C:$C,[1]analyte_order!$E:$E)</f>
        <v>18</v>
      </c>
      <c r="I317">
        <v>1.81</v>
      </c>
    </row>
    <row r="318" spans="1:9" x14ac:dyDescent="0.3">
      <c r="A318" t="s">
        <v>41</v>
      </c>
      <c r="B318" s="1">
        <v>44361</v>
      </c>
      <c r="C318" s="1" t="str">
        <f t="shared" si="4"/>
        <v>21165</v>
      </c>
      <c r="D318" t="s">
        <v>31</v>
      </c>
      <c r="E318" t="s">
        <v>39</v>
      </c>
      <c r="F318" t="s">
        <v>21</v>
      </c>
      <c r="G318" t="str">
        <f>_xlfn.XLOOKUP(Table1_1[[#This Row],[Parameter]],[1]analyte_order!$B:$B,[1]analyte_order!$C:$C)</f>
        <v>68259-12-1</v>
      </c>
      <c r="H318">
        <f>_xlfn.XLOOKUP(Table1_1[[#This Row],[CAS_rn]],[1]analyte_order!$C:$C,[1]analyte_order!$E:$E)</f>
        <v>19</v>
      </c>
      <c r="I318">
        <v>0.02</v>
      </c>
    </row>
    <row r="319" spans="1:9" x14ac:dyDescent="0.3">
      <c r="A319" t="s">
        <v>41</v>
      </c>
      <c r="B319" s="1">
        <v>44361</v>
      </c>
      <c r="C319" s="1" t="str">
        <f t="shared" si="4"/>
        <v>21165</v>
      </c>
      <c r="D319" t="s">
        <v>31</v>
      </c>
      <c r="E319" t="s">
        <v>39</v>
      </c>
      <c r="F319" t="s">
        <v>22</v>
      </c>
      <c r="G319" t="str">
        <f>_xlfn.XLOOKUP(Table1_1[[#This Row],[Parameter]],[1]analyte_order!$B:$B,[1]analyte_order!$C:$C)</f>
        <v>335-77-3</v>
      </c>
      <c r="H319">
        <f>_xlfn.XLOOKUP(Table1_1[[#This Row],[CAS_rn]],[1]analyte_order!$C:$C,[1]analyte_order!$E:$E)</f>
        <v>20</v>
      </c>
      <c r="I319">
        <v>0.02</v>
      </c>
    </row>
    <row r="320" spans="1:9" x14ac:dyDescent="0.3">
      <c r="A320" t="s">
        <v>41</v>
      </c>
      <c r="B320" s="1">
        <v>44361</v>
      </c>
      <c r="C320" s="1" t="str">
        <f t="shared" si="4"/>
        <v>21165</v>
      </c>
      <c r="D320" t="s">
        <v>31</v>
      </c>
      <c r="E320" t="s">
        <v>39</v>
      </c>
      <c r="F320" t="s">
        <v>23</v>
      </c>
      <c r="G320" t="str">
        <f>_xlfn.XLOOKUP(Table1_1[[#This Row],[Parameter]],[1]analyte_order!$B:$B,[1]analyte_order!$C:$C)</f>
        <v>79780-39-5</v>
      </c>
      <c r="H320">
        <f>_xlfn.XLOOKUP(Table1_1[[#This Row],[CAS_rn]],[1]analyte_order!$C:$C,[1]analyte_order!$E:$E)</f>
        <v>21</v>
      </c>
      <c r="I320">
        <v>0.02</v>
      </c>
    </row>
    <row r="321" spans="1:9" x14ac:dyDescent="0.3">
      <c r="A321" t="s">
        <v>41</v>
      </c>
      <c r="B321" s="1">
        <v>44361</v>
      </c>
      <c r="C321" s="1" t="str">
        <f t="shared" si="4"/>
        <v>21165</v>
      </c>
      <c r="D321" t="s">
        <v>31</v>
      </c>
      <c r="E321" t="s">
        <v>39</v>
      </c>
      <c r="F321" t="s">
        <v>49</v>
      </c>
      <c r="G321" t="str">
        <f>_xlfn.XLOOKUP(Table1_1[[#This Row],[Parameter]],[1]analyte_order!$B:$B,[1]analyte_order!$C:$C)</f>
        <v>757124-72-4</v>
      </c>
      <c r="H321">
        <f>_xlfn.XLOOKUP(Table1_1[[#This Row],[CAS_rn]],[1]analyte_order!$C:$C,[1]analyte_order!$E:$E)</f>
        <v>22</v>
      </c>
      <c r="I321">
        <v>0.08</v>
      </c>
    </row>
    <row r="322" spans="1:9" x14ac:dyDescent="0.3">
      <c r="A322" t="s">
        <v>41</v>
      </c>
      <c r="B322" s="1">
        <v>44361</v>
      </c>
      <c r="C322" s="1" t="str">
        <f t="shared" si="4"/>
        <v>21165</v>
      </c>
      <c r="D322" t="s">
        <v>31</v>
      </c>
      <c r="E322" t="s">
        <v>39</v>
      </c>
      <c r="F322" t="s">
        <v>50</v>
      </c>
      <c r="G322" t="str">
        <f>_xlfn.XLOOKUP(Table1_1[[#This Row],[Parameter]],[1]analyte_order!$B:$B,[1]analyte_order!$C:$C)</f>
        <v>27619-97-2</v>
      </c>
      <c r="H322">
        <f>_xlfn.XLOOKUP(Table1_1[[#This Row],[CAS_rn]],[1]analyte_order!$C:$C,[1]analyte_order!$E:$E)</f>
        <v>23</v>
      </c>
      <c r="I322">
        <v>0.08</v>
      </c>
    </row>
    <row r="323" spans="1:9" x14ac:dyDescent="0.3">
      <c r="A323" t="s">
        <v>41</v>
      </c>
      <c r="B323" s="1">
        <v>44361</v>
      </c>
      <c r="C323" s="1" t="str">
        <f t="shared" ref="C323:C386" si="5">TEXT(B323,"yy")&amp;TEXT((B323-DATEVALUE("1/1/"&amp;TEXT(B323,"yy"))+1),"000")</f>
        <v>21165</v>
      </c>
      <c r="D323" t="s">
        <v>31</v>
      </c>
      <c r="E323" t="s">
        <v>39</v>
      </c>
      <c r="F323" t="s">
        <v>51</v>
      </c>
      <c r="G323" t="str">
        <f>_xlfn.XLOOKUP(Table1_1[[#This Row],[Parameter]],[1]analyte_order!$B:$B,[1]analyte_order!$C:$C)</f>
        <v>39108-34-4</v>
      </c>
      <c r="H323">
        <f>_xlfn.XLOOKUP(Table1_1[[#This Row],[CAS_rn]],[1]analyte_order!$C:$C,[1]analyte_order!$E:$E)</f>
        <v>24</v>
      </c>
      <c r="I323">
        <v>0.08</v>
      </c>
    </row>
    <row r="324" spans="1:9" x14ac:dyDescent="0.3">
      <c r="A324" t="s">
        <v>41</v>
      </c>
      <c r="B324" s="1">
        <v>44361</v>
      </c>
      <c r="C324" s="1" t="str">
        <f t="shared" si="5"/>
        <v>21165</v>
      </c>
      <c r="D324" t="s">
        <v>31</v>
      </c>
      <c r="E324" t="s">
        <v>39</v>
      </c>
      <c r="F324" t="s">
        <v>60</v>
      </c>
      <c r="G324" t="str">
        <f>_xlfn.XLOOKUP(Table1_1[[#This Row],[Parameter]],[1]analyte_order!$B:$B,[1]analyte_order!$C:$C)</f>
        <v>754-91-6</v>
      </c>
      <c r="H324">
        <f>_xlfn.XLOOKUP(Table1_1[[#This Row],[CAS_rn]],[1]analyte_order!$C:$C,[1]analyte_order!$E:$E)</f>
        <v>28</v>
      </c>
      <c r="I324">
        <v>0.113</v>
      </c>
    </row>
    <row r="325" spans="1:9" x14ac:dyDescent="0.3">
      <c r="A325" t="s">
        <v>41</v>
      </c>
      <c r="B325" s="1">
        <v>44361</v>
      </c>
      <c r="C325" s="1" t="str">
        <f t="shared" si="5"/>
        <v>21165</v>
      </c>
      <c r="D325" t="s">
        <v>31</v>
      </c>
      <c r="E325" t="s">
        <v>39</v>
      </c>
      <c r="F325" t="s">
        <v>58</v>
      </c>
      <c r="G325" t="str">
        <f>_xlfn.XLOOKUP(Table1_1[[#This Row],[Parameter]],[1]analyte_order!$B:$B,[1]analyte_order!$C:$C)</f>
        <v>31506-32-8</v>
      </c>
      <c r="H325">
        <f>_xlfn.XLOOKUP(Table1_1[[#This Row],[CAS_rn]],[1]analyte_order!$C:$C,[1]analyte_order!$E:$E)</f>
        <v>30</v>
      </c>
      <c r="I325">
        <v>0.02</v>
      </c>
    </row>
    <row r="326" spans="1:9" x14ac:dyDescent="0.3">
      <c r="A326" t="s">
        <v>41</v>
      </c>
      <c r="B326" s="1">
        <v>44361</v>
      </c>
      <c r="C326" s="1" t="str">
        <f t="shared" si="5"/>
        <v>21165</v>
      </c>
      <c r="D326" t="s">
        <v>31</v>
      </c>
      <c r="E326" t="s">
        <v>39</v>
      </c>
      <c r="F326" t="s">
        <v>59</v>
      </c>
      <c r="G326" t="str">
        <f>_xlfn.XLOOKUP(Table1_1[[#This Row],[Parameter]],[1]analyte_order!$B:$B,[1]analyte_order!$C:$C)</f>
        <v>2355-31-9</v>
      </c>
      <c r="H326">
        <f>_xlfn.XLOOKUP(Table1_1[[#This Row],[CAS_rn]],[1]analyte_order!$C:$C,[1]analyte_order!$E:$E)</f>
        <v>26</v>
      </c>
      <c r="I326">
        <v>0.02</v>
      </c>
    </row>
    <row r="327" spans="1:9" x14ac:dyDescent="0.3">
      <c r="A327" t="s">
        <v>41</v>
      </c>
      <c r="B327" s="1">
        <v>44361</v>
      </c>
      <c r="C327" s="1" t="str">
        <f t="shared" si="5"/>
        <v>21165</v>
      </c>
      <c r="D327" t="s">
        <v>31</v>
      </c>
      <c r="E327" t="s">
        <v>39</v>
      </c>
      <c r="F327" t="s">
        <v>57</v>
      </c>
      <c r="G327" t="str">
        <f>_xlfn.XLOOKUP(Table1_1[[#This Row],[Parameter]],[1]analyte_order!$B:$B,[1]analyte_order!$C:$C)</f>
        <v>2991-50-6</v>
      </c>
      <c r="H327">
        <f>_xlfn.XLOOKUP(Table1_1[[#This Row],[CAS_rn]],[1]analyte_order!$C:$C,[1]analyte_order!$E:$E)</f>
        <v>27</v>
      </c>
      <c r="I327">
        <v>0.02</v>
      </c>
    </row>
    <row r="328" spans="1:9" x14ac:dyDescent="0.3">
      <c r="A328" t="s">
        <v>41</v>
      </c>
      <c r="B328" s="1">
        <v>44361</v>
      </c>
      <c r="C328" s="1" t="str">
        <f t="shared" si="5"/>
        <v>21165</v>
      </c>
      <c r="D328" t="s">
        <v>31</v>
      </c>
      <c r="E328" t="s">
        <v>39</v>
      </c>
      <c r="F328" t="s">
        <v>24</v>
      </c>
      <c r="G328" t="str">
        <f>_xlfn.XLOOKUP(Table1_1[[#This Row],[Parameter]],[1]analyte_order!$B:$B,[1]analyte_order!$C:$C)</f>
        <v>919005-14-4</v>
      </c>
      <c r="H328">
        <f>_xlfn.XLOOKUP(Table1_1[[#This Row],[CAS_rn]],[1]analyte_order!$C:$C,[1]analyte_order!$E:$E)</f>
        <v>35</v>
      </c>
      <c r="I328">
        <v>0.08</v>
      </c>
    </row>
    <row r="329" spans="1:9" x14ac:dyDescent="0.3">
      <c r="A329" t="s">
        <v>41</v>
      </c>
      <c r="B329" s="1">
        <v>44361</v>
      </c>
      <c r="C329" s="1" t="str">
        <f t="shared" si="5"/>
        <v>21165</v>
      </c>
      <c r="D329" t="s">
        <v>31</v>
      </c>
      <c r="E329" t="s">
        <v>39</v>
      </c>
      <c r="F329" t="s">
        <v>52</v>
      </c>
      <c r="G329" t="str">
        <f>_xlfn.XLOOKUP(Table1_1[[#This Row],[Parameter]],[1]analyte_order!$B:$B,[1]analyte_order!$C:$C)</f>
        <v>356-02-5</v>
      </c>
      <c r="H329">
        <f>_xlfn.XLOOKUP(Table1_1[[#This Row],[CAS_rn]],[1]analyte_order!$C:$C,[1]analyte_order!$E:$E)</f>
        <v>38</v>
      </c>
      <c r="I329">
        <v>0.08</v>
      </c>
    </row>
    <row r="330" spans="1:9" x14ac:dyDescent="0.3">
      <c r="A330" t="s">
        <v>41</v>
      </c>
      <c r="B330" s="1">
        <v>44361</v>
      </c>
      <c r="C330" s="1" t="str">
        <f t="shared" si="5"/>
        <v>21165</v>
      </c>
      <c r="D330" t="s">
        <v>31</v>
      </c>
      <c r="E330" t="s">
        <v>39</v>
      </c>
      <c r="F330" t="s">
        <v>53</v>
      </c>
      <c r="G330" t="str">
        <f>_xlfn.XLOOKUP(Table1_1[[#This Row],[Parameter]],[1]analyte_order!$B:$B,[1]analyte_order!$C:$C)</f>
        <v>914637-49-3</v>
      </c>
      <c r="H330">
        <f>_xlfn.XLOOKUP(Table1_1[[#This Row],[CAS_rn]],[1]analyte_order!$C:$C,[1]analyte_order!$E:$E)</f>
        <v>39</v>
      </c>
      <c r="I330">
        <v>0.5</v>
      </c>
    </row>
    <row r="331" spans="1:9" x14ac:dyDescent="0.3">
      <c r="A331" t="s">
        <v>41</v>
      </c>
      <c r="B331" s="1">
        <v>44361</v>
      </c>
      <c r="C331" s="1" t="str">
        <f t="shared" si="5"/>
        <v>21165</v>
      </c>
      <c r="D331" t="s">
        <v>31</v>
      </c>
      <c r="E331" t="s">
        <v>39</v>
      </c>
      <c r="F331" t="s">
        <v>54</v>
      </c>
      <c r="G331" t="str">
        <f>_xlfn.XLOOKUP(Table1_1[[#This Row],[Parameter]],[1]analyte_order!$B:$B,[1]analyte_order!$C:$C)</f>
        <v>812-70-4</v>
      </c>
      <c r="H331">
        <f>_xlfn.XLOOKUP(Table1_1[[#This Row],[CAS_rn]],[1]analyte_order!$C:$C,[1]analyte_order!$E:$E)</f>
        <v>40</v>
      </c>
      <c r="I331">
        <v>0.5</v>
      </c>
    </row>
    <row r="332" spans="1:9" x14ac:dyDescent="0.3">
      <c r="A332" t="s">
        <v>42</v>
      </c>
      <c r="B332" s="1">
        <v>44361</v>
      </c>
      <c r="C332" s="1" t="str">
        <f t="shared" si="5"/>
        <v>21165</v>
      </c>
      <c r="D332" t="s">
        <v>33</v>
      </c>
      <c r="E332" t="s">
        <v>39</v>
      </c>
      <c r="F332" t="s">
        <v>5</v>
      </c>
      <c r="G332" t="str">
        <f>_xlfn.XLOOKUP(Table1_1[[#This Row],[Parameter]],[1]analyte_order!$B:$B,[1]analyte_order!$C:$C)</f>
        <v>375-22-4</v>
      </c>
      <c r="H332">
        <f>_xlfn.XLOOKUP(Table1_1[[#This Row],[CAS_rn]],[1]analyte_order!$C:$C,[1]analyte_order!$E:$E)</f>
        <v>1</v>
      </c>
      <c r="I332">
        <v>0.08</v>
      </c>
    </row>
    <row r="333" spans="1:9" x14ac:dyDescent="0.3">
      <c r="A333" t="s">
        <v>42</v>
      </c>
      <c r="B333" s="1">
        <v>44361</v>
      </c>
      <c r="C333" s="1" t="str">
        <f t="shared" si="5"/>
        <v>21165</v>
      </c>
      <c r="D333" t="s">
        <v>33</v>
      </c>
      <c r="E333" t="s">
        <v>39</v>
      </c>
      <c r="F333" t="s">
        <v>6</v>
      </c>
      <c r="G333" t="str">
        <f>_xlfn.XLOOKUP(Table1_1[[#This Row],[Parameter]],[1]analyte_order!$B:$B,[1]analyte_order!$C:$C)</f>
        <v>2706-90-3</v>
      </c>
      <c r="H333">
        <f>_xlfn.XLOOKUP(Table1_1[[#This Row],[CAS_rn]],[1]analyte_order!$C:$C,[1]analyte_order!$E:$E)</f>
        <v>2</v>
      </c>
      <c r="I333">
        <v>0.04</v>
      </c>
    </row>
    <row r="334" spans="1:9" x14ac:dyDescent="0.3">
      <c r="A334" t="s">
        <v>42</v>
      </c>
      <c r="B334" s="1">
        <v>44361</v>
      </c>
      <c r="C334" s="1" t="str">
        <f t="shared" si="5"/>
        <v>21165</v>
      </c>
      <c r="D334" t="s">
        <v>33</v>
      </c>
      <c r="E334" t="s">
        <v>39</v>
      </c>
      <c r="F334" t="s">
        <v>7</v>
      </c>
      <c r="G334" t="str">
        <f>_xlfn.XLOOKUP(Table1_1[[#This Row],[Parameter]],[1]analyte_order!$B:$B,[1]analyte_order!$C:$C)</f>
        <v>307-24-4</v>
      </c>
      <c r="H334">
        <f>_xlfn.XLOOKUP(Table1_1[[#This Row],[CAS_rn]],[1]analyte_order!$C:$C,[1]analyte_order!$E:$E)</f>
        <v>3</v>
      </c>
      <c r="I334">
        <v>9.1999999999999998E-2</v>
      </c>
    </row>
    <row r="335" spans="1:9" x14ac:dyDescent="0.3">
      <c r="A335" t="s">
        <v>42</v>
      </c>
      <c r="B335" s="1">
        <v>44361</v>
      </c>
      <c r="C335" s="1" t="str">
        <f t="shared" si="5"/>
        <v>21165</v>
      </c>
      <c r="D335" t="s">
        <v>33</v>
      </c>
      <c r="E335" t="s">
        <v>39</v>
      </c>
      <c r="F335" t="s">
        <v>8</v>
      </c>
      <c r="G335" t="str">
        <f>_xlfn.XLOOKUP(Table1_1[[#This Row],[Parameter]],[1]analyte_order!$B:$B,[1]analyte_order!$C:$C)</f>
        <v>375-85-9</v>
      </c>
      <c r="H335">
        <f>_xlfn.XLOOKUP(Table1_1[[#This Row],[CAS_rn]],[1]analyte_order!$C:$C,[1]analyte_order!$E:$E)</f>
        <v>4</v>
      </c>
      <c r="I335">
        <v>0.02</v>
      </c>
    </row>
    <row r="336" spans="1:9" x14ac:dyDescent="0.3">
      <c r="A336" t="s">
        <v>42</v>
      </c>
      <c r="B336" s="1">
        <v>44361</v>
      </c>
      <c r="C336" s="1" t="str">
        <f t="shared" si="5"/>
        <v>21165</v>
      </c>
      <c r="D336" t="s">
        <v>33</v>
      </c>
      <c r="E336" t="s">
        <v>39</v>
      </c>
      <c r="F336" t="s">
        <v>9</v>
      </c>
      <c r="G336" t="str">
        <f>_xlfn.XLOOKUP(Table1_1[[#This Row],[Parameter]],[1]analyte_order!$B:$B,[1]analyte_order!$C:$C)</f>
        <v>335-67-1</v>
      </c>
      <c r="H336">
        <f>_xlfn.XLOOKUP(Table1_1[[#This Row],[CAS_rn]],[1]analyte_order!$C:$C,[1]analyte_order!$E:$E)</f>
        <v>5</v>
      </c>
      <c r="I336">
        <v>6.6000000000000003E-2</v>
      </c>
    </row>
    <row r="337" spans="1:9" x14ac:dyDescent="0.3">
      <c r="A337" t="s">
        <v>42</v>
      </c>
      <c r="B337" s="1">
        <v>44361</v>
      </c>
      <c r="C337" s="1" t="str">
        <f t="shared" si="5"/>
        <v>21165</v>
      </c>
      <c r="D337" t="s">
        <v>33</v>
      </c>
      <c r="E337" t="s">
        <v>39</v>
      </c>
      <c r="F337" t="s">
        <v>10</v>
      </c>
      <c r="G337" t="str">
        <f>_xlfn.XLOOKUP(Table1_1[[#This Row],[Parameter]],[1]analyte_order!$B:$B,[1]analyte_order!$C:$C)</f>
        <v>375-95-1</v>
      </c>
      <c r="H337">
        <f>_xlfn.XLOOKUP(Table1_1[[#This Row],[CAS_rn]],[1]analyte_order!$C:$C,[1]analyte_order!$E:$E)</f>
        <v>6</v>
      </c>
      <c r="I337">
        <v>0.02</v>
      </c>
    </row>
    <row r="338" spans="1:9" x14ac:dyDescent="0.3">
      <c r="A338" t="s">
        <v>42</v>
      </c>
      <c r="B338" s="1">
        <v>44361</v>
      </c>
      <c r="C338" s="1" t="str">
        <f t="shared" si="5"/>
        <v>21165</v>
      </c>
      <c r="D338" t="s">
        <v>33</v>
      </c>
      <c r="E338" t="s">
        <v>39</v>
      </c>
      <c r="F338" t="s">
        <v>11</v>
      </c>
      <c r="G338" t="str">
        <f>_xlfn.XLOOKUP(Table1_1[[#This Row],[Parameter]],[1]analyte_order!$B:$B,[1]analyte_order!$C:$C)</f>
        <v>335-76-2</v>
      </c>
      <c r="H338">
        <f>_xlfn.XLOOKUP(Table1_1[[#This Row],[CAS_rn]],[1]analyte_order!$C:$C,[1]analyte_order!$E:$E)</f>
        <v>7</v>
      </c>
      <c r="I338">
        <v>0.02</v>
      </c>
    </row>
    <row r="339" spans="1:9" x14ac:dyDescent="0.3">
      <c r="A339" t="s">
        <v>42</v>
      </c>
      <c r="B339" s="1">
        <v>44361</v>
      </c>
      <c r="C339" s="1" t="str">
        <f t="shared" si="5"/>
        <v>21165</v>
      </c>
      <c r="D339" t="s">
        <v>33</v>
      </c>
      <c r="E339" t="s">
        <v>39</v>
      </c>
      <c r="F339" t="s">
        <v>12</v>
      </c>
      <c r="G339" t="str">
        <f>_xlfn.XLOOKUP(Table1_1[[#This Row],[Parameter]],[1]analyte_order!$B:$B,[1]analyte_order!$C:$C)</f>
        <v>2058-94-8</v>
      </c>
      <c r="H339">
        <f>_xlfn.XLOOKUP(Table1_1[[#This Row],[CAS_rn]],[1]analyte_order!$C:$C,[1]analyte_order!$E:$E)</f>
        <v>8</v>
      </c>
      <c r="I339">
        <v>0.02</v>
      </c>
    </row>
    <row r="340" spans="1:9" x14ac:dyDescent="0.3">
      <c r="A340" t="s">
        <v>42</v>
      </c>
      <c r="B340" s="1">
        <v>44361</v>
      </c>
      <c r="C340" s="1" t="str">
        <f t="shared" si="5"/>
        <v>21165</v>
      </c>
      <c r="D340" t="s">
        <v>33</v>
      </c>
      <c r="E340" t="s">
        <v>39</v>
      </c>
      <c r="F340" t="s">
        <v>13</v>
      </c>
      <c r="G340" t="str">
        <f>_xlfn.XLOOKUP(Table1_1[[#This Row],[Parameter]],[1]analyte_order!$B:$B,[1]analyte_order!$C:$C)</f>
        <v>307-55-1</v>
      </c>
      <c r="H340">
        <f>_xlfn.XLOOKUP(Table1_1[[#This Row],[CAS_rn]],[1]analyte_order!$C:$C,[1]analyte_order!$E:$E)</f>
        <v>9</v>
      </c>
      <c r="I340">
        <v>0.02</v>
      </c>
    </row>
    <row r="341" spans="1:9" x14ac:dyDescent="0.3">
      <c r="A341" t="s">
        <v>42</v>
      </c>
      <c r="B341" s="1">
        <v>44361</v>
      </c>
      <c r="C341" s="1" t="str">
        <f t="shared" si="5"/>
        <v>21165</v>
      </c>
      <c r="D341" t="s">
        <v>33</v>
      </c>
      <c r="E341" t="s">
        <v>39</v>
      </c>
      <c r="F341" t="s">
        <v>14</v>
      </c>
      <c r="G341" t="str">
        <f>_xlfn.XLOOKUP(Table1_1[[#This Row],[Parameter]],[1]analyte_order!$B:$B,[1]analyte_order!$C:$C)</f>
        <v>72629-94-8</v>
      </c>
      <c r="H341">
        <f>_xlfn.XLOOKUP(Table1_1[[#This Row],[CAS_rn]],[1]analyte_order!$C:$C,[1]analyte_order!$E:$E)</f>
        <v>10</v>
      </c>
      <c r="I341">
        <v>0.02</v>
      </c>
    </row>
    <row r="342" spans="1:9" x14ac:dyDescent="0.3">
      <c r="A342" t="s">
        <v>42</v>
      </c>
      <c r="B342" s="1">
        <v>44361</v>
      </c>
      <c r="C342" s="1" t="str">
        <f t="shared" si="5"/>
        <v>21165</v>
      </c>
      <c r="D342" t="s">
        <v>33</v>
      </c>
      <c r="E342" t="s">
        <v>39</v>
      </c>
      <c r="F342" t="s">
        <v>15</v>
      </c>
      <c r="G342" t="str">
        <f>_xlfn.XLOOKUP(Table1_1[[#This Row],[Parameter]],[1]analyte_order!$B:$B,[1]analyte_order!$C:$C)</f>
        <v>376-06-7</v>
      </c>
      <c r="H342">
        <f>_xlfn.XLOOKUP(Table1_1[[#This Row],[CAS_rn]],[1]analyte_order!$C:$C,[1]analyte_order!$E:$E)</f>
        <v>11</v>
      </c>
      <c r="I342">
        <v>0.02</v>
      </c>
    </row>
    <row r="343" spans="1:9" x14ac:dyDescent="0.3">
      <c r="A343" t="s">
        <v>42</v>
      </c>
      <c r="B343" s="1">
        <v>44361</v>
      </c>
      <c r="C343" s="1" t="str">
        <f t="shared" si="5"/>
        <v>21165</v>
      </c>
      <c r="D343" t="s">
        <v>33</v>
      </c>
      <c r="E343" t="s">
        <v>39</v>
      </c>
      <c r="F343" t="s">
        <v>16</v>
      </c>
      <c r="G343" t="str">
        <f>_xlfn.XLOOKUP(Table1_1[[#This Row],[Parameter]],[1]analyte_order!$B:$B,[1]analyte_order!$C:$C)</f>
        <v>375-73-5</v>
      </c>
      <c r="H343">
        <f>_xlfn.XLOOKUP(Table1_1[[#This Row],[CAS_rn]],[1]analyte_order!$C:$C,[1]analyte_order!$E:$E)</f>
        <v>14</v>
      </c>
      <c r="I343">
        <v>0.02</v>
      </c>
    </row>
    <row r="344" spans="1:9" x14ac:dyDescent="0.3">
      <c r="A344" t="s">
        <v>42</v>
      </c>
      <c r="B344" s="1">
        <v>44361</v>
      </c>
      <c r="C344" s="1" t="str">
        <f t="shared" si="5"/>
        <v>21165</v>
      </c>
      <c r="D344" t="s">
        <v>33</v>
      </c>
      <c r="E344" t="s">
        <v>39</v>
      </c>
      <c r="F344" t="s">
        <v>17</v>
      </c>
      <c r="G344" t="str">
        <f>_xlfn.XLOOKUP(Table1_1[[#This Row],[Parameter]],[1]analyte_order!$B:$B,[1]analyte_order!$C:$C)</f>
        <v>2706-91-4</v>
      </c>
      <c r="H344">
        <f>_xlfn.XLOOKUP(Table1_1[[#This Row],[CAS_rn]],[1]analyte_order!$C:$C,[1]analyte_order!$E:$E)</f>
        <v>15</v>
      </c>
      <c r="I344">
        <v>0.02</v>
      </c>
    </row>
    <row r="345" spans="1:9" x14ac:dyDescent="0.3">
      <c r="A345" t="s">
        <v>42</v>
      </c>
      <c r="B345" s="1">
        <v>44361</v>
      </c>
      <c r="C345" s="1" t="str">
        <f t="shared" si="5"/>
        <v>21165</v>
      </c>
      <c r="D345" t="s">
        <v>33</v>
      </c>
      <c r="E345" t="s">
        <v>39</v>
      </c>
      <c r="F345" t="s">
        <v>18</v>
      </c>
      <c r="G345" t="str">
        <f>_xlfn.XLOOKUP(Table1_1[[#This Row],[Parameter]],[1]analyte_order!$B:$B,[1]analyte_order!$C:$C)</f>
        <v>355-46-4</v>
      </c>
      <c r="H345">
        <f>_xlfn.XLOOKUP(Table1_1[[#This Row],[CAS_rn]],[1]analyte_order!$C:$C,[1]analyte_order!$E:$E)</f>
        <v>16</v>
      </c>
      <c r="I345">
        <v>0.16</v>
      </c>
    </row>
    <row r="346" spans="1:9" x14ac:dyDescent="0.3">
      <c r="A346" t="s">
        <v>42</v>
      </c>
      <c r="B346" s="1">
        <v>44361</v>
      </c>
      <c r="C346" s="1" t="str">
        <f t="shared" si="5"/>
        <v>21165</v>
      </c>
      <c r="D346" t="s">
        <v>33</v>
      </c>
      <c r="E346" t="s">
        <v>39</v>
      </c>
      <c r="F346" t="s">
        <v>19</v>
      </c>
      <c r="G346" t="str">
        <f>_xlfn.XLOOKUP(Table1_1[[#This Row],[Parameter]],[1]analyte_order!$B:$B,[1]analyte_order!$C:$C)</f>
        <v>375-92-8</v>
      </c>
      <c r="H346">
        <f>_xlfn.XLOOKUP(Table1_1[[#This Row],[CAS_rn]],[1]analyte_order!$C:$C,[1]analyte_order!$E:$E)</f>
        <v>17</v>
      </c>
      <c r="I346">
        <v>0.02</v>
      </c>
    </row>
    <row r="347" spans="1:9" x14ac:dyDescent="0.3">
      <c r="A347" t="s">
        <v>42</v>
      </c>
      <c r="B347" s="1">
        <v>44361</v>
      </c>
      <c r="C347" s="1" t="str">
        <f t="shared" si="5"/>
        <v>21165</v>
      </c>
      <c r="D347" t="s">
        <v>33</v>
      </c>
      <c r="E347" t="s">
        <v>39</v>
      </c>
      <c r="F347" t="s">
        <v>20</v>
      </c>
      <c r="G347" t="str">
        <f>_xlfn.XLOOKUP(Table1_1[[#This Row],[Parameter]],[1]analyte_order!$B:$B,[1]analyte_order!$C:$C)</f>
        <v>1763-23-1</v>
      </c>
      <c r="H347">
        <f>_xlfn.XLOOKUP(Table1_1[[#This Row],[CAS_rn]],[1]analyte_order!$C:$C,[1]analyte_order!$E:$E)</f>
        <v>18</v>
      </c>
      <c r="I347">
        <v>0.61599999999999999</v>
      </c>
    </row>
    <row r="348" spans="1:9" x14ac:dyDescent="0.3">
      <c r="A348" t="s">
        <v>42</v>
      </c>
      <c r="B348" s="1">
        <v>44361</v>
      </c>
      <c r="C348" s="1" t="str">
        <f t="shared" si="5"/>
        <v>21165</v>
      </c>
      <c r="D348" t="s">
        <v>33</v>
      </c>
      <c r="E348" t="s">
        <v>39</v>
      </c>
      <c r="F348" t="s">
        <v>21</v>
      </c>
      <c r="G348" t="str">
        <f>_xlfn.XLOOKUP(Table1_1[[#This Row],[Parameter]],[1]analyte_order!$B:$B,[1]analyte_order!$C:$C)</f>
        <v>68259-12-1</v>
      </c>
      <c r="H348">
        <f>_xlfn.XLOOKUP(Table1_1[[#This Row],[CAS_rn]],[1]analyte_order!$C:$C,[1]analyte_order!$E:$E)</f>
        <v>19</v>
      </c>
      <c r="I348">
        <v>0.02</v>
      </c>
    </row>
    <row r="349" spans="1:9" x14ac:dyDescent="0.3">
      <c r="A349" t="s">
        <v>42</v>
      </c>
      <c r="B349" s="1">
        <v>44361</v>
      </c>
      <c r="C349" s="1" t="str">
        <f t="shared" si="5"/>
        <v>21165</v>
      </c>
      <c r="D349" t="s">
        <v>33</v>
      </c>
      <c r="E349" t="s">
        <v>39</v>
      </c>
      <c r="F349" t="s">
        <v>22</v>
      </c>
      <c r="G349" t="str">
        <f>_xlfn.XLOOKUP(Table1_1[[#This Row],[Parameter]],[1]analyte_order!$B:$B,[1]analyte_order!$C:$C)</f>
        <v>335-77-3</v>
      </c>
      <c r="H349">
        <f>_xlfn.XLOOKUP(Table1_1[[#This Row],[CAS_rn]],[1]analyte_order!$C:$C,[1]analyte_order!$E:$E)</f>
        <v>20</v>
      </c>
      <c r="I349">
        <v>0.02</v>
      </c>
    </row>
    <row r="350" spans="1:9" x14ac:dyDescent="0.3">
      <c r="A350" t="s">
        <v>42</v>
      </c>
      <c r="B350" s="1">
        <v>44361</v>
      </c>
      <c r="C350" s="1" t="str">
        <f t="shared" si="5"/>
        <v>21165</v>
      </c>
      <c r="D350" t="s">
        <v>33</v>
      </c>
      <c r="E350" t="s">
        <v>39</v>
      </c>
      <c r="F350" t="s">
        <v>23</v>
      </c>
      <c r="G350" t="str">
        <f>_xlfn.XLOOKUP(Table1_1[[#This Row],[Parameter]],[1]analyte_order!$B:$B,[1]analyte_order!$C:$C)</f>
        <v>79780-39-5</v>
      </c>
      <c r="H350">
        <f>_xlfn.XLOOKUP(Table1_1[[#This Row],[CAS_rn]],[1]analyte_order!$C:$C,[1]analyte_order!$E:$E)</f>
        <v>21</v>
      </c>
      <c r="I350">
        <v>0.02</v>
      </c>
    </row>
    <row r="351" spans="1:9" x14ac:dyDescent="0.3">
      <c r="A351" t="s">
        <v>42</v>
      </c>
      <c r="B351" s="1">
        <v>44361</v>
      </c>
      <c r="C351" s="1" t="str">
        <f t="shared" si="5"/>
        <v>21165</v>
      </c>
      <c r="D351" t="s">
        <v>33</v>
      </c>
      <c r="E351" t="s">
        <v>39</v>
      </c>
      <c r="F351" t="s">
        <v>49</v>
      </c>
      <c r="G351" t="str">
        <f>_xlfn.XLOOKUP(Table1_1[[#This Row],[Parameter]],[1]analyte_order!$B:$B,[1]analyte_order!$C:$C)</f>
        <v>757124-72-4</v>
      </c>
      <c r="H351">
        <f>_xlfn.XLOOKUP(Table1_1[[#This Row],[CAS_rn]],[1]analyte_order!$C:$C,[1]analyte_order!$E:$E)</f>
        <v>22</v>
      </c>
      <c r="I351">
        <v>0.08</v>
      </c>
    </row>
    <row r="352" spans="1:9" x14ac:dyDescent="0.3">
      <c r="A352" t="s">
        <v>42</v>
      </c>
      <c r="B352" s="1">
        <v>44361</v>
      </c>
      <c r="C352" s="1" t="str">
        <f t="shared" si="5"/>
        <v>21165</v>
      </c>
      <c r="D352" t="s">
        <v>33</v>
      </c>
      <c r="E352" t="s">
        <v>39</v>
      </c>
      <c r="F352" t="s">
        <v>50</v>
      </c>
      <c r="G352" t="str">
        <f>_xlfn.XLOOKUP(Table1_1[[#This Row],[Parameter]],[1]analyte_order!$B:$B,[1]analyte_order!$C:$C)</f>
        <v>27619-97-2</v>
      </c>
      <c r="H352">
        <f>_xlfn.XLOOKUP(Table1_1[[#This Row],[CAS_rn]],[1]analyte_order!$C:$C,[1]analyte_order!$E:$E)</f>
        <v>23</v>
      </c>
      <c r="I352">
        <v>0.20899999999999999</v>
      </c>
    </row>
    <row r="353" spans="1:9" x14ac:dyDescent="0.3">
      <c r="A353" t="s">
        <v>42</v>
      </c>
      <c r="B353" s="1">
        <v>44361</v>
      </c>
      <c r="C353" s="1" t="str">
        <f t="shared" si="5"/>
        <v>21165</v>
      </c>
      <c r="D353" t="s">
        <v>33</v>
      </c>
      <c r="E353" t="s">
        <v>39</v>
      </c>
      <c r="F353" t="s">
        <v>51</v>
      </c>
      <c r="G353" t="str">
        <f>_xlfn.XLOOKUP(Table1_1[[#This Row],[Parameter]],[1]analyte_order!$B:$B,[1]analyte_order!$C:$C)</f>
        <v>39108-34-4</v>
      </c>
      <c r="H353">
        <f>_xlfn.XLOOKUP(Table1_1[[#This Row],[CAS_rn]],[1]analyte_order!$C:$C,[1]analyte_order!$E:$E)</f>
        <v>24</v>
      </c>
      <c r="I353">
        <v>0.08</v>
      </c>
    </row>
    <row r="354" spans="1:9" x14ac:dyDescent="0.3">
      <c r="A354" t="s">
        <v>42</v>
      </c>
      <c r="B354" s="1">
        <v>44361</v>
      </c>
      <c r="C354" s="1" t="str">
        <f t="shared" si="5"/>
        <v>21165</v>
      </c>
      <c r="D354" t="s">
        <v>33</v>
      </c>
      <c r="E354" t="s">
        <v>39</v>
      </c>
      <c r="F354" t="s">
        <v>60</v>
      </c>
      <c r="G354" t="str">
        <f>_xlfn.XLOOKUP(Table1_1[[#This Row],[Parameter]],[1]analyte_order!$B:$B,[1]analyte_order!$C:$C)</f>
        <v>754-91-6</v>
      </c>
      <c r="H354">
        <f>_xlfn.XLOOKUP(Table1_1[[#This Row],[CAS_rn]],[1]analyte_order!$C:$C,[1]analyte_order!$E:$E)</f>
        <v>28</v>
      </c>
      <c r="I354">
        <v>5.6000000000000001E-2</v>
      </c>
    </row>
    <row r="355" spans="1:9" x14ac:dyDescent="0.3">
      <c r="A355" t="s">
        <v>42</v>
      </c>
      <c r="B355" s="1">
        <v>44361</v>
      </c>
      <c r="C355" s="1" t="str">
        <f t="shared" si="5"/>
        <v>21165</v>
      </c>
      <c r="D355" t="s">
        <v>33</v>
      </c>
      <c r="E355" t="s">
        <v>39</v>
      </c>
      <c r="F355" t="s">
        <v>58</v>
      </c>
      <c r="G355" t="str">
        <f>_xlfn.XLOOKUP(Table1_1[[#This Row],[Parameter]],[1]analyte_order!$B:$B,[1]analyte_order!$C:$C)</f>
        <v>31506-32-8</v>
      </c>
      <c r="H355">
        <f>_xlfn.XLOOKUP(Table1_1[[#This Row],[CAS_rn]],[1]analyte_order!$C:$C,[1]analyte_order!$E:$E)</f>
        <v>30</v>
      </c>
      <c r="I355">
        <v>0.02</v>
      </c>
    </row>
    <row r="356" spans="1:9" x14ac:dyDescent="0.3">
      <c r="A356" t="s">
        <v>42</v>
      </c>
      <c r="B356" s="1">
        <v>44361</v>
      </c>
      <c r="C356" s="1" t="str">
        <f t="shared" si="5"/>
        <v>21165</v>
      </c>
      <c r="D356" t="s">
        <v>33</v>
      </c>
      <c r="E356" t="s">
        <v>39</v>
      </c>
      <c r="F356" t="s">
        <v>59</v>
      </c>
      <c r="G356" t="str">
        <f>_xlfn.XLOOKUP(Table1_1[[#This Row],[Parameter]],[1]analyte_order!$B:$B,[1]analyte_order!$C:$C)</f>
        <v>2355-31-9</v>
      </c>
      <c r="H356">
        <f>_xlfn.XLOOKUP(Table1_1[[#This Row],[CAS_rn]],[1]analyte_order!$C:$C,[1]analyte_order!$E:$E)</f>
        <v>26</v>
      </c>
      <c r="I356">
        <v>0.02</v>
      </c>
    </row>
    <row r="357" spans="1:9" x14ac:dyDescent="0.3">
      <c r="A357" t="s">
        <v>42</v>
      </c>
      <c r="B357" s="1">
        <v>44361</v>
      </c>
      <c r="C357" s="1" t="str">
        <f t="shared" si="5"/>
        <v>21165</v>
      </c>
      <c r="D357" t="s">
        <v>33</v>
      </c>
      <c r="E357" t="s">
        <v>39</v>
      </c>
      <c r="F357" t="s">
        <v>57</v>
      </c>
      <c r="G357" t="str">
        <f>_xlfn.XLOOKUP(Table1_1[[#This Row],[Parameter]],[1]analyte_order!$B:$B,[1]analyte_order!$C:$C)</f>
        <v>2991-50-6</v>
      </c>
      <c r="H357">
        <f>_xlfn.XLOOKUP(Table1_1[[#This Row],[CAS_rn]],[1]analyte_order!$C:$C,[1]analyte_order!$E:$E)</f>
        <v>27</v>
      </c>
      <c r="I357">
        <v>0.02</v>
      </c>
    </row>
    <row r="358" spans="1:9" x14ac:dyDescent="0.3">
      <c r="A358" t="s">
        <v>42</v>
      </c>
      <c r="B358" s="1">
        <v>44361</v>
      </c>
      <c r="C358" s="1" t="str">
        <f t="shared" si="5"/>
        <v>21165</v>
      </c>
      <c r="D358" t="s">
        <v>33</v>
      </c>
      <c r="E358" t="s">
        <v>39</v>
      </c>
      <c r="F358" t="s">
        <v>24</v>
      </c>
      <c r="G358" t="str">
        <f>_xlfn.XLOOKUP(Table1_1[[#This Row],[Parameter]],[1]analyte_order!$B:$B,[1]analyte_order!$C:$C)</f>
        <v>919005-14-4</v>
      </c>
      <c r="H358">
        <f>_xlfn.XLOOKUP(Table1_1[[#This Row],[CAS_rn]],[1]analyte_order!$C:$C,[1]analyte_order!$E:$E)</f>
        <v>35</v>
      </c>
      <c r="I358">
        <v>0.08</v>
      </c>
    </row>
    <row r="359" spans="1:9" x14ac:dyDescent="0.3">
      <c r="A359" t="s">
        <v>42</v>
      </c>
      <c r="B359" s="1">
        <v>44361</v>
      </c>
      <c r="C359" s="1" t="str">
        <f t="shared" si="5"/>
        <v>21165</v>
      </c>
      <c r="D359" t="s">
        <v>33</v>
      </c>
      <c r="E359" t="s">
        <v>39</v>
      </c>
      <c r="F359" t="s">
        <v>52</v>
      </c>
      <c r="G359" t="str">
        <f>_xlfn.XLOOKUP(Table1_1[[#This Row],[Parameter]],[1]analyte_order!$B:$B,[1]analyte_order!$C:$C)</f>
        <v>356-02-5</v>
      </c>
      <c r="H359">
        <f>_xlfn.XLOOKUP(Table1_1[[#This Row],[CAS_rn]],[1]analyte_order!$C:$C,[1]analyte_order!$E:$E)</f>
        <v>38</v>
      </c>
      <c r="I359">
        <v>0.08</v>
      </c>
    </row>
    <row r="360" spans="1:9" x14ac:dyDescent="0.3">
      <c r="A360" t="s">
        <v>42</v>
      </c>
      <c r="B360" s="1">
        <v>44361</v>
      </c>
      <c r="C360" s="1" t="str">
        <f t="shared" si="5"/>
        <v>21165</v>
      </c>
      <c r="D360" t="s">
        <v>33</v>
      </c>
      <c r="E360" t="s">
        <v>39</v>
      </c>
      <c r="F360" t="s">
        <v>53</v>
      </c>
      <c r="G360" t="str">
        <f>_xlfn.XLOOKUP(Table1_1[[#This Row],[Parameter]],[1]analyte_order!$B:$B,[1]analyte_order!$C:$C)</f>
        <v>914637-49-3</v>
      </c>
      <c r="H360">
        <f>_xlfn.XLOOKUP(Table1_1[[#This Row],[CAS_rn]],[1]analyte_order!$C:$C,[1]analyte_order!$E:$E)</f>
        <v>39</v>
      </c>
      <c r="I360">
        <v>0.5</v>
      </c>
    </row>
    <row r="361" spans="1:9" x14ac:dyDescent="0.3">
      <c r="A361" t="s">
        <v>42</v>
      </c>
      <c r="B361" s="1">
        <v>44361</v>
      </c>
      <c r="C361" s="1" t="str">
        <f t="shared" si="5"/>
        <v>21165</v>
      </c>
      <c r="D361" t="s">
        <v>33</v>
      </c>
      <c r="E361" t="s">
        <v>39</v>
      </c>
      <c r="F361" t="s">
        <v>54</v>
      </c>
      <c r="G361" t="str">
        <f>_xlfn.XLOOKUP(Table1_1[[#This Row],[Parameter]],[1]analyte_order!$B:$B,[1]analyte_order!$C:$C)</f>
        <v>812-70-4</v>
      </c>
      <c r="H361">
        <f>_xlfn.XLOOKUP(Table1_1[[#This Row],[CAS_rn]],[1]analyte_order!$C:$C,[1]analyte_order!$E:$E)</f>
        <v>40</v>
      </c>
      <c r="I361">
        <v>0.5</v>
      </c>
    </row>
    <row r="362" spans="1:9" x14ac:dyDescent="0.3">
      <c r="A362" t="s">
        <v>43</v>
      </c>
      <c r="B362" s="1">
        <v>44393</v>
      </c>
      <c r="C362" s="1" t="str">
        <f t="shared" si="5"/>
        <v>21197</v>
      </c>
      <c r="D362" t="s">
        <v>26</v>
      </c>
      <c r="E362" t="s">
        <v>39</v>
      </c>
      <c r="F362" t="s">
        <v>5</v>
      </c>
      <c r="G362" t="str">
        <f>_xlfn.XLOOKUP(Table1_1[[#This Row],[Parameter]],[1]analyte_order!$B:$B,[1]analyte_order!$C:$C)</f>
        <v>375-22-4</v>
      </c>
      <c r="H362">
        <f>_xlfn.XLOOKUP(Table1_1[[#This Row],[CAS_rn]],[1]analyte_order!$C:$C,[1]analyte_order!$E:$E)</f>
        <v>1</v>
      </c>
      <c r="I362">
        <v>0.08</v>
      </c>
    </row>
    <row r="363" spans="1:9" x14ac:dyDescent="0.3">
      <c r="A363" t="s">
        <v>43</v>
      </c>
      <c r="B363" s="1">
        <v>44393</v>
      </c>
      <c r="C363" s="1" t="str">
        <f t="shared" si="5"/>
        <v>21197</v>
      </c>
      <c r="D363" t="s">
        <v>26</v>
      </c>
      <c r="E363" t="s">
        <v>39</v>
      </c>
      <c r="F363" t="s">
        <v>6</v>
      </c>
      <c r="G363" t="str">
        <f>_xlfn.XLOOKUP(Table1_1[[#This Row],[Parameter]],[1]analyte_order!$B:$B,[1]analyte_order!$C:$C)</f>
        <v>2706-90-3</v>
      </c>
      <c r="H363">
        <f>_xlfn.XLOOKUP(Table1_1[[#This Row],[CAS_rn]],[1]analyte_order!$C:$C,[1]analyte_order!$E:$E)</f>
        <v>2</v>
      </c>
      <c r="I363">
        <v>0.128</v>
      </c>
    </row>
    <row r="364" spans="1:9" x14ac:dyDescent="0.3">
      <c r="A364" t="s">
        <v>43</v>
      </c>
      <c r="B364" s="1">
        <v>44393</v>
      </c>
      <c r="C364" s="1" t="str">
        <f t="shared" si="5"/>
        <v>21197</v>
      </c>
      <c r="D364" t="s">
        <v>26</v>
      </c>
      <c r="E364" t="s">
        <v>39</v>
      </c>
      <c r="F364" t="s">
        <v>7</v>
      </c>
      <c r="G364" t="str">
        <f>_xlfn.XLOOKUP(Table1_1[[#This Row],[Parameter]],[1]analyte_order!$B:$B,[1]analyte_order!$C:$C)</f>
        <v>307-24-4</v>
      </c>
      <c r="H364">
        <f>_xlfn.XLOOKUP(Table1_1[[#This Row],[CAS_rn]],[1]analyte_order!$C:$C,[1]analyte_order!$E:$E)</f>
        <v>3</v>
      </c>
      <c r="I364">
        <v>0.23599999999999999</v>
      </c>
    </row>
    <row r="365" spans="1:9" x14ac:dyDescent="0.3">
      <c r="A365" t="s">
        <v>43</v>
      </c>
      <c r="B365" s="1">
        <v>44393</v>
      </c>
      <c r="C365" s="1" t="str">
        <f t="shared" si="5"/>
        <v>21197</v>
      </c>
      <c r="D365" t="s">
        <v>26</v>
      </c>
      <c r="E365" t="s">
        <v>39</v>
      </c>
      <c r="F365" t="s">
        <v>8</v>
      </c>
      <c r="G365" t="str">
        <f>_xlfn.XLOOKUP(Table1_1[[#This Row],[Parameter]],[1]analyte_order!$B:$B,[1]analyte_order!$C:$C)</f>
        <v>375-85-9</v>
      </c>
      <c r="H365">
        <f>_xlfn.XLOOKUP(Table1_1[[#This Row],[CAS_rn]],[1]analyte_order!$C:$C,[1]analyte_order!$E:$E)</f>
        <v>4</v>
      </c>
      <c r="I365">
        <v>6.4000000000000001E-2</v>
      </c>
    </row>
    <row r="366" spans="1:9" x14ac:dyDescent="0.3">
      <c r="A366" t="s">
        <v>43</v>
      </c>
      <c r="B366" s="1">
        <v>44393</v>
      </c>
      <c r="C366" s="1" t="str">
        <f t="shared" si="5"/>
        <v>21197</v>
      </c>
      <c r="D366" t="s">
        <v>26</v>
      </c>
      <c r="E366" t="s">
        <v>39</v>
      </c>
      <c r="F366" t="s">
        <v>9</v>
      </c>
      <c r="G366" t="str">
        <f>_xlfn.XLOOKUP(Table1_1[[#This Row],[Parameter]],[1]analyte_order!$B:$B,[1]analyte_order!$C:$C)</f>
        <v>335-67-1</v>
      </c>
      <c r="H366">
        <f>_xlfn.XLOOKUP(Table1_1[[#This Row],[CAS_rn]],[1]analyte_order!$C:$C,[1]analyte_order!$E:$E)</f>
        <v>5</v>
      </c>
      <c r="I366">
        <v>0.38300000000000001</v>
      </c>
    </row>
    <row r="367" spans="1:9" x14ac:dyDescent="0.3">
      <c r="A367" t="s">
        <v>43</v>
      </c>
      <c r="B367" s="1">
        <v>44393</v>
      </c>
      <c r="C367" s="1" t="str">
        <f t="shared" si="5"/>
        <v>21197</v>
      </c>
      <c r="D367" t="s">
        <v>26</v>
      </c>
      <c r="E367" t="s">
        <v>39</v>
      </c>
      <c r="F367" t="s">
        <v>10</v>
      </c>
      <c r="G367" t="str">
        <f>_xlfn.XLOOKUP(Table1_1[[#This Row],[Parameter]],[1]analyte_order!$B:$B,[1]analyte_order!$C:$C)</f>
        <v>375-95-1</v>
      </c>
      <c r="H367">
        <f>_xlfn.XLOOKUP(Table1_1[[#This Row],[CAS_rn]],[1]analyte_order!$C:$C,[1]analyte_order!$E:$E)</f>
        <v>6</v>
      </c>
      <c r="I367">
        <v>4.3999999999999997E-2</v>
      </c>
    </row>
    <row r="368" spans="1:9" x14ac:dyDescent="0.3">
      <c r="A368" t="s">
        <v>43</v>
      </c>
      <c r="B368" s="1">
        <v>44393</v>
      </c>
      <c r="C368" s="1" t="str">
        <f t="shared" si="5"/>
        <v>21197</v>
      </c>
      <c r="D368" t="s">
        <v>26</v>
      </c>
      <c r="E368" t="s">
        <v>39</v>
      </c>
      <c r="F368" t="s">
        <v>11</v>
      </c>
      <c r="G368" t="str">
        <f>_xlfn.XLOOKUP(Table1_1[[#This Row],[Parameter]],[1]analyte_order!$B:$B,[1]analyte_order!$C:$C)</f>
        <v>335-76-2</v>
      </c>
      <c r="H368">
        <f>_xlfn.XLOOKUP(Table1_1[[#This Row],[CAS_rn]],[1]analyte_order!$C:$C,[1]analyte_order!$E:$E)</f>
        <v>7</v>
      </c>
      <c r="I368">
        <v>0.02</v>
      </c>
    </row>
    <row r="369" spans="1:9" x14ac:dyDescent="0.3">
      <c r="A369" t="s">
        <v>43</v>
      </c>
      <c r="B369" s="1">
        <v>44393</v>
      </c>
      <c r="C369" s="1" t="str">
        <f t="shared" si="5"/>
        <v>21197</v>
      </c>
      <c r="D369" t="s">
        <v>26</v>
      </c>
      <c r="E369" t="s">
        <v>39</v>
      </c>
      <c r="F369" t="s">
        <v>12</v>
      </c>
      <c r="G369" t="str">
        <f>_xlfn.XLOOKUP(Table1_1[[#This Row],[Parameter]],[1]analyte_order!$B:$B,[1]analyte_order!$C:$C)</f>
        <v>2058-94-8</v>
      </c>
      <c r="H369">
        <f>_xlfn.XLOOKUP(Table1_1[[#This Row],[CAS_rn]],[1]analyte_order!$C:$C,[1]analyte_order!$E:$E)</f>
        <v>8</v>
      </c>
      <c r="I369">
        <v>0.02</v>
      </c>
    </row>
    <row r="370" spans="1:9" x14ac:dyDescent="0.3">
      <c r="A370" t="s">
        <v>43</v>
      </c>
      <c r="B370" s="1">
        <v>44393</v>
      </c>
      <c r="C370" s="1" t="str">
        <f t="shared" si="5"/>
        <v>21197</v>
      </c>
      <c r="D370" t="s">
        <v>26</v>
      </c>
      <c r="E370" t="s">
        <v>39</v>
      </c>
      <c r="F370" t="s">
        <v>13</v>
      </c>
      <c r="G370" t="str">
        <f>_xlfn.XLOOKUP(Table1_1[[#This Row],[Parameter]],[1]analyte_order!$B:$B,[1]analyte_order!$C:$C)</f>
        <v>307-55-1</v>
      </c>
      <c r="H370">
        <f>_xlfn.XLOOKUP(Table1_1[[#This Row],[CAS_rn]],[1]analyte_order!$C:$C,[1]analyte_order!$E:$E)</f>
        <v>9</v>
      </c>
      <c r="I370">
        <v>0.02</v>
      </c>
    </row>
    <row r="371" spans="1:9" x14ac:dyDescent="0.3">
      <c r="A371" t="s">
        <v>43</v>
      </c>
      <c r="B371" s="1">
        <v>44393</v>
      </c>
      <c r="C371" s="1" t="str">
        <f t="shared" si="5"/>
        <v>21197</v>
      </c>
      <c r="D371" t="s">
        <v>26</v>
      </c>
      <c r="E371" t="s">
        <v>39</v>
      </c>
      <c r="F371" t="s">
        <v>14</v>
      </c>
      <c r="G371" t="str">
        <f>_xlfn.XLOOKUP(Table1_1[[#This Row],[Parameter]],[1]analyte_order!$B:$B,[1]analyte_order!$C:$C)</f>
        <v>72629-94-8</v>
      </c>
      <c r="H371">
        <f>_xlfn.XLOOKUP(Table1_1[[#This Row],[CAS_rn]],[1]analyte_order!$C:$C,[1]analyte_order!$E:$E)</f>
        <v>10</v>
      </c>
      <c r="I371">
        <v>0.02</v>
      </c>
    </row>
    <row r="372" spans="1:9" x14ac:dyDescent="0.3">
      <c r="A372" t="s">
        <v>43</v>
      </c>
      <c r="B372" s="1">
        <v>44393</v>
      </c>
      <c r="C372" s="1" t="str">
        <f t="shared" si="5"/>
        <v>21197</v>
      </c>
      <c r="D372" t="s">
        <v>26</v>
      </c>
      <c r="E372" t="s">
        <v>39</v>
      </c>
      <c r="F372" t="s">
        <v>15</v>
      </c>
      <c r="G372" t="str">
        <f>_xlfn.XLOOKUP(Table1_1[[#This Row],[Parameter]],[1]analyte_order!$B:$B,[1]analyte_order!$C:$C)</f>
        <v>376-06-7</v>
      </c>
      <c r="H372">
        <f>_xlfn.XLOOKUP(Table1_1[[#This Row],[CAS_rn]],[1]analyte_order!$C:$C,[1]analyte_order!$E:$E)</f>
        <v>11</v>
      </c>
      <c r="I372">
        <v>0.02</v>
      </c>
    </row>
    <row r="373" spans="1:9" x14ac:dyDescent="0.3">
      <c r="A373" t="s">
        <v>43</v>
      </c>
      <c r="B373" s="1">
        <v>44393</v>
      </c>
      <c r="C373" s="1" t="str">
        <f t="shared" si="5"/>
        <v>21197</v>
      </c>
      <c r="D373" t="s">
        <v>26</v>
      </c>
      <c r="E373" t="s">
        <v>39</v>
      </c>
      <c r="F373" t="s">
        <v>16</v>
      </c>
      <c r="G373" t="str">
        <f>_xlfn.XLOOKUP(Table1_1[[#This Row],[Parameter]],[1]analyte_order!$B:$B,[1]analyte_order!$C:$C)</f>
        <v>375-73-5</v>
      </c>
      <c r="H373">
        <f>_xlfn.XLOOKUP(Table1_1[[#This Row],[CAS_rn]],[1]analyte_order!$C:$C,[1]analyte_order!$E:$E)</f>
        <v>14</v>
      </c>
      <c r="I373">
        <v>4.1000000000000002E-2</v>
      </c>
    </row>
    <row r="374" spans="1:9" x14ac:dyDescent="0.3">
      <c r="A374" t="s">
        <v>43</v>
      </c>
      <c r="B374" s="1">
        <v>44393</v>
      </c>
      <c r="C374" s="1" t="str">
        <f t="shared" si="5"/>
        <v>21197</v>
      </c>
      <c r="D374" t="s">
        <v>26</v>
      </c>
      <c r="E374" t="s">
        <v>39</v>
      </c>
      <c r="F374" t="s">
        <v>17</v>
      </c>
      <c r="G374" t="str">
        <f>_xlfn.XLOOKUP(Table1_1[[#This Row],[Parameter]],[1]analyte_order!$B:$B,[1]analyte_order!$C:$C)</f>
        <v>2706-91-4</v>
      </c>
      <c r="H374">
        <f>_xlfn.XLOOKUP(Table1_1[[#This Row],[CAS_rn]],[1]analyte_order!$C:$C,[1]analyte_order!$E:$E)</f>
        <v>15</v>
      </c>
      <c r="I374">
        <v>4.5999999999999999E-2</v>
      </c>
    </row>
    <row r="375" spans="1:9" x14ac:dyDescent="0.3">
      <c r="A375" t="s">
        <v>43</v>
      </c>
      <c r="B375" s="1">
        <v>44393</v>
      </c>
      <c r="C375" s="1" t="str">
        <f t="shared" si="5"/>
        <v>21197</v>
      </c>
      <c r="D375" t="s">
        <v>26</v>
      </c>
      <c r="E375" t="s">
        <v>39</v>
      </c>
      <c r="F375" t="s">
        <v>18</v>
      </c>
      <c r="G375" t="str">
        <f>_xlfn.XLOOKUP(Table1_1[[#This Row],[Parameter]],[1]analyte_order!$B:$B,[1]analyte_order!$C:$C)</f>
        <v>355-46-4</v>
      </c>
      <c r="H375">
        <f>_xlfn.XLOOKUP(Table1_1[[#This Row],[CAS_rn]],[1]analyte_order!$C:$C,[1]analyte_order!$E:$E)</f>
        <v>16</v>
      </c>
      <c r="I375">
        <v>0.56399999999999995</v>
      </c>
    </row>
    <row r="376" spans="1:9" x14ac:dyDescent="0.3">
      <c r="A376" t="s">
        <v>43</v>
      </c>
      <c r="B376" s="1">
        <v>44393</v>
      </c>
      <c r="C376" s="1" t="str">
        <f t="shared" si="5"/>
        <v>21197</v>
      </c>
      <c r="D376" t="s">
        <v>26</v>
      </c>
      <c r="E376" t="s">
        <v>39</v>
      </c>
      <c r="F376" t="s">
        <v>19</v>
      </c>
      <c r="G376" t="str">
        <f>_xlfn.XLOOKUP(Table1_1[[#This Row],[Parameter]],[1]analyte_order!$B:$B,[1]analyte_order!$C:$C)</f>
        <v>375-92-8</v>
      </c>
      <c r="H376">
        <f>_xlfn.XLOOKUP(Table1_1[[#This Row],[CAS_rn]],[1]analyte_order!$C:$C,[1]analyte_order!$E:$E)</f>
        <v>17</v>
      </c>
      <c r="I376">
        <v>0.02</v>
      </c>
    </row>
    <row r="377" spans="1:9" x14ac:dyDescent="0.3">
      <c r="A377" t="s">
        <v>43</v>
      </c>
      <c r="B377" s="1">
        <v>44393</v>
      </c>
      <c r="C377" s="1" t="str">
        <f t="shared" si="5"/>
        <v>21197</v>
      </c>
      <c r="D377" t="s">
        <v>26</v>
      </c>
      <c r="E377" t="s">
        <v>39</v>
      </c>
      <c r="F377" t="s">
        <v>20</v>
      </c>
      <c r="G377" t="str">
        <f>_xlfn.XLOOKUP(Table1_1[[#This Row],[Parameter]],[1]analyte_order!$B:$B,[1]analyte_order!$C:$C)</f>
        <v>1763-23-1</v>
      </c>
      <c r="H377">
        <f>_xlfn.XLOOKUP(Table1_1[[#This Row],[CAS_rn]],[1]analyte_order!$C:$C,[1]analyte_order!$E:$E)</f>
        <v>18</v>
      </c>
      <c r="I377">
        <v>1.38</v>
      </c>
    </row>
    <row r="378" spans="1:9" x14ac:dyDescent="0.3">
      <c r="A378" t="s">
        <v>43</v>
      </c>
      <c r="B378" s="1">
        <v>44393</v>
      </c>
      <c r="C378" s="1" t="str">
        <f t="shared" si="5"/>
        <v>21197</v>
      </c>
      <c r="D378" t="s">
        <v>26</v>
      </c>
      <c r="E378" t="s">
        <v>39</v>
      </c>
      <c r="F378" t="s">
        <v>21</v>
      </c>
      <c r="G378" t="str">
        <f>_xlfn.XLOOKUP(Table1_1[[#This Row],[Parameter]],[1]analyte_order!$B:$B,[1]analyte_order!$C:$C)</f>
        <v>68259-12-1</v>
      </c>
      <c r="H378">
        <f>_xlfn.XLOOKUP(Table1_1[[#This Row],[CAS_rn]],[1]analyte_order!$C:$C,[1]analyte_order!$E:$E)</f>
        <v>19</v>
      </c>
      <c r="I378">
        <v>0.02</v>
      </c>
    </row>
    <row r="379" spans="1:9" x14ac:dyDescent="0.3">
      <c r="A379" t="s">
        <v>43</v>
      </c>
      <c r="B379" s="1">
        <v>44393</v>
      </c>
      <c r="C379" s="1" t="str">
        <f t="shared" si="5"/>
        <v>21197</v>
      </c>
      <c r="D379" t="s">
        <v>26</v>
      </c>
      <c r="E379" t="s">
        <v>39</v>
      </c>
      <c r="F379" t="s">
        <v>22</v>
      </c>
      <c r="G379" t="str">
        <f>_xlfn.XLOOKUP(Table1_1[[#This Row],[Parameter]],[1]analyte_order!$B:$B,[1]analyte_order!$C:$C)</f>
        <v>335-77-3</v>
      </c>
      <c r="H379">
        <f>_xlfn.XLOOKUP(Table1_1[[#This Row],[CAS_rn]],[1]analyte_order!$C:$C,[1]analyte_order!$E:$E)</f>
        <v>20</v>
      </c>
      <c r="I379">
        <v>0.02</v>
      </c>
    </row>
    <row r="380" spans="1:9" x14ac:dyDescent="0.3">
      <c r="A380" t="s">
        <v>43</v>
      </c>
      <c r="B380" s="1">
        <v>44393</v>
      </c>
      <c r="C380" s="1" t="str">
        <f t="shared" si="5"/>
        <v>21197</v>
      </c>
      <c r="D380" t="s">
        <v>26</v>
      </c>
      <c r="E380" t="s">
        <v>39</v>
      </c>
      <c r="F380" t="s">
        <v>23</v>
      </c>
      <c r="G380" t="str">
        <f>_xlfn.XLOOKUP(Table1_1[[#This Row],[Parameter]],[1]analyte_order!$B:$B,[1]analyte_order!$C:$C)</f>
        <v>79780-39-5</v>
      </c>
      <c r="H380">
        <f>_xlfn.XLOOKUP(Table1_1[[#This Row],[CAS_rn]],[1]analyte_order!$C:$C,[1]analyte_order!$E:$E)</f>
        <v>21</v>
      </c>
      <c r="I380">
        <v>0.02</v>
      </c>
    </row>
    <row r="381" spans="1:9" x14ac:dyDescent="0.3">
      <c r="A381" t="s">
        <v>43</v>
      </c>
      <c r="B381" s="1">
        <v>44393</v>
      </c>
      <c r="C381" s="1" t="str">
        <f t="shared" si="5"/>
        <v>21197</v>
      </c>
      <c r="D381" t="s">
        <v>26</v>
      </c>
      <c r="E381" t="s">
        <v>39</v>
      </c>
      <c r="F381" t="s">
        <v>49</v>
      </c>
      <c r="G381" t="str">
        <f>_xlfn.XLOOKUP(Table1_1[[#This Row],[Parameter]],[1]analyte_order!$B:$B,[1]analyte_order!$C:$C)</f>
        <v>757124-72-4</v>
      </c>
      <c r="H381">
        <f>_xlfn.XLOOKUP(Table1_1[[#This Row],[CAS_rn]],[1]analyte_order!$C:$C,[1]analyte_order!$E:$E)</f>
        <v>22</v>
      </c>
      <c r="I381">
        <v>0.08</v>
      </c>
    </row>
    <row r="382" spans="1:9" x14ac:dyDescent="0.3">
      <c r="A382" t="s">
        <v>43</v>
      </c>
      <c r="B382" s="1">
        <v>44393</v>
      </c>
      <c r="C382" s="1" t="str">
        <f t="shared" si="5"/>
        <v>21197</v>
      </c>
      <c r="D382" t="s">
        <v>26</v>
      </c>
      <c r="E382" t="s">
        <v>39</v>
      </c>
      <c r="F382" t="s">
        <v>50</v>
      </c>
      <c r="G382" t="str">
        <f>_xlfn.XLOOKUP(Table1_1[[#This Row],[Parameter]],[1]analyte_order!$B:$B,[1]analyte_order!$C:$C)</f>
        <v>27619-97-2</v>
      </c>
      <c r="H382">
        <f>_xlfn.XLOOKUP(Table1_1[[#This Row],[CAS_rn]],[1]analyte_order!$C:$C,[1]analyte_order!$E:$E)</f>
        <v>23</v>
      </c>
      <c r="I382">
        <v>0.24299999999999999</v>
      </c>
    </row>
    <row r="383" spans="1:9" x14ac:dyDescent="0.3">
      <c r="A383" t="s">
        <v>43</v>
      </c>
      <c r="B383" s="1">
        <v>44393</v>
      </c>
      <c r="C383" s="1" t="str">
        <f t="shared" si="5"/>
        <v>21197</v>
      </c>
      <c r="D383" t="s">
        <v>26</v>
      </c>
      <c r="E383" t="s">
        <v>39</v>
      </c>
      <c r="F383" t="s">
        <v>51</v>
      </c>
      <c r="G383" t="str">
        <f>_xlfn.XLOOKUP(Table1_1[[#This Row],[Parameter]],[1]analyte_order!$B:$B,[1]analyte_order!$C:$C)</f>
        <v>39108-34-4</v>
      </c>
      <c r="H383">
        <f>_xlfn.XLOOKUP(Table1_1[[#This Row],[CAS_rn]],[1]analyte_order!$C:$C,[1]analyte_order!$E:$E)</f>
        <v>24</v>
      </c>
      <c r="I383">
        <v>0.08</v>
      </c>
    </row>
    <row r="384" spans="1:9" x14ac:dyDescent="0.3">
      <c r="A384" t="s">
        <v>43</v>
      </c>
      <c r="B384" s="1">
        <v>44393</v>
      </c>
      <c r="C384" s="1" t="str">
        <f t="shared" si="5"/>
        <v>21197</v>
      </c>
      <c r="D384" t="s">
        <v>26</v>
      </c>
      <c r="E384" t="s">
        <v>39</v>
      </c>
      <c r="F384" t="s">
        <v>60</v>
      </c>
      <c r="G384" t="str">
        <f>_xlfn.XLOOKUP(Table1_1[[#This Row],[Parameter]],[1]analyte_order!$B:$B,[1]analyte_order!$C:$C)</f>
        <v>754-91-6</v>
      </c>
      <c r="H384">
        <f>_xlfn.XLOOKUP(Table1_1[[#This Row],[CAS_rn]],[1]analyte_order!$C:$C,[1]analyte_order!$E:$E)</f>
        <v>28</v>
      </c>
      <c r="I384">
        <v>0.02</v>
      </c>
    </row>
    <row r="385" spans="1:9" x14ac:dyDescent="0.3">
      <c r="A385" t="s">
        <v>43</v>
      </c>
      <c r="B385" s="1">
        <v>44393</v>
      </c>
      <c r="C385" s="1" t="str">
        <f t="shared" si="5"/>
        <v>21197</v>
      </c>
      <c r="D385" t="s">
        <v>26</v>
      </c>
      <c r="E385" t="s">
        <v>39</v>
      </c>
      <c r="F385" t="s">
        <v>58</v>
      </c>
      <c r="G385" t="str">
        <f>_xlfn.XLOOKUP(Table1_1[[#This Row],[Parameter]],[1]analyte_order!$B:$B,[1]analyte_order!$C:$C)</f>
        <v>31506-32-8</v>
      </c>
      <c r="H385">
        <f>_xlfn.XLOOKUP(Table1_1[[#This Row],[CAS_rn]],[1]analyte_order!$C:$C,[1]analyte_order!$E:$E)</f>
        <v>30</v>
      </c>
      <c r="I385">
        <v>0.02</v>
      </c>
    </row>
    <row r="386" spans="1:9" x14ac:dyDescent="0.3">
      <c r="A386" t="s">
        <v>43</v>
      </c>
      <c r="B386" s="1">
        <v>44393</v>
      </c>
      <c r="C386" s="1" t="str">
        <f t="shared" si="5"/>
        <v>21197</v>
      </c>
      <c r="D386" t="s">
        <v>26</v>
      </c>
      <c r="E386" t="s">
        <v>39</v>
      </c>
      <c r="F386" t="s">
        <v>59</v>
      </c>
      <c r="G386" t="str">
        <f>_xlfn.XLOOKUP(Table1_1[[#This Row],[Parameter]],[1]analyte_order!$B:$B,[1]analyte_order!$C:$C)</f>
        <v>2355-31-9</v>
      </c>
      <c r="H386">
        <f>_xlfn.XLOOKUP(Table1_1[[#This Row],[CAS_rn]],[1]analyte_order!$C:$C,[1]analyte_order!$E:$E)</f>
        <v>26</v>
      </c>
      <c r="I386">
        <v>0.02</v>
      </c>
    </row>
    <row r="387" spans="1:9" x14ac:dyDescent="0.3">
      <c r="A387" t="s">
        <v>43</v>
      </c>
      <c r="B387" s="1">
        <v>44393</v>
      </c>
      <c r="C387" s="1" t="str">
        <f t="shared" ref="C387:C450" si="6">TEXT(B387,"yy")&amp;TEXT((B387-DATEVALUE("1/1/"&amp;TEXT(B387,"yy"))+1),"000")</f>
        <v>21197</v>
      </c>
      <c r="D387" t="s">
        <v>26</v>
      </c>
      <c r="E387" t="s">
        <v>39</v>
      </c>
      <c r="F387" t="s">
        <v>57</v>
      </c>
      <c r="G387" t="str">
        <f>_xlfn.XLOOKUP(Table1_1[[#This Row],[Parameter]],[1]analyte_order!$B:$B,[1]analyte_order!$C:$C)</f>
        <v>2991-50-6</v>
      </c>
      <c r="H387">
        <f>_xlfn.XLOOKUP(Table1_1[[#This Row],[CAS_rn]],[1]analyte_order!$C:$C,[1]analyte_order!$E:$E)</f>
        <v>27</v>
      </c>
      <c r="I387">
        <v>0.02</v>
      </c>
    </row>
    <row r="388" spans="1:9" x14ac:dyDescent="0.3">
      <c r="A388" t="s">
        <v>43</v>
      </c>
      <c r="B388" s="1">
        <v>44393</v>
      </c>
      <c r="C388" s="1" t="str">
        <f t="shared" si="6"/>
        <v>21197</v>
      </c>
      <c r="D388" t="s">
        <v>26</v>
      </c>
      <c r="E388" t="s">
        <v>39</v>
      </c>
      <c r="F388" t="s">
        <v>24</v>
      </c>
      <c r="G388" t="str">
        <f>_xlfn.XLOOKUP(Table1_1[[#This Row],[Parameter]],[1]analyte_order!$B:$B,[1]analyte_order!$C:$C)</f>
        <v>919005-14-4</v>
      </c>
      <c r="H388">
        <f>_xlfn.XLOOKUP(Table1_1[[#This Row],[CAS_rn]],[1]analyte_order!$C:$C,[1]analyte_order!$E:$E)</f>
        <v>35</v>
      </c>
      <c r="I388">
        <v>0.08</v>
      </c>
    </row>
    <row r="389" spans="1:9" x14ac:dyDescent="0.3">
      <c r="A389" t="s">
        <v>43</v>
      </c>
      <c r="B389" s="1">
        <v>44393</v>
      </c>
      <c r="C389" s="1" t="str">
        <f t="shared" si="6"/>
        <v>21197</v>
      </c>
      <c r="D389" t="s">
        <v>26</v>
      </c>
      <c r="E389" t="s">
        <v>39</v>
      </c>
      <c r="F389" t="s">
        <v>52</v>
      </c>
      <c r="G389" t="str">
        <f>_xlfn.XLOOKUP(Table1_1[[#This Row],[Parameter]],[1]analyte_order!$B:$B,[1]analyte_order!$C:$C)</f>
        <v>356-02-5</v>
      </c>
      <c r="H389">
        <f>_xlfn.XLOOKUP(Table1_1[[#This Row],[CAS_rn]],[1]analyte_order!$C:$C,[1]analyte_order!$E:$E)</f>
        <v>38</v>
      </c>
      <c r="I389">
        <v>0.08</v>
      </c>
    </row>
    <row r="390" spans="1:9" x14ac:dyDescent="0.3">
      <c r="A390" t="s">
        <v>43</v>
      </c>
      <c r="B390" s="1">
        <v>44393</v>
      </c>
      <c r="C390" s="1" t="str">
        <f t="shared" si="6"/>
        <v>21197</v>
      </c>
      <c r="D390" t="s">
        <v>26</v>
      </c>
      <c r="E390" t="s">
        <v>39</v>
      </c>
      <c r="F390" t="s">
        <v>53</v>
      </c>
      <c r="G390" t="str">
        <f>_xlfn.XLOOKUP(Table1_1[[#This Row],[Parameter]],[1]analyte_order!$B:$B,[1]analyte_order!$C:$C)</f>
        <v>914637-49-3</v>
      </c>
      <c r="H390">
        <f>_xlfn.XLOOKUP(Table1_1[[#This Row],[CAS_rn]],[1]analyte_order!$C:$C,[1]analyte_order!$E:$E)</f>
        <v>39</v>
      </c>
      <c r="I390">
        <v>0.5</v>
      </c>
    </row>
    <row r="391" spans="1:9" x14ac:dyDescent="0.3">
      <c r="A391" t="s">
        <v>43</v>
      </c>
      <c r="B391" s="1">
        <v>44393</v>
      </c>
      <c r="C391" s="1" t="str">
        <f t="shared" si="6"/>
        <v>21197</v>
      </c>
      <c r="D391" t="s">
        <v>26</v>
      </c>
      <c r="E391" t="s">
        <v>39</v>
      </c>
      <c r="F391" t="s">
        <v>54</v>
      </c>
      <c r="G391" t="str">
        <f>_xlfn.XLOOKUP(Table1_1[[#This Row],[Parameter]],[1]analyte_order!$B:$B,[1]analyte_order!$C:$C)</f>
        <v>812-70-4</v>
      </c>
      <c r="H391">
        <f>_xlfn.XLOOKUP(Table1_1[[#This Row],[CAS_rn]],[1]analyte_order!$C:$C,[1]analyte_order!$E:$E)</f>
        <v>40</v>
      </c>
      <c r="I391">
        <v>0.5</v>
      </c>
    </row>
    <row r="392" spans="1:9" x14ac:dyDescent="0.3">
      <c r="A392" t="s">
        <v>44</v>
      </c>
      <c r="B392" s="1">
        <v>44393</v>
      </c>
      <c r="C392" s="1" t="str">
        <f t="shared" si="6"/>
        <v>21197</v>
      </c>
      <c r="D392" t="s">
        <v>29</v>
      </c>
      <c r="E392" t="s">
        <v>39</v>
      </c>
      <c r="F392" t="s">
        <v>5</v>
      </c>
      <c r="G392" t="str">
        <f>_xlfn.XLOOKUP(Table1_1[[#This Row],[Parameter]],[1]analyte_order!$B:$B,[1]analyte_order!$C:$C)</f>
        <v>375-22-4</v>
      </c>
      <c r="H392">
        <f>_xlfn.XLOOKUP(Table1_1[[#This Row],[CAS_rn]],[1]analyte_order!$C:$C,[1]analyte_order!$E:$E)</f>
        <v>1</v>
      </c>
      <c r="I392">
        <v>0.08</v>
      </c>
    </row>
    <row r="393" spans="1:9" x14ac:dyDescent="0.3">
      <c r="A393" t="s">
        <v>44</v>
      </c>
      <c r="B393" s="1">
        <v>44393</v>
      </c>
      <c r="C393" s="1" t="str">
        <f t="shared" si="6"/>
        <v>21197</v>
      </c>
      <c r="D393" t="s">
        <v>29</v>
      </c>
      <c r="E393" t="s">
        <v>39</v>
      </c>
      <c r="F393" t="s">
        <v>6</v>
      </c>
      <c r="G393" t="str">
        <f>_xlfn.XLOOKUP(Table1_1[[#This Row],[Parameter]],[1]analyte_order!$B:$B,[1]analyte_order!$C:$C)</f>
        <v>2706-90-3</v>
      </c>
      <c r="H393">
        <f>_xlfn.XLOOKUP(Table1_1[[#This Row],[CAS_rn]],[1]analyte_order!$C:$C,[1]analyte_order!$E:$E)</f>
        <v>2</v>
      </c>
      <c r="I393">
        <v>0.13</v>
      </c>
    </row>
    <row r="394" spans="1:9" x14ac:dyDescent="0.3">
      <c r="A394" t="s">
        <v>44</v>
      </c>
      <c r="B394" s="1">
        <v>44393</v>
      </c>
      <c r="C394" s="1" t="str">
        <f t="shared" si="6"/>
        <v>21197</v>
      </c>
      <c r="D394" t="s">
        <v>29</v>
      </c>
      <c r="E394" t="s">
        <v>39</v>
      </c>
      <c r="F394" t="s">
        <v>7</v>
      </c>
      <c r="G394" t="str">
        <f>_xlfn.XLOOKUP(Table1_1[[#This Row],[Parameter]],[1]analyte_order!$B:$B,[1]analyte_order!$C:$C)</f>
        <v>307-24-4</v>
      </c>
      <c r="H394">
        <f>_xlfn.XLOOKUP(Table1_1[[#This Row],[CAS_rn]],[1]analyte_order!$C:$C,[1]analyte_order!$E:$E)</f>
        <v>3</v>
      </c>
      <c r="I394">
        <v>0.16600000000000001</v>
      </c>
    </row>
    <row r="395" spans="1:9" x14ac:dyDescent="0.3">
      <c r="A395" t="s">
        <v>44</v>
      </c>
      <c r="B395" s="1">
        <v>44393</v>
      </c>
      <c r="C395" s="1" t="str">
        <f t="shared" si="6"/>
        <v>21197</v>
      </c>
      <c r="D395" t="s">
        <v>29</v>
      </c>
      <c r="E395" t="s">
        <v>39</v>
      </c>
      <c r="F395" t="s">
        <v>8</v>
      </c>
      <c r="G395" t="str">
        <f>_xlfn.XLOOKUP(Table1_1[[#This Row],[Parameter]],[1]analyte_order!$B:$B,[1]analyte_order!$C:$C)</f>
        <v>375-85-9</v>
      </c>
      <c r="H395">
        <f>_xlfn.XLOOKUP(Table1_1[[#This Row],[CAS_rn]],[1]analyte_order!$C:$C,[1]analyte_order!$E:$E)</f>
        <v>4</v>
      </c>
      <c r="I395">
        <v>4.3999999999999997E-2</v>
      </c>
    </row>
    <row r="396" spans="1:9" x14ac:dyDescent="0.3">
      <c r="A396" t="s">
        <v>44</v>
      </c>
      <c r="B396" s="1">
        <v>44393</v>
      </c>
      <c r="C396" s="1" t="str">
        <f t="shared" si="6"/>
        <v>21197</v>
      </c>
      <c r="D396" t="s">
        <v>29</v>
      </c>
      <c r="E396" t="s">
        <v>39</v>
      </c>
      <c r="F396" t="s">
        <v>9</v>
      </c>
      <c r="G396" t="str">
        <f>_xlfn.XLOOKUP(Table1_1[[#This Row],[Parameter]],[1]analyte_order!$B:$B,[1]analyte_order!$C:$C)</f>
        <v>335-67-1</v>
      </c>
      <c r="H396">
        <f>_xlfn.XLOOKUP(Table1_1[[#This Row],[CAS_rn]],[1]analyte_order!$C:$C,[1]analyte_order!$E:$E)</f>
        <v>5</v>
      </c>
      <c r="I396">
        <v>0.183</v>
      </c>
    </row>
    <row r="397" spans="1:9" x14ac:dyDescent="0.3">
      <c r="A397" t="s">
        <v>44</v>
      </c>
      <c r="B397" s="1">
        <v>44393</v>
      </c>
      <c r="C397" s="1" t="str">
        <f t="shared" si="6"/>
        <v>21197</v>
      </c>
      <c r="D397" t="s">
        <v>29</v>
      </c>
      <c r="E397" t="s">
        <v>39</v>
      </c>
      <c r="F397" t="s">
        <v>10</v>
      </c>
      <c r="G397" t="str">
        <f>_xlfn.XLOOKUP(Table1_1[[#This Row],[Parameter]],[1]analyte_order!$B:$B,[1]analyte_order!$C:$C)</f>
        <v>375-95-1</v>
      </c>
      <c r="H397">
        <f>_xlfn.XLOOKUP(Table1_1[[#This Row],[CAS_rn]],[1]analyte_order!$C:$C,[1]analyte_order!$E:$E)</f>
        <v>6</v>
      </c>
      <c r="I397">
        <v>0.02</v>
      </c>
    </row>
    <row r="398" spans="1:9" x14ac:dyDescent="0.3">
      <c r="A398" t="s">
        <v>44</v>
      </c>
      <c r="B398" s="1">
        <v>44393</v>
      </c>
      <c r="C398" s="1" t="str">
        <f t="shared" si="6"/>
        <v>21197</v>
      </c>
      <c r="D398" t="s">
        <v>29</v>
      </c>
      <c r="E398" t="s">
        <v>39</v>
      </c>
      <c r="F398" t="s">
        <v>11</v>
      </c>
      <c r="G398" t="str">
        <f>_xlfn.XLOOKUP(Table1_1[[#This Row],[Parameter]],[1]analyte_order!$B:$B,[1]analyte_order!$C:$C)</f>
        <v>335-76-2</v>
      </c>
      <c r="H398">
        <f>_xlfn.XLOOKUP(Table1_1[[#This Row],[CAS_rn]],[1]analyte_order!$C:$C,[1]analyte_order!$E:$E)</f>
        <v>7</v>
      </c>
      <c r="I398">
        <v>0.02</v>
      </c>
    </row>
    <row r="399" spans="1:9" x14ac:dyDescent="0.3">
      <c r="A399" t="s">
        <v>44</v>
      </c>
      <c r="B399" s="1">
        <v>44393</v>
      </c>
      <c r="C399" s="1" t="str">
        <f t="shared" si="6"/>
        <v>21197</v>
      </c>
      <c r="D399" t="s">
        <v>29</v>
      </c>
      <c r="E399" t="s">
        <v>39</v>
      </c>
      <c r="F399" t="s">
        <v>12</v>
      </c>
      <c r="G399" t="str">
        <f>_xlfn.XLOOKUP(Table1_1[[#This Row],[Parameter]],[1]analyte_order!$B:$B,[1]analyte_order!$C:$C)</f>
        <v>2058-94-8</v>
      </c>
      <c r="H399">
        <f>_xlfn.XLOOKUP(Table1_1[[#This Row],[CAS_rn]],[1]analyte_order!$C:$C,[1]analyte_order!$E:$E)</f>
        <v>8</v>
      </c>
      <c r="I399">
        <v>0.02</v>
      </c>
    </row>
    <row r="400" spans="1:9" x14ac:dyDescent="0.3">
      <c r="A400" t="s">
        <v>44</v>
      </c>
      <c r="B400" s="1">
        <v>44393</v>
      </c>
      <c r="C400" s="1" t="str">
        <f t="shared" si="6"/>
        <v>21197</v>
      </c>
      <c r="D400" t="s">
        <v>29</v>
      </c>
      <c r="E400" t="s">
        <v>39</v>
      </c>
      <c r="F400" t="s">
        <v>13</v>
      </c>
      <c r="G400" t="str">
        <f>_xlfn.XLOOKUP(Table1_1[[#This Row],[Parameter]],[1]analyte_order!$B:$B,[1]analyte_order!$C:$C)</f>
        <v>307-55-1</v>
      </c>
      <c r="H400">
        <f>_xlfn.XLOOKUP(Table1_1[[#This Row],[CAS_rn]],[1]analyte_order!$C:$C,[1]analyte_order!$E:$E)</f>
        <v>9</v>
      </c>
      <c r="I400">
        <v>0.02</v>
      </c>
    </row>
    <row r="401" spans="1:9" x14ac:dyDescent="0.3">
      <c r="A401" t="s">
        <v>44</v>
      </c>
      <c r="B401" s="1">
        <v>44393</v>
      </c>
      <c r="C401" s="1" t="str">
        <f t="shared" si="6"/>
        <v>21197</v>
      </c>
      <c r="D401" t="s">
        <v>29</v>
      </c>
      <c r="E401" t="s">
        <v>39</v>
      </c>
      <c r="F401" t="s">
        <v>14</v>
      </c>
      <c r="G401" t="str">
        <f>_xlfn.XLOOKUP(Table1_1[[#This Row],[Parameter]],[1]analyte_order!$B:$B,[1]analyte_order!$C:$C)</f>
        <v>72629-94-8</v>
      </c>
      <c r="H401">
        <f>_xlfn.XLOOKUP(Table1_1[[#This Row],[CAS_rn]],[1]analyte_order!$C:$C,[1]analyte_order!$E:$E)</f>
        <v>10</v>
      </c>
      <c r="I401">
        <v>0.02</v>
      </c>
    </row>
    <row r="402" spans="1:9" x14ac:dyDescent="0.3">
      <c r="A402" t="s">
        <v>44</v>
      </c>
      <c r="B402" s="1">
        <v>44393</v>
      </c>
      <c r="C402" s="1" t="str">
        <f t="shared" si="6"/>
        <v>21197</v>
      </c>
      <c r="D402" t="s">
        <v>29</v>
      </c>
      <c r="E402" t="s">
        <v>39</v>
      </c>
      <c r="F402" t="s">
        <v>15</v>
      </c>
      <c r="G402" t="str">
        <f>_xlfn.XLOOKUP(Table1_1[[#This Row],[Parameter]],[1]analyte_order!$B:$B,[1]analyte_order!$C:$C)</f>
        <v>376-06-7</v>
      </c>
      <c r="H402">
        <f>_xlfn.XLOOKUP(Table1_1[[#This Row],[CAS_rn]],[1]analyte_order!$C:$C,[1]analyte_order!$E:$E)</f>
        <v>11</v>
      </c>
      <c r="I402">
        <v>0.02</v>
      </c>
    </row>
    <row r="403" spans="1:9" x14ac:dyDescent="0.3">
      <c r="A403" t="s">
        <v>44</v>
      </c>
      <c r="B403" s="1">
        <v>44393</v>
      </c>
      <c r="C403" s="1" t="str">
        <f t="shared" si="6"/>
        <v>21197</v>
      </c>
      <c r="D403" t="s">
        <v>29</v>
      </c>
      <c r="E403" t="s">
        <v>39</v>
      </c>
      <c r="F403" t="s">
        <v>16</v>
      </c>
      <c r="G403" t="str">
        <f>_xlfn.XLOOKUP(Table1_1[[#This Row],[Parameter]],[1]analyte_order!$B:$B,[1]analyte_order!$C:$C)</f>
        <v>375-73-5</v>
      </c>
      <c r="H403">
        <f>_xlfn.XLOOKUP(Table1_1[[#This Row],[CAS_rn]],[1]analyte_order!$C:$C,[1]analyte_order!$E:$E)</f>
        <v>14</v>
      </c>
      <c r="I403">
        <v>0.02</v>
      </c>
    </row>
    <row r="404" spans="1:9" x14ac:dyDescent="0.3">
      <c r="A404" t="s">
        <v>44</v>
      </c>
      <c r="B404" s="1">
        <v>44393</v>
      </c>
      <c r="C404" s="1" t="str">
        <f t="shared" si="6"/>
        <v>21197</v>
      </c>
      <c r="D404" t="s">
        <v>29</v>
      </c>
      <c r="E404" t="s">
        <v>39</v>
      </c>
      <c r="F404" t="s">
        <v>17</v>
      </c>
      <c r="G404" t="str">
        <f>_xlfn.XLOOKUP(Table1_1[[#This Row],[Parameter]],[1]analyte_order!$B:$B,[1]analyte_order!$C:$C)</f>
        <v>2706-91-4</v>
      </c>
      <c r="H404">
        <f>_xlfn.XLOOKUP(Table1_1[[#This Row],[CAS_rn]],[1]analyte_order!$C:$C,[1]analyte_order!$E:$E)</f>
        <v>15</v>
      </c>
      <c r="I404">
        <v>0.04</v>
      </c>
    </row>
    <row r="405" spans="1:9" x14ac:dyDescent="0.3">
      <c r="A405" t="s">
        <v>44</v>
      </c>
      <c r="B405" s="1">
        <v>44393</v>
      </c>
      <c r="C405" s="1" t="str">
        <f t="shared" si="6"/>
        <v>21197</v>
      </c>
      <c r="D405" t="s">
        <v>29</v>
      </c>
      <c r="E405" t="s">
        <v>39</v>
      </c>
      <c r="F405" t="s">
        <v>18</v>
      </c>
      <c r="G405" t="str">
        <f>_xlfn.XLOOKUP(Table1_1[[#This Row],[Parameter]],[1]analyte_order!$B:$B,[1]analyte_order!$C:$C)</f>
        <v>355-46-4</v>
      </c>
      <c r="H405">
        <f>_xlfn.XLOOKUP(Table1_1[[#This Row],[CAS_rn]],[1]analyte_order!$C:$C,[1]analyte_order!$E:$E)</f>
        <v>16</v>
      </c>
      <c r="I405">
        <v>0.436</v>
      </c>
    </row>
    <row r="406" spans="1:9" x14ac:dyDescent="0.3">
      <c r="A406" t="s">
        <v>44</v>
      </c>
      <c r="B406" s="1">
        <v>44393</v>
      </c>
      <c r="C406" s="1" t="str">
        <f t="shared" si="6"/>
        <v>21197</v>
      </c>
      <c r="D406" t="s">
        <v>29</v>
      </c>
      <c r="E406" t="s">
        <v>39</v>
      </c>
      <c r="F406" t="s">
        <v>19</v>
      </c>
      <c r="G406" t="str">
        <f>_xlfn.XLOOKUP(Table1_1[[#This Row],[Parameter]],[1]analyte_order!$B:$B,[1]analyte_order!$C:$C)</f>
        <v>375-92-8</v>
      </c>
      <c r="H406">
        <f>_xlfn.XLOOKUP(Table1_1[[#This Row],[CAS_rn]],[1]analyte_order!$C:$C,[1]analyte_order!$E:$E)</f>
        <v>17</v>
      </c>
      <c r="I406">
        <v>0.02</v>
      </c>
    </row>
    <row r="407" spans="1:9" x14ac:dyDescent="0.3">
      <c r="A407" t="s">
        <v>44</v>
      </c>
      <c r="B407" s="1">
        <v>44393</v>
      </c>
      <c r="C407" s="1" t="str">
        <f t="shared" si="6"/>
        <v>21197</v>
      </c>
      <c r="D407" t="s">
        <v>29</v>
      </c>
      <c r="E407" t="s">
        <v>39</v>
      </c>
      <c r="F407" t="s">
        <v>20</v>
      </c>
      <c r="G407" t="str">
        <f>_xlfn.XLOOKUP(Table1_1[[#This Row],[Parameter]],[1]analyte_order!$B:$B,[1]analyte_order!$C:$C)</f>
        <v>1763-23-1</v>
      </c>
      <c r="H407">
        <f>_xlfn.XLOOKUP(Table1_1[[#This Row],[CAS_rn]],[1]analyte_order!$C:$C,[1]analyte_order!$E:$E)</f>
        <v>18</v>
      </c>
      <c r="I407">
        <v>1.06</v>
      </c>
    </row>
    <row r="408" spans="1:9" x14ac:dyDescent="0.3">
      <c r="A408" t="s">
        <v>44</v>
      </c>
      <c r="B408" s="1">
        <v>44393</v>
      </c>
      <c r="C408" s="1" t="str">
        <f t="shared" si="6"/>
        <v>21197</v>
      </c>
      <c r="D408" t="s">
        <v>29</v>
      </c>
      <c r="E408" t="s">
        <v>39</v>
      </c>
      <c r="F408" t="s">
        <v>21</v>
      </c>
      <c r="G408" t="str">
        <f>_xlfn.XLOOKUP(Table1_1[[#This Row],[Parameter]],[1]analyte_order!$B:$B,[1]analyte_order!$C:$C)</f>
        <v>68259-12-1</v>
      </c>
      <c r="H408">
        <f>_xlfn.XLOOKUP(Table1_1[[#This Row],[CAS_rn]],[1]analyte_order!$C:$C,[1]analyte_order!$E:$E)</f>
        <v>19</v>
      </c>
      <c r="I408">
        <v>0.02</v>
      </c>
    </row>
    <row r="409" spans="1:9" x14ac:dyDescent="0.3">
      <c r="A409" t="s">
        <v>44</v>
      </c>
      <c r="B409" s="1">
        <v>44393</v>
      </c>
      <c r="C409" s="1" t="str">
        <f t="shared" si="6"/>
        <v>21197</v>
      </c>
      <c r="D409" t="s">
        <v>29</v>
      </c>
      <c r="E409" t="s">
        <v>39</v>
      </c>
      <c r="F409" t="s">
        <v>22</v>
      </c>
      <c r="G409" t="str">
        <f>_xlfn.XLOOKUP(Table1_1[[#This Row],[Parameter]],[1]analyte_order!$B:$B,[1]analyte_order!$C:$C)</f>
        <v>335-77-3</v>
      </c>
      <c r="H409">
        <f>_xlfn.XLOOKUP(Table1_1[[#This Row],[CAS_rn]],[1]analyte_order!$C:$C,[1]analyte_order!$E:$E)</f>
        <v>20</v>
      </c>
      <c r="I409">
        <v>0.02</v>
      </c>
    </row>
    <row r="410" spans="1:9" x14ac:dyDescent="0.3">
      <c r="A410" t="s">
        <v>44</v>
      </c>
      <c r="B410" s="1">
        <v>44393</v>
      </c>
      <c r="C410" s="1" t="str">
        <f t="shared" si="6"/>
        <v>21197</v>
      </c>
      <c r="D410" t="s">
        <v>29</v>
      </c>
      <c r="E410" t="s">
        <v>39</v>
      </c>
      <c r="F410" t="s">
        <v>23</v>
      </c>
      <c r="G410" t="str">
        <f>_xlfn.XLOOKUP(Table1_1[[#This Row],[Parameter]],[1]analyte_order!$B:$B,[1]analyte_order!$C:$C)</f>
        <v>79780-39-5</v>
      </c>
      <c r="H410">
        <f>_xlfn.XLOOKUP(Table1_1[[#This Row],[CAS_rn]],[1]analyte_order!$C:$C,[1]analyte_order!$E:$E)</f>
        <v>21</v>
      </c>
      <c r="I410">
        <v>0.02</v>
      </c>
    </row>
    <row r="411" spans="1:9" x14ac:dyDescent="0.3">
      <c r="A411" t="s">
        <v>44</v>
      </c>
      <c r="B411" s="1">
        <v>44393</v>
      </c>
      <c r="C411" s="1" t="str">
        <f t="shared" si="6"/>
        <v>21197</v>
      </c>
      <c r="D411" t="s">
        <v>29</v>
      </c>
      <c r="E411" t="s">
        <v>39</v>
      </c>
      <c r="F411" t="s">
        <v>49</v>
      </c>
      <c r="G411" t="str">
        <f>_xlfn.XLOOKUP(Table1_1[[#This Row],[Parameter]],[1]analyte_order!$B:$B,[1]analyte_order!$C:$C)</f>
        <v>757124-72-4</v>
      </c>
      <c r="H411">
        <f>_xlfn.XLOOKUP(Table1_1[[#This Row],[CAS_rn]],[1]analyte_order!$C:$C,[1]analyte_order!$E:$E)</f>
        <v>22</v>
      </c>
      <c r="I411">
        <v>0.08</v>
      </c>
    </row>
    <row r="412" spans="1:9" x14ac:dyDescent="0.3">
      <c r="A412" t="s">
        <v>44</v>
      </c>
      <c r="B412" s="1">
        <v>44393</v>
      </c>
      <c r="C412" s="1" t="str">
        <f t="shared" si="6"/>
        <v>21197</v>
      </c>
      <c r="D412" t="s">
        <v>29</v>
      </c>
      <c r="E412" t="s">
        <v>39</v>
      </c>
      <c r="F412" t="s">
        <v>50</v>
      </c>
      <c r="G412" t="str">
        <f>_xlfn.XLOOKUP(Table1_1[[#This Row],[Parameter]],[1]analyte_order!$B:$B,[1]analyte_order!$C:$C)</f>
        <v>27619-97-2</v>
      </c>
      <c r="H412">
        <f>_xlfn.XLOOKUP(Table1_1[[#This Row],[CAS_rn]],[1]analyte_order!$C:$C,[1]analyte_order!$E:$E)</f>
        <v>23</v>
      </c>
      <c r="I412">
        <v>0.08</v>
      </c>
    </row>
    <row r="413" spans="1:9" x14ac:dyDescent="0.3">
      <c r="A413" t="s">
        <v>44</v>
      </c>
      <c r="B413" s="1">
        <v>44393</v>
      </c>
      <c r="C413" s="1" t="str">
        <f t="shared" si="6"/>
        <v>21197</v>
      </c>
      <c r="D413" t="s">
        <v>29</v>
      </c>
      <c r="E413" t="s">
        <v>39</v>
      </c>
      <c r="F413" t="s">
        <v>51</v>
      </c>
      <c r="G413" t="str">
        <f>_xlfn.XLOOKUP(Table1_1[[#This Row],[Parameter]],[1]analyte_order!$B:$B,[1]analyte_order!$C:$C)</f>
        <v>39108-34-4</v>
      </c>
      <c r="H413">
        <f>_xlfn.XLOOKUP(Table1_1[[#This Row],[CAS_rn]],[1]analyte_order!$C:$C,[1]analyte_order!$E:$E)</f>
        <v>24</v>
      </c>
      <c r="I413">
        <v>0.08</v>
      </c>
    </row>
    <row r="414" spans="1:9" x14ac:dyDescent="0.3">
      <c r="A414" t="s">
        <v>44</v>
      </c>
      <c r="B414" s="1">
        <v>44393</v>
      </c>
      <c r="C414" s="1" t="str">
        <f t="shared" si="6"/>
        <v>21197</v>
      </c>
      <c r="D414" t="s">
        <v>29</v>
      </c>
      <c r="E414" t="s">
        <v>39</v>
      </c>
      <c r="F414" t="s">
        <v>60</v>
      </c>
      <c r="G414" t="str">
        <f>_xlfn.XLOOKUP(Table1_1[[#This Row],[Parameter]],[1]analyte_order!$B:$B,[1]analyte_order!$C:$C)</f>
        <v>754-91-6</v>
      </c>
      <c r="H414">
        <f>_xlfn.XLOOKUP(Table1_1[[#This Row],[CAS_rn]],[1]analyte_order!$C:$C,[1]analyte_order!$E:$E)</f>
        <v>28</v>
      </c>
      <c r="I414">
        <v>0.02</v>
      </c>
    </row>
    <row r="415" spans="1:9" x14ac:dyDescent="0.3">
      <c r="A415" t="s">
        <v>44</v>
      </c>
      <c r="B415" s="1">
        <v>44393</v>
      </c>
      <c r="C415" s="1" t="str">
        <f t="shared" si="6"/>
        <v>21197</v>
      </c>
      <c r="D415" t="s">
        <v>29</v>
      </c>
      <c r="E415" t="s">
        <v>39</v>
      </c>
      <c r="F415" t="s">
        <v>58</v>
      </c>
      <c r="G415" t="str">
        <f>_xlfn.XLOOKUP(Table1_1[[#This Row],[Parameter]],[1]analyte_order!$B:$B,[1]analyte_order!$C:$C)</f>
        <v>31506-32-8</v>
      </c>
      <c r="H415">
        <f>_xlfn.XLOOKUP(Table1_1[[#This Row],[CAS_rn]],[1]analyte_order!$C:$C,[1]analyte_order!$E:$E)</f>
        <v>30</v>
      </c>
      <c r="I415">
        <v>0.02</v>
      </c>
    </row>
    <row r="416" spans="1:9" x14ac:dyDescent="0.3">
      <c r="A416" t="s">
        <v>44</v>
      </c>
      <c r="B416" s="1">
        <v>44393</v>
      </c>
      <c r="C416" s="1" t="str">
        <f t="shared" si="6"/>
        <v>21197</v>
      </c>
      <c r="D416" t="s">
        <v>29</v>
      </c>
      <c r="E416" t="s">
        <v>39</v>
      </c>
      <c r="F416" t="s">
        <v>59</v>
      </c>
      <c r="G416" t="str">
        <f>_xlfn.XLOOKUP(Table1_1[[#This Row],[Parameter]],[1]analyte_order!$B:$B,[1]analyte_order!$C:$C)</f>
        <v>2355-31-9</v>
      </c>
      <c r="H416">
        <f>_xlfn.XLOOKUP(Table1_1[[#This Row],[CAS_rn]],[1]analyte_order!$C:$C,[1]analyte_order!$E:$E)</f>
        <v>26</v>
      </c>
      <c r="I416">
        <v>0.02</v>
      </c>
    </row>
    <row r="417" spans="1:9" x14ac:dyDescent="0.3">
      <c r="A417" t="s">
        <v>44</v>
      </c>
      <c r="B417" s="1">
        <v>44393</v>
      </c>
      <c r="C417" s="1" t="str">
        <f t="shared" si="6"/>
        <v>21197</v>
      </c>
      <c r="D417" t="s">
        <v>29</v>
      </c>
      <c r="E417" t="s">
        <v>39</v>
      </c>
      <c r="F417" t="s">
        <v>57</v>
      </c>
      <c r="G417" t="str">
        <f>_xlfn.XLOOKUP(Table1_1[[#This Row],[Parameter]],[1]analyte_order!$B:$B,[1]analyte_order!$C:$C)</f>
        <v>2991-50-6</v>
      </c>
      <c r="H417">
        <f>_xlfn.XLOOKUP(Table1_1[[#This Row],[CAS_rn]],[1]analyte_order!$C:$C,[1]analyte_order!$E:$E)</f>
        <v>27</v>
      </c>
      <c r="I417">
        <v>0.02</v>
      </c>
    </row>
    <row r="418" spans="1:9" x14ac:dyDescent="0.3">
      <c r="A418" t="s">
        <v>44</v>
      </c>
      <c r="B418" s="1">
        <v>44393</v>
      </c>
      <c r="C418" s="1" t="str">
        <f t="shared" si="6"/>
        <v>21197</v>
      </c>
      <c r="D418" t="s">
        <v>29</v>
      </c>
      <c r="E418" t="s">
        <v>39</v>
      </c>
      <c r="F418" t="s">
        <v>24</v>
      </c>
      <c r="G418" t="str">
        <f>_xlfn.XLOOKUP(Table1_1[[#This Row],[Parameter]],[1]analyte_order!$B:$B,[1]analyte_order!$C:$C)</f>
        <v>919005-14-4</v>
      </c>
      <c r="H418">
        <f>_xlfn.XLOOKUP(Table1_1[[#This Row],[CAS_rn]],[1]analyte_order!$C:$C,[1]analyte_order!$E:$E)</f>
        <v>35</v>
      </c>
      <c r="I418">
        <v>0.08</v>
      </c>
    </row>
    <row r="419" spans="1:9" x14ac:dyDescent="0.3">
      <c r="A419" t="s">
        <v>44</v>
      </c>
      <c r="B419" s="1">
        <v>44393</v>
      </c>
      <c r="C419" s="1" t="str">
        <f t="shared" si="6"/>
        <v>21197</v>
      </c>
      <c r="D419" t="s">
        <v>29</v>
      </c>
      <c r="E419" t="s">
        <v>39</v>
      </c>
      <c r="F419" t="s">
        <v>52</v>
      </c>
      <c r="G419" t="str">
        <f>_xlfn.XLOOKUP(Table1_1[[#This Row],[Parameter]],[1]analyte_order!$B:$B,[1]analyte_order!$C:$C)</f>
        <v>356-02-5</v>
      </c>
      <c r="H419">
        <f>_xlfn.XLOOKUP(Table1_1[[#This Row],[CAS_rn]],[1]analyte_order!$C:$C,[1]analyte_order!$E:$E)</f>
        <v>38</v>
      </c>
      <c r="I419">
        <v>0.08</v>
      </c>
    </row>
    <row r="420" spans="1:9" x14ac:dyDescent="0.3">
      <c r="A420" t="s">
        <v>44</v>
      </c>
      <c r="B420" s="1">
        <v>44393</v>
      </c>
      <c r="C420" s="1" t="str">
        <f t="shared" si="6"/>
        <v>21197</v>
      </c>
      <c r="D420" t="s">
        <v>29</v>
      </c>
      <c r="E420" t="s">
        <v>39</v>
      </c>
      <c r="F420" t="s">
        <v>53</v>
      </c>
      <c r="G420" t="str">
        <f>_xlfn.XLOOKUP(Table1_1[[#This Row],[Parameter]],[1]analyte_order!$B:$B,[1]analyte_order!$C:$C)</f>
        <v>914637-49-3</v>
      </c>
      <c r="H420">
        <f>_xlfn.XLOOKUP(Table1_1[[#This Row],[CAS_rn]],[1]analyte_order!$C:$C,[1]analyte_order!$E:$E)</f>
        <v>39</v>
      </c>
      <c r="I420">
        <v>0.5</v>
      </c>
    </row>
    <row r="421" spans="1:9" x14ac:dyDescent="0.3">
      <c r="A421" t="s">
        <v>44</v>
      </c>
      <c r="B421" s="1">
        <v>44393</v>
      </c>
      <c r="C421" s="1" t="str">
        <f t="shared" si="6"/>
        <v>21197</v>
      </c>
      <c r="D421" t="s">
        <v>29</v>
      </c>
      <c r="E421" t="s">
        <v>39</v>
      </c>
      <c r="F421" t="s">
        <v>54</v>
      </c>
      <c r="G421" t="str">
        <f>_xlfn.XLOOKUP(Table1_1[[#This Row],[Parameter]],[1]analyte_order!$B:$B,[1]analyte_order!$C:$C)</f>
        <v>812-70-4</v>
      </c>
      <c r="H421">
        <f>_xlfn.XLOOKUP(Table1_1[[#This Row],[CAS_rn]],[1]analyte_order!$C:$C,[1]analyte_order!$E:$E)</f>
        <v>40</v>
      </c>
      <c r="I421">
        <v>0.5</v>
      </c>
    </row>
    <row r="422" spans="1:9" x14ac:dyDescent="0.3">
      <c r="A422" t="s">
        <v>45</v>
      </c>
      <c r="B422" s="1">
        <v>44393</v>
      </c>
      <c r="C422" s="1" t="str">
        <f t="shared" si="6"/>
        <v>21197</v>
      </c>
      <c r="D422" t="s">
        <v>31</v>
      </c>
      <c r="E422" t="s">
        <v>39</v>
      </c>
      <c r="F422" t="s">
        <v>5</v>
      </c>
      <c r="G422" t="str">
        <f>_xlfn.XLOOKUP(Table1_1[[#This Row],[Parameter]],[1]analyte_order!$B:$B,[1]analyte_order!$C:$C)</f>
        <v>375-22-4</v>
      </c>
      <c r="H422">
        <f>_xlfn.XLOOKUP(Table1_1[[#This Row],[CAS_rn]],[1]analyte_order!$C:$C,[1]analyte_order!$E:$E)</f>
        <v>1</v>
      </c>
      <c r="I422">
        <v>0.14499999999999999</v>
      </c>
    </row>
    <row r="423" spans="1:9" x14ac:dyDescent="0.3">
      <c r="A423" t="s">
        <v>45</v>
      </c>
      <c r="B423" s="1">
        <v>44393</v>
      </c>
      <c r="C423" s="1" t="str">
        <f t="shared" si="6"/>
        <v>21197</v>
      </c>
      <c r="D423" t="s">
        <v>31</v>
      </c>
      <c r="E423" t="s">
        <v>39</v>
      </c>
      <c r="F423" t="s">
        <v>6</v>
      </c>
      <c r="G423" t="str">
        <f>_xlfn.XLOOKUP(Table1_1[[#This Row],[Parameter]],[1]analyte_order!$B:$B,[1]analyte_order!$C:$C)</f>
        <v>2706-90-3</v>
      </c>
      <c r="H423">
        <f>_xlfn.XLOOKUP(Table1_1[[#This Row],[CAS_rn]],[1]analyte_order!$C:$C,[1]analyte_order!$E:$E)</f>
        <v>2</v>
      </c>
      <c r="I423">
        <v>0.13200000000000001</v>
      </c>
    </row>
    <row r="424" spans="1:9" x14ac:dyDescent="0.3">
      <c r="A424" t="s">
        <v>45</v>
      </c>
      <c r="B424" s="1">
        <v>44393</v>
      </c>
      <c r="C424" s="1" t="str">
        <f t="shared" si="6"/>
        <v>21197</v>
      </c>
      <c r="D424" t="s">
        <v>31</v>
      </c>
      <c r="E424" t="s">
        <v>39</v>
      </c>
      <c r="F424" t="s">
        <v>7</v>
      </c>
      <c r="G424" t="str">
        <f>_xlfn.XLOOKUP(Table1_1[[#This Row],[Parameter]],[1]analyte_order!$B:$B,[1]analyte_order!$C:$C)</f>
        <v>307-24-4</v>
      </c>
      <c r="H424">
        <f>_xlfn.XLOOKUP(Table1_1[[#This Row],[CAS_rn]],[1]analyte_order!$C:$C,[1]analyte_order!$E:$E)</f>
        <v>3</v>
      </c>
      <c r="I424">
        <v>0.47499999999999998</v>
      </c>
    </row>
    <row r="425" spans="1:9" x14ac:dyDescent="0.3">
      <c r="A425" t="s">
        <v>45</v>
      </c>
      <c r="B425" s="1">
        <v>44393</v>
      </c>
      <c r="C425" s="1" t="str">
        <f t="shared" si="6"/>
        <v>21197</v>
      </c>
      <c r="D425" t="s">
        <v>31</v>
      </c>
      <c r="E425" t="s">
        <v>39</v>
      </c>
      <c r="F425" t="s">
        <v>8</v>
      </c>
      <c r="G425" t="str">
        <f>_xlfn.XLOOKUP(Table1_1[[#This Row],[Parameter]],[1]analyte_order!$B:$B,[1]analyte_order!$C:$C)</f>
        <v>375-85-9</v>
      </c>
      <c r="H425">
        <f>_xlfn.XLOOKUP(Table1_1[[#This Row],[CAS_rn]],[1]analyte_order!$C:$C,[1]analyte_order!$E:$E)</f>
        <v>4</v>
      </c>
      <c r="I425">
        <v>4.7E-2</v>
      </c>
    </row>
    <row r="426" spans="1:9" x14ac:dyDescent="0.3">
      <c r="A426" t="s">
        <v>45</v>
      </c>
      <c r="B426" s="1">
        <v>44393</v>
      </c>
      <c r="C426" s="1" t="str">
        <f t="shared" si="6"/>
        <v>21197</v>
      </c>
      <c r="D426" t="s">
        <v>31</v>
      </c>
      <c r="E426" t="s">
        <v>39</v>
      </c>
      <c r="F426" t="s">
        <v>9</v>
      </c>
      <c r="G426" t="str">
        <f>_xlfn.XLOOKUP(Table1_1[[#This Row],[Parameter]],[1]analyte_order!$B:$B,[1]analyte_order!$C:$C)</f>
        <v>335-67-1</v>
      </c>
      <c r="H426">
        <f>_xlfn.XLOOKUP(Table1_1[[#This Row],[CAS_rn]],[1]analyte_order!$C:$C,[1]analyte_order!$E:$E)</f>
        <v>5</v>
      </c>
      <c r="I426">
        <v>0.185</v>
      </c>
    </row>
    <row r="427" spans="1:9" x14ac:dyDescent="0.3">
      <c r="A427" t="s">
        <v>45</v>
      </c>
      <c r="B427" s="1">
        <v>44393</v>
      </c>
      <c r="C427" s="1" t="str">
        <f t="shared" si="6"/>
        <v>21197</v>
      </c>
      <c r="D427" t="s">
        <v>31</v>
      </c>
      <c r="E427" t="s">
        <v>39</v>
      </c>
      <c r="F427" t="s">
        <v>10</v>
      </c>
      <c r="G427" t="str">
        <f>_xlfn.XLOOKUP(Table1_1[[#This Row],[Parameter]],[1]analyte_order!$B:$B,[1]analyte_order!$C:$C)</f>
        <v>375-95-1</v>
      </c>
      <c r="H427">
        <f>_xlfn.XLOOKUP(Table1_1[[#This Row],[CAS_rn]],[1]analyte_order!$C:$C,[1]analyte_order!$E:$E)</f>
        <v>6</v>
      </c>
      <c r="I427">
        <v>4.5999999999999999E-2</v>
      </c>
    </row>
    <row r="428" spans="1:9" x14ac:dyDescent="0.3">
      <c r="A428" t="s">
        <v>45</v>
      </c>
      <c r="B428" s="1">
        <v>44393</v>
      </c>
      <c r="C428" s="1" t="str">
        <f t="shared" si="6"/>
        <v>21197</v>
      </c>
      <c r="D428" t="s">
        <v>31</v>
      </c>
      <c r="E428" t="s">
        <v>39</v>
      </c>
      <c r="F428" t="s">
        <v>11</v>
      </c>
      <c r="G428" t="str">
        <f>_xlfn.XLOOKUP(Table1_1[[#This Row],[Parameter]],[1]analyte_order!$B:$B,[1]analyte_order!$C:$C)</f>
        <v>335-76-2</v>
      </c>
      <c r="H428">
        <f>_xlfn.XLOOKUP(Table1_1[[#This Row],[CAS_rn]],[1]analyte_order!$C:$C,[1]analyte_order!$E:$E)</f>
        <v>7</v>
      </c>
      <c r="I428">
        <v>0.02</v>
      </c>
    </row>
    <row r="429" spans="1:9" x14ac:dyDescent="0.3">
      <c r="A429" t="s">
        <v>45</v>
      </c>
      <c r="B429" s="1">
        <v>44393</v>
      </c>
      <c r="C429" s="1" t="str">
        <f t="shared" si="6"/>
        <v>21197</v>
      </c>
      <c r="D429" t="s">
        <v>31</v>
      </c>
      <c r="E429" t="s">
        <v>39</v>
      </c>
      <c r="F429" t="s">
        <v>12</v>
      </c>
      <c r="G429" t="str">
        <f>_xlfn.XLOOKUP(Table1_1[[#This Row],[Parameter]],[1]analyte_order!$B:$B,[1]analyte_order!$C:$C)</f>
        <v>2058-94-8</v>
      </c>
      <c r="H429">
        <f>_xlfn.XLOOKUP(Table1_1[[#This Row],[CAS_rn]],[1]analyte_order!$C:$C,[1]analyte_order!$E:$E)</f>
        <v>8</v>
      </c>
      <c r="I429">
        <v>0.02</v>
      </c>
    </row>
    <row r="430" spans="1:9" x14ac:dyDescent="0.3">
      <c r="A430" t="s">
        <v>45</v>
      </c>
      <c r="B430" s="1">
        <v>44393</v>
      </c>
      <c r="C430" s="1" t="str">
        <f t="shared" si="6"/>
        <v>21197</v>
      </c>
      <c r="D430" t="s">
        <v>31</v>
      </c>
      <c r="E430" t="s">
        <v>39</v>
      </c>
      <c r="F430" t="s">
        <v>13</v>
      </c>
      <c r="G430" t="str">
        <f>_xlfn.XLOOKUP(Table1_1[[#This Row],[Parameter]],[1]analyte_order!$B:$B,[1]analyte_order!$C:$C)</f>
        <v>307-55-1</v>
      </c>
      <c r="H430">
        <f>_xlfn.XLOOKUP(Table1_1[[#This Row],[CAS_rn]],[1]analyte_order!$C:$C,[1]analyte_order!$E:$E)</f>
        <v>9</v>
      </c>
      <c r="I430">
        <v>4.5999999999999999E-2</v>
      </c>
    </row>
    <row r="431" spans="1:9" x14ac:dyDescent="0.3">
      <c r="A431" t="s">
        <v>45</v>
      </c>
      <c r="B431" s="1">
        <v>44393</v>
      </c>
      <c r="C431" s="1" t="str">
        <f t="shared" si="6"/>
        <v>21197</v>
      </c>
      <c r="D431" t="s">
        <v>31</v>
      </c>
      <c r="E431" t="s">
        <v>39</v>
      </c>
      <c r="F431" t="s">
        <v>14</v>
      </c>
      <c r="G431" t="str">
        <f>_xlfn.XLOOKUP(Table1_1[[#This Row],[Parameter]],[1]analyte_order!$B:$B,[1]analyte_order!$C:$C)</f>
        <v>72629-94-8</v>
      </c>
      <c r="H431">
        <f>_xlfn.XLOOKUP(Table1_1[[#This Row],[CAS_rn]],[1]analyte_order!$C:$C,[1]analyte_order!$E:$E)</f>
        <v>10</v>
      </c>
      <c r="I431">
        <v>0.02</v>
      </c>
    </row>
    <row r="432" spans="1:9" x14ac:dyDescent="0.3">
      <c r="A432" t="s">
        <v>45</v>
      </c>
      <c r="B432" s="1">
        <v>44393</v>
      </c>
      <c r="C432" s="1" t="str">
        <f t="shared" si="6"/>
        <v>21197</v>
      </c>
      <c r="D432" t="s">
        <v>31</v>
      </c>
      <c r="E432" t="s">
        <v>39</v>
      </c>
      <c r="F432" t="s">
        <v>15</v>
      </c>
      <c r="G432" t="str">
        <f>_xlfn.XLOOKUP(Table1_1[[#This Row],[Parameter]],[1]analyte_order!$B:$B,[1]analyte_order!$C:$C)</f>
        <v>376-06-7</v>
      </c>
      <c r="H432">
        <f>_xlfn.XLOOKUP(Table1_1[[#This Row],[CAS_rn]],[1]analyte_order!$C:$C,[1]analyte_order!$E:$E)</f>
        <v>11</v>
      </c>
      <c r="I432">
        <v>0.02</v>
      </c>
    </row>
    <row r="433" spans="1:9" x14ac:dyDescent="0.3">
      <c r="A433" t="s">
        <v>45</v>
      </c>
      <c r="B433" s="1">
        <v>44393</v>
      </c>
      <c r="C433" s="1" t="str">
        <f t="shared" si="6"/>
        <v>21197</v>
      </c>
      <c r="D433" t="s">
        <v>31</v>
      </c>
      <c r="E433" t="s">
        <v>39</v>
      </c>
      <c r="F433" t="s">
        <v>16</v>
      </c>
      <c r="G433" t="str">
        <f>_xlfn.XLOOKUP(Table1_1[[#This Row],[Parameter]],[1]analyte_order!$B:$B,[1]analyte_order!$C:$C)</f>
        <v>375-73-5</v>
      </c>
      <c r="H433">
        <f>_xlfn.XLOOKUP(Table1_1[[#This Row],[CAS_rn]],[1]analyte_order!$C:$C,[1]analyte_order!$E:$E)</f>
        <v>14</v>
      </c>
      <c r="I433">
        <v>0.02</v>
      </c>
    </row>
    <row r="434" spans="1:9" x14ac:dyDescent="0.3">
      <c r="A434" t="s">
        <v>45</v>
      </c>
      <c r="B434" s="1">
        <v>44393</v>
      </c>
      <c r="C434" s="1" t="str">
        <f t="shared" si="6"/>
        <v>21197</v>
      </c>
      <c r="D434" t="s">
        <v>31</v>
      </c>
      <c r="E434" t="s">
        <v>39</v>
      </c>
      <c r="F434" t="s">
        <v>17</v>
      </c>
      <c r="G434" t="str">
        <f>_xlfn.XLOOKUP(Table1_1[[#This Row],[Parameter]],[1]analyte_order!$B:$B,[1]analyte_order!$C:$C)</f>
        <v>2706-91-4</v>
      </c>
      <c r="H434">
        <f>_xlfn.XLOOKUP(Table1_1[[#This Row],[CAS_rn]],[1]analyte_order!$C:$C,[1]analyte_order!$E:$E)</f>
        <v>15</v>
      </c>
      <c r="I434">
        <v>0.02</v>
      </c>
    </row>
    <row r="435" spans="1:9" x14ac:dyDescent="0.3">
      <c r="A435" t="s">
        <v>45</v>
      </c>
      <c r="B435" s="1">
        <v>44393</v>
      </c>
      <c r="C435" s="1" t="str">
        <f t="shared" si="6"/>
        <v>21197</v>
      </c>
      <c r="D435" t="s">
        <v>31</v>
      </c>
      <c r="E435" t="s">
        <v>39</v>
      </c>
      <c r="F435" t="s">
        <v>18</v>
      </c>
      <c r="G435" t="str">
        <f>_xlfn.XLOOKUP(Table1_1[[#This Row],[Parameter]],[1]analyte_order!$B:$B,[1]analyte_order!$C:$C)</f>
        <v>355-46-4</v>
      </c>
      <c r="H435">
        <f>_xlfn.XLOOKUP(Table1_1[[#This Row],[CAS_rn]],[1]analyte_order!$C:$C,[1]analyte_order!$E:$E)</f>
        <v>16</v>
      </c>
      <c r="I435">
        <v>0.378</v>
      </c>
    </row>
    <row r="436" spans="1:9" x14ac:dyDescent="0.3">
      <c r="A436" t="s">
        <v>45</v>
      </c>
      <c r="B436" s="1">
        <v>44393</v>
      </c>
      <c r="C436" s="1" t="str">
        <f t="shared" si="6"/>
        <v>21197</v>
      </c>
      <c r="D436" t="s">
        <v>31</v>
      </c>
      <c r="E436" t="s">
        <v>39</v>
      </c>
      <c r="F436" t="s">
        <v>19</v>
      </c>
      <c r="G436" t="str">
        <f>_xlfn.XLOOKUP(Table1_1[[#This Row],[Parameter]],[1]analyte_order!$B:$B,[1]analyte_order!$C:$C)</f>
        <v>375-92-8</v>
      </c>
      <c r="H436">
        <f>_xlfn.XLOOKUP(Table1_1[[#This Row],[CAS_rn]],[1]analyte_order!$C:$C,[1]analyte_order!$E:$E)</f>
        <v>17</v>
      </c>
      <c r="I436">
        <v>0.02</v>
      </c>
    </row>
    <row r="437" spans="1:9" x14ac:dyDescent="0.3">
      <c r="A437" t="s">
        <v>45</v>
      </c>
      <c r="B437" s="1">
        <v>44393</v>
      </c>
      <c r="C437" s="1" t="str">
        <f t="shared" si="6"/>
        <v>21197</v>
      </c>
      <c r="D437" t="s">
        <v>31</v>
      </c>
      <c r="E437" t="s">
        <v>39</v>
      </c>
      <c r="F437" t="s">
        <v>20</v>
      </c>
      <c r="G437" t="str">
        <f>_xlfn.XLOOKUP(Table1_1[[#This Row],[Parameter]],[1]analyte_order!$B:$B,[1]analyte_order!$C:$C)</f>
        <v>1763-23-1</v>
      </c>
      <c r="H437">
        <f>_xlfn.XLOOKUP(Table1_1[[#This Row],[CAS_rn]],[1]analyte_order!$C:$C,[1]analyte_order!$E:$E)</f>
        <v>18</v>
      </c>
      <c r="I437">
        <v>1.72</v>
      </c>
    </row>
    <row r="438" spans="1:9" x14ac:dyDescent="0.3">
      <c r="A438" t="s">
        <v>45</v>
      </c>
      <c r="B438" s="1">
        <v>44393</v>
      </c>
      <c r="C438" s="1" t="str">
        <f t="shared" si="6"/>
        <v>21197</v>
      </c>
      <c r="D438" t="s">
        <v>31</v>
      </c>
      <c r="E438" t="s">
        <v>39</v>
      </c>
      <c r="F438" t="s">
        <v>21</v>
      </c>
      <c r="G438" t="str">
        <f>_xlfn.XLOOKUP(Table1_1[[#This Row],[Parameter]],[1]analyte_order!$B:$B,[1]analyte_order!$C:$C)</f>
        <v>68259-12-1</v>
      </c>
      <c r="H438">
        <f>_xlfn.XLOOKUP(Table1_1[[#This Row],[CAS_rn]],[1]analyte_order!$C:$C,[1]analyte_order!$E:$E)</f>
        <v>19</v>
      </c>
      <c r="I438">
        <v>0.02</v>
      </c>
    </row>
    <row r="439" spans="1:9" x14ac:dyDescent="0.3">
      <c r="A439" t="s">
        <v>45</v>
      </c>
      <c r="B439" s="1">
        <v>44393</v>
      </c>
      <c r="C439" s="1" t="str">
        <f t="shared" si="6"/>
        <v>21197</v>
      </c>
      <c r="D439" t="s">
        <v>31</v>
      </c>
      <c r="E439" t="s">
        <v>39</v>
      </c>
      <c r="F439" t="s">
        <v>22</v>
      </c>
      <c r="G439" t="str">
        <f>_xlfn.XLOOKUP(Table1_1[[#This Row],[Parameter]],[1]analyte_order!$B:$B,[1]analyte_order!$C:$C)</f>
        <v>335-77-3</v>
      </c>
      <c r="H439">
        <f>_xlfn.XLOOKUP(Table1_1[[#This Row],[CAS_rn]],[1]analyte_order!$C:$C,[1]analyte_order!$E:$E)</f>
        <v>20</v>
      </c>
      <c r="I439">
        <v>0.02</v>
      </c>
    </row>
    <row r="440" spans="1:9" x14ac:dyDescent="0.3">
      <c r="A440" t="s">
        <v>45</v>
      </c>
      <c r="B440" s="1">
        <v>44393</v>
      </c>
      <c r="C440" s="1" t="str">
        <f t="shared" si="6"/>
        <v>21197</v>
      </c>
      <c r="D440" t="s">
        <v>31</v>
      </c>
      <c r="E440" t="s">
        <v>39</v>
      </c>
      <c r="F440" t="s">
        <v>23</v>
      </c>
      <c r="G440" t="str">
        <f>_xlfn.XLOOKUP(Table1_1[[#This Row],[Parameter]],[1]analyte_order!$B:$B,[1]analyte_order!$C:$C)</f>
        <v>79780-39-5</v>
      </c>
      <c r="H440">
        <f>_xlfn.XLOOKUP(Table1_1[[#This Row],[CAS_rn]],[1]analyte_order!$C:$C,[1]analyte_order!$E:$E)</f>
        <v>21</v>
      </c>
      <c r="I440">
        <v>0.02</v>
      </c>
    </row>
    <row r="441" spans="1:9" x14ac:dyDescent="0.3">
      <c r="A441" t="s">
        <v>45</v>
      </c>
      <c r="B441" s="1">
        <v>44393</v>
      </c>
      <c r="C441" s="1" t="str">
        <f t="shared" si="6"/>
        <v>21197</v>
      </c>
      <c r="D441" t="s">
        <v>31</v>
      </c>
      <c r="E441" t="s">
        <v>39</v>
      </c>
      <c r="F441" t="s">
        <v>49</v>
      </c>
      <c r="G441" t="str">
        <f>_xlfn.XLOOKUP(Table1_1[[#This Row],[Parameter]],[1]analyte_order!$B:$B,[1]analyte_order!$C:$C)</f>
        <v>757124-72-4</v>
      </c>
      <c r="H441">
        <f>_xlfn.XLOOKUP(Table1_1[[#This Row],[CAS_rn]],[1]analyte_order!$C:$C,[1]analyte_order!$E:$E)</f>
        <v>22</v>
      </c>
      <c r="I441">
        <v>0.08</v>
      </c>
    </row>
    <row r="442" spans="1:9" x14ac:dyDescent="0.3">
      <c r="A442" t="s">
        <v>45</v>
      </c>
      <c r="B442" s="1">
        <v>44393</v>
      </c>
      <c r="C442" s="1" t="str">
        <f t="shared" si="6"/>
        <v>21197</v>
      </c>
      <c r="D442" t="s">
        <v>31</v>
      </c>
      <c r="E442" t="s">
        <v>39</v>
      </c>
      <c r="F442" t="s">
        <v>50</v>
      </c>
      <c r="G442" t="str">
        <f>_xlfn.XLOOKUP(Table1_1[[#This Row],[Parameter]],[1]analyte_order!$B:$B,[1]analyte_order!$C:$C)</f>
        <v>27619-97-2</v>
      </c>
      <c r="H442">
        <f>_xlfn.XLOOKUP(Table1_1[[#This Row],[CAS_rn]],[1]analyte_order!$C:$C,[1]analyte_order!$E:$E)</f>
        <v>23</v>
      </c>
      <c r="I442">
        <v>0.28299999999999997</v>
      </c>
    </row>
    <row r="443" spans="1:9" x14ac:dyDescent="0.3">
      <c r="A443" t="s">
        <v>45</v>
      </c>
      <c r="B443" s="1">
        <v>44393</v>
      </c>
      <c r="C443" s="1" t="str">
        <f t="shared" si="6"/>
        <v>21197</v>
      </c>
      <c r="D443" t="s">
        <v>31</v>
      </c>
      <c r="E443" t="s">
        <v>39</v>
      </c>
      <c r="F443" t="s">
        <v>51</v>
      </c>
      <c r="G443" t="str">
        <f>_xlfn.XLOOKUP(Table1_1[[#This Row],[Parameter]],[1]analyte_order!$B:$B,[1]analyte_order!$C:$C)</f>
        <v>39108-34-4</v>
      </c>
      <c r="H443">
        <f>_xlfn.XLOOKUP(Table1_1[[#This Row],[CAS_rn]],[1]analyte_order!$C:$C,[1]analyte_order!$E:$E)</f>
        <v>24</v>
      </c>
      <c r="I443">
        <v>0.08</v>
      </c>
    </row>
    <row r="444" spans="1:9" x14ac:dyDescent="0.3">
      <c r="A444" t="s">
        <v>45</v>
      </c>
      <c r="B444" s="1">
        <v>44393</v>
      </c>
      <c r="C444" s="1" t="str">
        <f t="shared" si="6"/>
        <v>21197</v>
      </c>
      <c r="D444" t="s">
        <v>31</v>
      </c>
      <c r="E444" t="s">
        <v>39</v>
      </c>
      <c r="F444" t="s">
        <v>60</v>
      </c>
      <c r="G444" t="str">
        <f>_xlfn.XLOOKUP(Table1_1[[#This Row],[Parameter]],[1]analyte_order!$B:$B,[1]analyte_order!$C:$C)</f>
        <v>754-91-6</v>
      </c>
      <c r="H444">
        <f>_xlfn.XLOOKUP(Table1_1[[#This Row],[CAS_rn]],[1]analyte_order!$C:$C,[1]analyte_order!$E:$E)</f>
        <v>28</v>
      </c>
      <c r="I444">
        <v>0.26300000000000001</v>
      </c>
    </row>
    <row r="445" spans="1:9" x14ac:dyDescent="0.3">
      <c r="A445" t="s">
        <v>45</v>
      </c>
      <c r="B445" s="1">
        <v>44393</v>
      </c>
      <c r="C445" s="1" t="str">
        <f t="shared" si="6"/>
        <v>21197</v>
      </c>
      <c r="D445" t="s">
        <v>31</v>
      </c>
      <c r="E445" t="s">
        <v>39</v>
      </c>
      <c r="F445" t="s">
        <v>58</v>
      </c>
      <c r="G445" t="str">
        <f>_xlfn.XLOOKUP(Table1_1[[#This Row],[Parameter]],[1]analyte_order!$B:$B,[1]analyte_order!$C:$C)</f>
        <v>31506-32-8</v>
      </c>
      <c r="H445">
        <f>_xlfn.XLOOKUP(Table1_1[[#This Row],[CAS_rn]],[1]analyte_order!$C:$C,[1]analyte_order!$E:$E)</f>
        <v>30</v>
      </c>
      <c r="I445">
        <v>0.02</v>
      </c>
    </row>
    <row r="446" spans="1:9" x14ac:dyDescent="0.3">
      <c r="A446" t="s">
        <v>45</v>
      </c>
      <c r="B446" s="1">
        <v>44393</v>
      </c>
      <c r="C446" s="1" t="str">
        <f t="shared" si="6"/>
        <v>21197</v>
      </c>
      <c r="D446" t="s">
        <v>31</v>
      </c>
      <c r="E446" t="s">
        <v>39</v>
      </c>
      <c r="F446" t="s">
        <v>59</v>
      </c>
      <c r="G446" t="str">
        <f>_xlfn.XLOOKUP(Table1_1[[#This Row],[Parameter]],[1]analyte_order!$B:$B,[1]analyte_order!$C:$C)</f>
        <v>2355-31-9</v>
      </c>
      <c r="H446">
        <f>_xlfn.XLOOKUP(Table1_1[[#This Row],[CAS_rn]],[1]analyte_order!$C:$C,[1]analyte_order!$E:$E)</f>
        <v>26</v>
      </c>
      <c r="I446">
        <v>0.02</v>
      </c>
    </row>
    <row r="447" spans="1:9" x14ac:dyDescent="0.3">
      <c r="A447" t="s">
        <v>45</v>
      </c>
      <c r="B447" s="1">
        <v>44393</v>
      </c>
      <c r="C447" s="1" t="str">
        <f t="shared" si="6"/>
        <v>21197</v>
      </c>
      <c r="D447" t="s">
        <v>31</v>
      </c>
      <c r="E447" t="s">
        <v>39</v>
      </c>
      <c r="F447" t="s">
        <v>57</v>
      </c>
      <c r="G447" t="str">
        <f>_xlfn.XLOOKUP(Table1_1[[#This Row],[Parameter]],[1]analyte_order!$B:$B,[1]analyte_order!$C:$C)</f>
        <v>2991-50-6</v>
      </c>
      <c r="H447">
        <f>_xlfn.XLOOKUP(Table1_1[[#This Row],[CAS_rn]],[1]analyte_order!$C:$C,[1]analyte_order!$E:$E)</f>
        <v>27</v>
      </c>
      <c r="I447">
        <v>0.02</v>
      </c>
    </row>
    <row r="448" spans="1:9" x14ac:dyDescent="0.3">
      <c r="A448" t="s">
        <v>45</v>
      </c>
      <c r="B448" s="1">
        <v>44393</v>
      </c>
      <c r="C448" s="1" t="str">
        <f t="shared" si="6"/>
        <v>21197</v>
      </c>
      <c r="D448" t="s">
        <v>31</v>
      </c>
      <c r="E448" t="s">
        <v>39</v>
      </c>
      <c r="F448" t="s">
        <v>24</v>
      </c>
      <c r="G448" t="str">
        <f>_xlfn.XLOOKUP(Table1_1[[#This Row],[Parameter]],[1]analyte_order!$B:$B,[1]analyte_order!$C:$C)</f>
        <v>919005-14-4</v>
      </c>
      <c r="H448">
        <f>_xlfn.XLOOKUP(Table1_1[[#This Row],[CAS_rn]],[1]analyte_order!$C:$C,[1]analyte_order!$E:$E)</f>
        <v>35</v>
      </c>
      <c r="I448">
        <v>0.08</v>
      </c>
    </row>
    <row r="449" spans="1:9" x14ac:dyDescent="0.3">
      <c r="A449" t="s">
        <v>45</v>
      </c>
      <c r="B449" s="1">
        <v>44393</v>
      </c>
      <c r="C449" s="1" t="str">
        <f t="shared" si="6"/>
        <v>21197</v>
      </c>
      <c r="D449" t="s">
        <v>31</v>
      </c>
      <c r="E449" t="s">
        <v>39</v>
      </c>
      <c r="F449" t="s">
        <v>52</v>
      </c>
      <c r="G449" t="str">
        <f>_xlfn.XLOOKUP(Table1_1[[#This Row],[Parameter]],[1]analyte_order!$B:$B,[1]analyte_order!$C:$C)</f>
        <v>356-02-5</v>
      </c>
      <c r="H449">
        <f>_xlfn.XLOOKUP(Table1_1[[#This Row],[CAS_rn]],[1]analyte_order!$C:$C,[1]analyte_order!$E:$E)</f>
        <v>38</v>
      </c>
      <c r="I449">
        <v>0.08</v>
      </c>
    </row>
    <row r="450" spans="1:9" x14ac:dyDescent="0.3">
      <c r="A450" t="s">
        <v>45</v>
      </c>
      <c r="B450" s="1">
        <v>44393</v>
      </c>
      <c r="C450" s="1" t="str">
        <f t="shared" si="6"/>
        <v>21197</v>
      </c>
      <c r="D450" t="s">
        <v>31</v>
      </c>
      <c r="E450" t="s">
        <v>39</v>
      </c>
      <c r="F450" t="s">
        <v>53</v>
      </c>
      <c r="G450" t="str">
        <f>_xlfn.XLOOKUP(Table1_1[[#This Row],[Parameter]],[1]analyte_order!$B:$B,[1]analyte_order!$C:$C)</f>
        <v>914637-49-3</v>
      </c>
      <c r="H450">
        <f>_xlfn.XLOOKUP(Table1_1[[#This Row],[CAS_rn]],[1]analyte_order!$C:$C,[1]analyte_order!$E:$E)</f>
        <v>39</v>
      </c>
      <c r="I450">
        <v>0.5</v>
      </c>
    </row>
    <row r="451" spans="1:9" x14ac:dyDescent="0.3">
      <c r="A451" t="s">
        <v>45</v>
      </c>
      <c r="B451" s="1">
        <v>44393</v>
      </c>
      <c r="C451" s="1" t="str">
        <f t="shared" ref="C451:C514" si="7">TEXT(B451,"yy")&amp;TEXT((B451-DATEVALUE("1/1/"&amp;TEXT(B451,"yy"))+1),"000")</f>
        <v>21197</v>
      </c>
      <c r="D451" t="s">
        <v>31</v>
      </c>
      <c r="E451" t="s">
        <v>39</v>
      </c>
      <c r="F451" t="s">
        <v>54</v>
      </c>
      <c r="G451" t="str">
        <f>_xlfn.XLOOKUP(Table1_1[[#This Row],[Parameter]],[1]analyte_order!$B:$B,[1]analyte_order!$C:$C)</f>
        <v>812-70-4</v>
      </c>
      <c r="H451">
        <f>_xlfn.XLOOKUP(Table1_1[[#This Row],[CAS_rn]],[1]analyte_order!$C:$C,[1]analyte_order!$E:$E)</f>
        <v>40</v>
      </c>
      <c r="I451">
        <v>0.5</v>
      </c>
    </row>
    <row r="452" spans="1:9" x14ac:dyDescent="0.3">
      <c r="A452" t="s">
        <v>46</v>
      </c>
      <c r="B452" s="1">
        <v>44393</v>
      </c>
      <c r="C452" s="1" t="str">
        <f t="shared" si="7"/>
        <v>21197</v>
      </c>
      <c r="D452" t="s">
        <v>33</v>
      </c>
      <c r="E452" t="s">
        <v>39</v>
      </c>
      <c r="F452" t="s">
        <v>5</v>
      </c>
      <c r="G452" t="str">
        <f>_xlfn.XLOOKUP(Table1_1[[#This Row],[Parameter]],[1]analyte_order!$B:$B,[1]analyte_order!$C:$C)</f>
        <v>375-22-4</v>
      </c>
      <c r="H452">
        <f>_xlfn.XLOOKUP(Table1_1[[#This Row],[CAS_rn]],[1]analyte_order!$C:$C,[1]analyte_order!$E:$E)</f>
        <v>1</v>
      </c>
      <c r="I452">
        <v>0.08</v>
      </c>
    </row>
    <row r="453" spans="1:9" x14ac:dyDescent="0.3">
      <c r="A453" t="s">
        <v>46</v>
      </c>
      <c r="B453" s="1">
        <v>44393</v>
      </c>
      <c r="C453" s="1" t="str">
        <f t="shared" si="7"/>
        <v>21197</v>
      </c>
      <c r="D453" t="s">
        <v>33</v>
      </c>
      <c r="E453" t="s">
        <v>39</v>
      </c>
      <c r="F453" t="s">
        <v>6</v>
      </c>
      <c r="G453" t="str">
        <f>_xlfn.XLOOKUP(Table1_1[[#This Row],[Parameter]],[1]analyte_order!$B:$B,[1]analyte_order!$C:$C)</f>
        <v>2706-90-3</v>
      </c>
      <c r="H453">
        <f>_xlfn.XLOOKUP(Table1_1[[#This Row],[CAS_rn]],[1]analyte_order!$C:$C,[1]analyte_order!$E:$E)</f>
        <v>2</v>
      </c>
      <c r="I453">
        <v>0.104</v>
      </c>
    </row>
    <row r="454" spans="1:9" x14ac:dyDescent="0.3">
      <c r="A454" t="s">
        <v>46</v>
      </c>
      <c r="B454" s="1">
        <v>44393</v>
      </c>
      <c r="C454" s="1" t="str">
        <f t="shared" si="7"/>
        <v>21197</v>
      </c>
      <c r="D454" t="s">
        <v>33</v>
      </c>
      <c r="E454" t="s">
        <v>39</v>
      </c>
      <c r="F454" t="s">
        <v>7</v>
      </c>
      <c r="G454" t="str">
        <f>_xlfn.XLOOKUP(Table1_1[[#This Row],[Parameter]],[1]analyte_order!$B:$B,[1]analyte_order!$C:$C)</f>
        <v>307-24-4</v>
      </c>
      <c r="H454">
        <f>_xlfn.XLOOKUP(Table1_1[[#This Row],[CAS_rn]],[1]analyte_order!$C:$C,[1]analyte_order!$E:$E)</f>
        <v>3</v>
      </c>
      <c r="I454">
        <v>0.28499999999999998</v>
      </c>
    </row>
    <row r="455" spans="1:9" x14ac:dyDescent="0.3">
      <c r="A455" t="s">
        <v>46</v>
      </c>
      <c r="B455" s="1">
        <v>44393</v>
      </c>
      <c r="C455" s="1" t="str">
        <f t="shared" si="7"/>
        <v>21197</v>
      </c>
      <c r="D455" t="s">
        <v>33</v>
      </c>
      <c r="E455" t="s">
        <v>39</v>
      </c>
      <c r="F455" t="s">
        <v>8</v>
      </c>
      <c r="G455" t="str">
        <f>_xlfn.XLOOKUP(Table1_1[[#This Row],[Parameter]],[1]analyte_order!$B:$B,[1]analyte_order!$C:$C)</f>
        <v>375-85-9</v>
      </c>
      <c r="H455">
        <f>_xlfn.XLOOKUP(Table1_1[[#This Row],[CAS_rn]],[1]analyte_order!$C:$C,[1]analyte_order!$E:$E)</f>
        <v>4</v>
      </c>
      <c r="I455">
        <v>0.02</v>
      </c>
    </row>
    <row r="456" spans="1:9" x14ac:dyDescent="0.3">
      <c r="A456" t="s">
        <v>46</v>
      </c>
      <c r="B456" s="1">
        <v>44393</v>
      </c>
      <c r="C456" s="1" t="str">
        <f t="shared" si="7"/>
        <v>21197</v>
      </c>
      <c r="D456" t="s">
        <v>33</v>
      </c>
      <c r="E456" t="s">
        <v>39</v>
      </c>
      <c r="F456" t="s">
        <v>9</v>
      </c>
      <c r="G456" t="str">
        <f>_xlfn.XLOOKUP(Table1_1[[#This Row],[Parameter]],[1]analyte_order!$B:$B,[1]analyte_order!$C:$C)</f>
        <v>335-67-1</v>
      </c>
      <c r="H456">
        <f>_xlfn.XLOOKUP(Table1_1[[#This Row],[CAS_rn]],[1]analyte_order!$C:$C,[1]analyte_order!$E:$E)</f>
        <v>5</v>
      </c>
      <c r="I456">
        <v>0.15</v>
      </c>
    </row>
    <row r="457" spans="1:9" x14ac:dyDescent="0.3">
      <c r="A457" t="s">
        <v>46</v>
      </c>
      <c r="B457" s="1">
        <v>44393</v>
      </c>
      <c r="C457" s="1" t="str">
        <f t="shared" si="7"/>
        <v>21197</v>
      </c>
      <c r="D457" t="s">
        <v>33</v>
      </c>
      <c r="E457" t="s">
        <v>39</v>
      </c>
      <c r="F457" t="s">
        <v>10</v>
      </c>
      <c r="G457" t="str">
        <f>_xlfn.XLOOKUP(Table1_1[[#This Row],[Parameter]],[1]analyte_order!$B:$B,[1]analyte_order!$C:$C)</f>
        <v>375-95-1</v>
      </c>
      <c r="H457">
        <f>_xlfn.XLOOKUP(Table1_1[[#This Row],[CAS_rn]],[1]analyte_order!$C:$C,[1]analyte_order!$E:$E)</f>
        <v>6</v>
      </c>
      <c r="I457">
        <v>3.6999999999999998E-2</v>
      </c>
    </row>
    <row r="458" spans="1:9" x14ac:dyDescent="0.3">
      <c r="A458" t="s">
        <v>46</v>
      </c>
      <c r="B458" s="1">
        <v>44393</v>
      </c>
      <c r="C458" s="1" t="str">
        <f t="shared" si="7"/>
        <v>21197</v>
      </c>
      <c r="D458" t="s">
        <v>33</v>
      </c>
      <c r="E458" t="s">
        <v>39</v>
      </c>
      <c r="F458" t="s">
        <v>11</v>
      </c>
      <c r="G458" t="str">
        <f>_xlfn.XLOOKUP(Table1_1[[#This Row],[Parameter]],[1]analyte_order!$B:$B,[1]analyte_order!$C:$C)</f>
        <v>335-76-2</v>
      </c>
      <c r="H458">
        <f>_xlfn.XLOOKUP(Table1_1[[#This Row],[CAS_rn]],[1]analyte_order!$C:$C,[1]analyte_order!$E:$E)</f>
        <v>7</v>
      </c>
      <c r="I458">
        <v>0.02</v>
      </c>
    </row>
    <row r="459" spans="1:9" x14ac:dyDescent="0.3">
      <c r="A459" t="s">
        <v>46</v>
      </c>
      <c r="B459" s="1">
        <v>44393</v>
      </c>
      <c r="C459" s="1" t="str">
        <f t="shared" si="7"/>
        <v>21197</v>
      </c>
      <c r="D459" t="s">
        <v>33</v>
      </c>
      <c r="E459" t="s">
        <v>39</v>
      </c>
      <c r="F459" t="s">
        <v>12</v>
      </c>
      <c r="G459" t="str">
        <f>_xlfn.XLOOKUP(Table1_1[[#This Row],[Parameter]],[1]analyte_order!$B:$B,[1]analyte_order!$C:$C)</f>
        <v>2058-94-8</v>
      </c>
      <c r="H459">
        <f>_xlfn.XLOOKUP(Table1_1[[#This Row],[CAS_rn]],[1]analyte_order!$C:$C,[1]analyte_order!$E:$E)</f>
        <v>8</v>
      </c>
      <c r="I459">
        <v>0.02</v>
      </c>
    </row>
    <row r="460" spans="1:9" x14ac:dyDescent="0.3">
      <c r="A460" t="s">
        <v>46</v>
      </c>
      <c r="B460" s="1">
        <v>44393</v>
      </c>
      <c r="C460" s="1" t="str">
        <f t="shared" si="7"/>
        <v>21197</v>
      </c>
      <c r="D460" t="s">
        <v>33</v>
      </c>
      <c r="E460" t="s">
        <v>39</v>
      </c>
      <c r="F460" t="s">
        <v>13</v>
      </c>
      <c r="G460" t="str">
        <f>_xlfn.XLOOKUP(Table1_1[[#This Row],[Parameter]],[1]analyte_order!$B:$B,[1]analyte_order!$C:$C)</f>
        <v>307-55-1</v>
      </c>
      <c r="H460">
        <f>_xlfn.XLOOKUP(Table1_1[[#This Row],[CAS_rn]],[1]analyte_order!$C:$C,[1]analyte_order!$E:$E)</f>
        <v>9</v>
      </c>
      <c r="I460">
        <v>0.02</v>
      </c>
    </row>
    <row r="461" spans="1:9" x14ac:dyDescent="0.3">
      <c r="A461" t="s">
        <v>46</v>
      </c>
      <c r="B461" s="1">
        <v>44393</v>
      </c>
      <c r="C461" s="1" t="str">
        <f t="shared" si="7"/>
        <v>21197</v>
      </c>
      <c r="D461" t="s">
        <v>33</v>
      </c>
      <c r="E461" t="s">
        <v>39</v>
      </c>
      <c r="F461" t="s">
        <v>14</v>
      </c>
      <c r="G461" t="str">
        <f>_xlfn.XLOOKUP(Table1_1[[#This Row],[Parameter]],[1]analyte_order!$B:$B,[1]analyte_order!$C:$C)</f>
        <v>72629-94-8</v>
      </c>
      <c r="H461">
        <f>_xlfn.XLOOKUP(Table1_1[[#This Row],[CAS_rn]],[1]analyte_order!$C:$C,[1]analyte_order!$E:$E)</f>
        <v>10</v>
      </c>
      <c r="I461">
        <v>0.02</v>
      </c>
    </row>
    <row r="462" spans="1:9" x14ac:dyDescent="0.3">
      <c r="A462" t="s">
        <v>46</v>
      </c>
      <c r="B462" s="1">
        <v>44393</v>
      </c>
      <c r="C462" s="1" t="str">
        <f t="shared" si="7"/>
        <v>21197</v>
      </c>
      <c r="D462" t="s">
        <v>33</v>
      </c>
      <c r="E462" t="s">
        <v>39</v>
      </c>
      <c r="F462" t="s">
        <v>15</v>
      </c>
      <c r="G462" t="str">
        <f>_xlfn.XLOOKUP(Table1_1[[#This Row],[Parameter]],[1]analyte_order!$B:$B,[1]analyte_order!$C:$C)</f>
        <v>376-06-7</v>
      </c>
      <c r="H462">
        <f>_xlfn.XLOOKUP(Table1_1[[#This Row],[CAS_rn]],[1]analyte_order!$C:$C,[1]analyte_order!$E:$E)</f>
        <v>11</v>
      </c>
      <c r="I462">
        <v>0.02</v>
      </c>
    </row>
    <row r="463" spans="1:9" x14ac:dyDescent="0.3">
      <c r="A463" t="s">
        <v>46</v>
      </c>
      <c r="B463" s="1">
        <v>44393</v>
      </c>
      <c r="C463" s="1" t="str">
        <f t="shared" si="7"/>
        <v>21197</v>
      </c>
      <c r="D463" t="s">
        <v>33</v>
      </c>
      <c r="E463" t="s">
        <v>39</v>
      </c>
      <c r="F463" t="s">
        <v>16</v>
      </c>
      <c r="G463" t="str">
        <f>_xlfn.XLOOKUP(Table1_1[[#This Row],[Parameter]],[1]analyte_order!$B:$B,[1]analyte_order!$C:$C)</f>
        <v>375-73-5</v>
      </c>
      <c r="H463">
        <f>_xlfn.XLOOKUP(Table1_1[[#This Row],[CAS_rn]],[1]analyte_order!$C:$C,[1]analyte_order!$E:$E)</f>
        <v>14</v>
      </c>
      <c r="I463">
        <v>0.02</v>
      </c>
    </row>
    <row r="464" spans="1:9" x14ac:dyDescent="0.3">
      <c r="A464" t="s">
        <v>46</v>
      </c>
      <c r="B464" s="1">
        <v>44393</v>
      </c>
      <c r="C464" s="1" t="str">
        <f t="shared" si="7"/>
        <v>21197</v>
      </c>
      <c r="D464" t="s">
        <v>33</v>
      </c>
      <c r="E464" t="s">
        <v>39</v>
      </c>
      <c r="F464" t="s">
        <v>17</v>
      </c>
      <c r="G464" t="str">
        <f>_xlfn.XLOOKUP(Table1_1[[#This Row],[Parameter]],[1]analyte_order!$B:$B,[1]analyte_order!$C:$C)</f>
        <v>2706-91-4</v>
      </c>
      <c r="H464">
        <f>_xlfn.XLOOKUP(Table1_1[[#This Row],[CAS_rn]],[1]analyte_order!$C:$C,[1]analyte_order!$E:$E)</f>
        <v>15</v>
      </c>
      <c r="I464">
        <v>0.02</v>
      </c>
    </row>
    <row r="465" spans="1:9" x14ac:dyDescent="0.3">
      <c r="A465" t="s">
        <v>46</v>
      </c>
      <c r="B465" s="1">
        <v>44393</v>
      </c>
      <c r="C465" s="1" t="str">
        <f t="shared" si="7"/>
        <v>21197</v>
      </c>
      <c r="D465" t="s">
        <v>33</v>
      </c>
      <c r="E465" t="s">
        <v>39</v>
      </c>
      <c r="F465" t="s">
        <v>18</v>
      </c>
      <c r="G465" t="str">
        <f>_xlfn.XLOOKUP(Table1_1[[#This Row],[Parameter]],[1]analyte_order!$B:$B,[1]analyte_order!$C:$C)</f>
        <v>355-46-4</v>
      </c>
      <c r="H465">
        <f>_xlfn.XLOOKUP(Table1_1[[#This Row],[CAS_rn]],[1]analyte_order!$C:$C,[1]analyte_order!$E:$E)</f>
        <v>16</v>
      </c>
      <c r="I465">
        <v>0.39400000000000002</v>
      </c>
    </row>
    <row r="466" spans="1:9" x14ac:dyDescent="0.3">
      <c r="A466" t="s">
        <v>46</v>
      </c>
      <c r="B466" s="1">
        <v>44393</v>
      </c>
      <c r="C466" s="1" t="str">
        <f t="shared" si="7"/>
        <v>21197</v>
      </c>
      <c r="D466" t="s">
        <v>33</v>
      </c>
      <c r="E466" t="s">
        <v>39</v>
      </c>
      <c r="F466" t="s">
        <v>19</v>
      </c>
      <c r="G466" t="str">
        <f>_xlfn.XLOOKUP(Table1_1[[#This Row],[Parameter]],[1]analyte_order!$B:$B,[1]analyte_order!$C:$C)</f>
        <v>375-92-8</v>
      </c>
      <c r="H466">
        <f>_xlfn.XLOOKUP(Table1_1[[#This Row],[CAS_rn]],[1]analyte_order!$C:$C,[1]analyte_order!$E:$E)</f>
        <v>17</v>
      </c>
      <c r="I466">
        <v>0.02</v>
      </c>
    </row>
    <row r="467" spans="1:9" x14ac:dyDescent="0.3">
      <c r="A467" t="s">
        <v>46</v>
      </c>
      <c r="B467" s="1">
        <v>44393</v>
      </c>
      <c r="C467" s="1" t="str">
        <f t="shared" si="7"/>
        <v>21197</v>
      </c>
      <c r="D467" t="s">
        <v>33</v>
      </c>
      <c r="E467" t="s">
        <v>39</v>
      </c>
      <c r="F467" t="s">
        <v>20</v>
      </c>
      <c r="G467" t="str">
        <f>_xlfn.XLOOKUP(Table1_1[[#This Row],[Parameter]],[1]analyte_order!$B:$B,[1]analyte_order!$C:$C)</f>
        <v>1763-23-1</v>
      </c>
      <c r="H467">
        <f>_xlfn.XLOOKUP(Table1_1[[#This Row],[CAS_rn]],[1]analyte_order!$C:$C,[1]analyte_order!$E:$E)</f>
        <v>18</v>
      </c>
      <c r="I467">
        <v>1.95</v>
      </c>
    </row>
    <row r="468" spans="1:9" x14ac:dyDescent="0.3">
      <c r="A468" t="s">
        <v>46</v>
      </c>
      <c r="B468" s="1">
        <v>44393</v>
      </c>
      <c r="C468" s="1" t="str">
        <f t="shared" si="7"/>
        <v>21197</v>
      </c>
      <c r="D468" t="s">
        <v>33</v>
      </c>
      <c r="E468" t="s">
        <v>39</v>
      </c>
      <c r="F468" t="s">
        <v>21</v>
      </c>
      <c r="G468" t="str">
        <f>_xlfn.XLOOKUP(Table1_1[[#This Row],[Parameter]],[1]analyte_order!$B:$B,[1]analyte_order!$C:$C)</f>
        <v>68259-12-1</v>
      </c>
      <c r="H468">
        <f>_xlfn.XLOOKUP(Table1_1[[#This Row],[CAS_rn]],[1]analyte_order!$C:$C,[1]analyte_order!$E:$E)</f>
        <v>19</v>
      </c>
      <c r="I468">
        <v>0.02</v>
      </c>
    </row>
    <row r="469" spans="1:9" x14ac:dyDescent="0.3">
      <c r="A469" t="s">
        <v>46</v>
      </c>
      <c r="B469" s="1">
        <v>44393</v>
      </c>
      <c r="C469" s="1" t="str">
        <f t="shared" si="7"/>
        <v>21197</v>
      </c>
      <c r="D469" t="s">
        <v>33</v>
      </c>
      <c r="E469" t="s">
        <v>39</v>
      </c>
      <c r="F469" t="s">
        <v>22</v>
      </c>
      <c r="G469" t="str">
        <f>_xlfn.XLOOKUP(Table1_1[[#This Row],[Parameter]],[1]analyte_order!$B:$B,[1]analyte_order!$C:$C)</f>
        <v>335-77-3</v>
      </c>
      <c r="H469">
        <f>_xlfn.XLOOKUP(Table1_1[[#This Row],[CAS_rn]],[1]analyte_order!$C:$C,[1]analyte_order!$E:$E)</f>
        <v>20</v>
      </c>
      <c r="I469">
        <v>0.02</v>
      </c>
    </row>
    <row r="470" spans="1:9" x14ac:dyDescent="0.3">
      <c r="A470" t="s">
        <v>46</v>
      </c>
      <c r="B470" s="1">
        <v>44393</v>
      </c>
      <c r="C470" s="1" t="str">
        <f t="shared" si="7"/>
        <v>21197</v>
      </c>
      <c r="D470" t="s">
        <v>33</v>
      </c>
      <c r="E470" t="s">
        <v>39</v>
      </c>
      <c r="F470" t="s">
        <v>23</v>
      </c>
      <c r="G470" t="str">
        <f>_xlfn.XLOOKUP(Table1_1[[#This Row],[Parameter]],[1]analyte_order!$B:$B,[1]analyte_order!$C:$C)</f>
        <v>79780-39-5</v>
      </c>
      <c r="H470">
        <f>_xlfn.XLOOKUP(Table1_1[[#This Row],[CAS_rn]],[1]analyte_order!$C:$C,[1]analyte_order!$E:$E)</f>
        <v>21</v>
      </c>
      <c r="I470">
        <v>0.02</v>
      </c>
    </row>
    <row r="471" spans="1:9" x14ac:dyDescent="0.3">
      <c r="A471" t="s">
        <v>46</v>
      </c>
      <c r="B471" s="1">
        <v>44393</v>
      </c>
      <c r="C471" s="1" t="str">
        <f t="shared" si="7"/>
        <v>21197</v>
      </c>
      <c r="D471" t="s">
        <v>33</v>
      </c>
      <c r="E471" t="s">
        <v>39</v>
      </c>
      <c r="F471" t="s">
        <v>49</v>
      </c>
      <c r="G471" t="str">
        <f>_xlfn.XLOOKUP(Table1_1[[#This Row],[Parameter]],[1]analyte_order!$B:$B,[1]analyte_order!$C:$C)</f>
        <v>757124-72-4</v>
      </c>
      <c r="H471">
        <f>_xlfn.XLOOKUP(Table1_1[[#This Row],[CAS_rn]],[1]analyte_order!$C:$C,[1]analyte_order!$E:$E)</f>
        <v>22</v>
      </c>
      <c r="I471">
        <v>0.08</v>
      </c>
    </row>
    <row r="472" spans="1:9" x14ac:dyDescent="0.3">
      <c r="A472" t="s">
        <v>46</v>
      </c>
      <c r="B472" s="1">
        <v>44393</v>
      </c>
      <c r="C472" s="1" t="str">
        <f t="shared" si="7"/>
        <v>21197</v>
      </c>
      <c r="D472" t="s">
        <v>33</v>
      </c>
      <c r="E472" t="s">
        <v>39</v>
      </c>
      <c r="F472" t="s">
        <v>50</v>
      </c>
      <c r="G472" t="str">
        <f>_xlfn.XLOOKUP(Table1_1[[#This Row],[Parameter]],[1]analyte_order!$B:$B,[1]analyte_order!$C:$C)</f>
        <v>27619-97-2</v>
      </c>
      <c r="H472">
        <f>_xlfn.XLOOKUP(Table1_1[[#This Row],[CAS_rn]],[1]analyte_order!$C:$C,[1]analyte_order!$E:$E)</f>
        <v>23</v>
      </c>
      <c r="I472">
        <v>0.48399999999999999</v>
      </c>
    </row>
    <row r="473" spans="1:9" x14ac:dyDescent="0.3">
      <c r="A473" t="s">
        <v>46</v>
      </c>
      <c r="B473" s="1">
        <v>44393</v>
      </c>
      <c r="C473" s="1" t="str">
        <f t="shared" si="7"/>
        <v>21197</v>
      </c>
      <c r="D473" t="s">
        <v>33</v>
      </c>
      <c r="E473" t="s">
        <v>39</v>
      </c>
      <c r="F473" t="s">
        <v>51</v>
      </c>
      <c r="G473" t="str">
        <f>_xlfn.XLOOKUP(Table1_1[[#This Row],[Parameter]],[1]analyte_order!$B:$B,[1]analyte_order!$C:$C)</f>
        <v>39108-34-4</v>
      </c>
      <c r="H473">
        <f>_xlfn.XLOOKUP(Table1_1[[#This Row],[CAS_rn]],[1]analyte_order!$C:$C,[1]analyte_order!$E:$E)</f>
        <v>24</v>
      </c>
      <c r="I473">
        <v>0.14599999999999999</v>
      </c>
    </row>
    <row r="474" spans="1:9" x14ac:dyDescent="0.3">
      <c r="A474" t="s">
        <v>46</v>
      </c>
      <c r="B474" s="1">
        <v>44393</v>
      </c>
      <c r="C474" s="1" t="str">
        <f t="shared" si="7"/>
        <v>21197</v>
      </c>
      <c r="D474" t="s">
        <v>33</v>
      </c>
      <c r="E474" t="s">
        <v>39</v>
      </c>
      <c r="F474" t="s">
        <v>60</v>
      </c>
      <c r="G474" t="str">
        <f>_xlfn.XLOOKUP(Table1_1[[#This Row],[Parameter]],[1]analyte_order!$B:$B,[1]analyte_order!$C:$C)</f>
        <v>754-91-6</v>
      </c>
      <c r="H474">
        <f>_xlfn.XLOOKUP(Table1_1[[#This Row],[CAS_rn]],[1]analyte_order!$C:$C,[1]analyte_order!$E:$E)</f>
        <v>28</v>
      </c>
      <c r="I474">
        <v>0.14099999999999999</v>
      </c>
    </row>
    <row r="475" spans="1:9" x14ac:dyDescent="0.3">
      <c r="A475" t="s">
        <v>46</v>
      </c>
      <c r="B475" s="1">
        <v>44393</v>
      </c>
      <c r="C475" s="1" t="str">
        <f t="shared" si="7"/>
        <v>21197</v>
      </c>
      <c r="D475" t="s">
        <v>33</v>
      </c>
      <c r="E475" t="s">
        <v>39</v>
      </c>
      <c r="F475" t="s">
        <v>58</v>
      </c>
      <c r="G475" t="str">
        <f>_xlfn.XLOOKUP(Table1_1[[#This Row],[Parameter]],[1]analyte_order!$B:$B,[1]analyte_order!$C:$C)</f>
        <v>31506-32-8</v>
      </c>
      <c r="H475">
        <f>_xlfn.XLOOKUP(Table1_1[[#This Row],[CAS_rn]],[1]analyte_order!$C:$C,[1]analyte_order!$E:$E)</f>
        <v>30</v>
      </c>
      <c r="I475">
        <v>0.02</v>
      </c>
    </row>
    <row r="476" spans="1:9" x14ac:dyDescent="0.3">
      <c r="A476" t="s">
        <v>46</v>
      </c>
      <c r="B476" s="1">
        <v>44393</v>
      </c>
      <c r="C476" s="1" t="str">
        <f t="shared" si="7"/>
        <v>21197</v>
      </c>
      <c r="D476" t="s">
        <v>33</v>
      </c>
      <c r="E476" t="s">
        <v>39</v>
      </c>
      <c r="F476" t="s">
        <v>59</v>
      </c>
      <c r="G476" t="str">
        <f>_xlfn.XLOOKUP(Table1_1[[#This Row],[Parameter]],[1]analyte_order!$B:$B,[1]analyte_order!$C:$C)</f>
        <v>2355-31-9</v>
      </c>
      <c r="H476">
        <f>_xlfn.XLOOKUP(Table1_1[[#This Row],[CAS_rn]],[1]analyte_order!$C:$C,[1]analyte_order!$E:$E)</f>
        <v>26</v>
      </c>
      <c r="I476">
        <v>0.02</v>
      </c>
    </row>
    <row r="477" spans="1:9" x14ac:dyDescent="0.3">
      <c r="A477" t="s">
        <v>46</v>
      </c>
      <c r="B477" s="1">
        <v>44393</v>
      </c>
      <c r="C477" s="1" t="str">
        <f t="shared" si="7"/>
        <v>21197</v>
      </c>
      <c r="D477" t="s">
        <v>33</v>
      </c>
      <c r="E477" t="s">
        <v>39</v>
      </c>
      <c r="F477" t="s">
        <v>57</v>
      </c>
      <c r="G477" t="str">
        <f>_xlfn.XLOOKUP(Table1_1[[#This Row],[Parameter]],[1]analyte_order!$B:$B,[1]analyte_order!$C:$C)</f>
        <v>2991-50-6</v>
      </c>
      <c r="H477">
        <f>_xlfn.XLOOKUP(Table1_1[[#This Row],[CAS_rn]],[1]analyte_order!$C:$C,[1]analyte_order!$E:$E)</f>
        <v>27</v>
      </c>
      <c r="I477">
        <v>0.02</v>
      </c>
    </row>
    <row r="478" spans="1:9" x14ac:dyDescent="0.3">
      <c r="A478" t="s">
        <v>46</v>
      </c>
      <c r="B478" s="1">
        <v>44393</v>
      </c>
      <c r="C478" s="1" t="str">
        <f t="shared" si="7"/>
        <v>21197</v>
      </c>
      <c r="D478" t="s">
        <v>33</v>
      </c>
      <c r="E478" t="s">
        <v>39</v>
      </c>
      <c r="F478" t="s">
        <v>24</v>
      </c>
      <c r="G478" t="str">
        <f>_xlfn.XLOOKUP(Table1_1[[#This Row],[Parameter]],[1]analyte_order!$B:$B,[1]analyte_order!$C:$C)</f>
        <v>919005-14-4</v>
      </c>
      <c r="H478">
        <f>_xlfn.XLOOKUP(Table1_1[[#This Row],[CAS_rn]],[1]analyte_order!$C:$C,[1]analyte_order!$E:$E)</f>
        <v>35</v>
      </c>
      <c r="I478">
        <v>0.08</v>
      </c>
    </row>
    <row r="479" spans="1:9" x14ac:dyDescent="0.3">
      <c r="A479" t="s">
        <v>46</v>
      </c>
      <c r="B479" s="1">
        <v>44393</v>
      </c>
      <c r="C479" s="1" t="str">
        <f t="shared" si="7"/>
        <v>21197</v>
      </c>
      <c r="D479" t="s">
        <v>33</v>
      </c>
      <c r="E479" t="s">
        <v>39</v>
      </c>
      <c r="F479" t="s">
        <v>52</v>
      </c>
      <c r="G479" t="str">
        <f>_xlfn.XLOOKUP(Table1_1[[#This Row],[Parameter]],[1]analyte_order!$B:$B,[1]analyte_order!$C:$C)</f>
        <v>356-02-5</v>
      </c>
      <c r="H479">
        <f>_xlfn.XLOOKUP(Table1_1[[#This Row],[CAS_rn]],[1]analyte_order!$C:$C,[1]analyte_order!$E:$E)</f>
        <v>38</v>
      </c>
      <c r="I479">
        <v>0.08</v>
      </c>
    </row>
    <row r="480" spans="1:9" x14ac:dyDescent="0.3">
      <c r="A480" t="s">
        <v>46</v>
      </c>
      <c r="B480" s="1">
        <v>44393</v>
      </c>
      <c r="C480" s="1" t="str">
        <f t="shared" si="7"/>
        <v>21197</v>
      </c>
      <c r="D480" t="s">
        <v>33</v>
      </c>
      <c r="E480" t="s">
        <v>39</v>
      </c>
      <c r="F480" t="s">
        <v>53</v>
      </c>
      <c r="G480" t="str">
        <f>_xlfn.XLOOKUP(Table1_1[[#This Row],[Parameter]],[1]analyte_order!$B:$B,[1]analyte_order!$C:$C)</f>
        <v>914637-49-3</v>
      </c>
      <c r="H480">
        <f>_xlfn.XLOOKUP(Table1_1[[#This Row],[CAS_rn]],[1]analyte_order!$C:$C,[1]analyte_order!$E:$E)</f>
        <v>39</v>
      </c>
      <c r="I480">
        <v>0.5</v>
      </c>
    </row>
    <row r="481" spans="1:9" x14ac:dyDescent="0.3">
      <c r="A481" t="s">
        <v>46</v>
      </c>
      <c r="B481" s="1">
        <v>44393</v>
      </c>
      <c r="C481" s="1" t="str">
        <f t="shared" si="7"/>
        <v>21197</v>
      </c>
      <c r="D481" t="s">
        <v>33</v>
      </c>
      <c r="E481" t="s">
        <v>39</v>
      </c>
      <c r="F481" t="s">
        <v>54</v>
      </c>
      <c r="G481" t="str">
        <f>_xlfn.XLOOKUP(Table1_1[[#This Row],[Parameter]],[1]analyte_order!$B:$B,[1]analyte_order!$C:$C)</f>
        <v>812-70-4</v>
      </c>
      <c r="H481">
        <f>_xlfn.XLOOKUP(Table1_1[[#This Row],[CAS_rn]],[1]analyte_order!$C:$C,[1]analyte_order!$E:$E)</f>
        <v>40</v>
      </c>
      <c r="I481">
        <v>0.5</v>
      </c>
    </row>
    <row r="482" spans="1:9" x14ac:dyDescent="0.3">
      <c r="A482" s="2" t="s">
        <v>61</v>
      </c>
      <c r="B482" s="1">
        <v>44285</v>
      </c>
      <c r="C482" s="1" t="str">
        <f t="shared" si="7"/>
        <v>21089</v>
      </c>
      <c r="D482" t="s">
        <v>26</v>
      </c>
      <c r="E482" s="2" t="s">
        <v>27</v>
      </c>
      <c r="F482" s="2" t="str">
        <f>_xlfn.XLOOKUP(Table1_1[[#This Row],[CAS_rn]],[1]analyte_order!$C:$C,[1]analyte_order!$B:$B)</f>
        <v>PFBA</v>
      </c>
      <c r="G482" t="s">
        <v>109</v>
      </c>
      <c r="H482" s="2">
        <f>_xlfn.XLOOKUP(Table1_1[[#This Row],[CAS_rn]],[1]analyte_order!$C:$C,[1]analyte_order!$E:$E)</f>
        <v>1</v>
      </c>
      <c r="I482">
        <v>0.2</v>
      </c>
    </row>
    <row r="483" spans="1:9" x14ac:dyDescent="0.3">
      <c r="A483" s="2" t="s">
        <v>61</v>
      </c>
      <c r="B483" s="1">
        <v>44285</v>
      </c>
      <c r="C483" s="1" t="str">
        <f t="shared" si="7"/>
        <v>21089</v>
      </c>
      <c r="D483" t="s">
        <v>26</v>
      </c>
      <c r="E483" s="2" t="s">
        <v>27</v>
      </c>
      <c r="F483" s="2" t="str">
        <f>_xlfn.XLOOKUP(Table1_1[[#This Row],[CAS_rn]],[1]analyte_order!$C:$C,[1]analyte_order!$B:$B)</f>
        <v>PFPeA</v>
      </c>
      <c r="G483" t="s">
        <v>110</v>
      </c>
      <c r="H483" s="2">
        <f>_xlfn.XLOOKUP(Table1_1[[#This Row],[CAS_rn]],[1]analyte_order!$C:$C,[1]analyte_order!$E:$E)</f>
        <v>2</v>
      </c>
      <c r="I483">
        <v>0.1</v>
      </c>
    </row>
    <row r="484" spans="1:9" x14ac:dyDescent="0.3">
      <c r="A484" s="2" t="s">
        <v>61</v>
      </c>
      <c r="B484" s="1">
        <v>44285</v>
      </c>
      <c r="C484" s="1" t="str">
        <f t="shared" si="7"/>
        <v>21089</v>
      </c>
      <c r="D484" t="s">
        <v>26</v>
      </c>
      <c r="E484" s="2" t="s">
        <v>27</v>
      </c>
      <c r="F484" s="2" t="str">
        <f>_xlfn.XLOOKUP(Table1_1[[#This Row],[CAS_rn]],[1]analyte_order!$C:$C,[1]analyte_order!$B:$B)</f>
        <v>PFHxA</v>
      </c>
      <c r="G484" t="s">
        <v>111</v>
      </c>
      <c r="H484" s="2">
        <f>_xlfn.XLOOKUP(Table1_1[[#This Row],[CAS_rn]],[1]analyte_order!$C:$C,[1]analyte_order!$E:$E)</f>
        <v>3</v>
      </c>
      <c r="I484">
        <v>0.16</v>
      </c>
    </row>
    <row r="485" spans="1:9" x14ac:dyDescent="0.3">
      <c r="A485" s="2" t="s">
        <v>61</v>
      </c>
      <c r="B485" s="1">
        <v>44285</v>
      </c>
      <c r="C485" s="1" t="str">
        <f t="shared" si="7"/>
        <v>21089</v>
      </c>
      <c r="D485" t="s">
        <v>26</v>
      </c>
      <c r="E485" s="2" t="s">
        <v>27</v>
      </c>
      <c r="F485" s="2" t="str">
        <f>_xlfn.XLOOKUP(Table1_1[[#This Row],[CAS_rn]],[1]analyte_order!$C:$C,[1]analyte_order!$B:$B)</f>
        <v>PFHpA</v>
      </c>
      <c r="G485" t="s">
        <v>112</v>
      </c>
      <c r="H485" s="2">
        <f>_xlfn.XLOOKUP(Table1_1[[#This Row],[CAS_rn]],[1]analyte_order!$C:$C,[1]analyte_order!$E:$E)</f>
        <v>4</v>
      </c>
      <c r="I485">
        <v>0.09</v>
      </c>
    </row>
    <row r="486" spans="1:9" x14ac:dyDescent="0.3">
      <c r="A486" s="2" t="s">
        <v>61</v>
      </c>
      <c r="B486" s="1">
        <v>44285</v>
      </c>
      <c r="C486" s="1" t="str">
        <f t="shared" si="7"/>
        <v>21089</v>
      </c>
      <c r="D486" t="s">
        <v>26</v>
      </c>
      <c r="E486" s="2" t="s">
        <v>27</v>
      </c>
      <c r="F486" s="2" t="str">
        <f>_xlfn.XLOOKUP(Table1_1[[#This Row],[CAS_rn]],[1]analyte_order!$C:$C,[1]analyte_order!$B:$B)</f>
        <v>PFOA</v>
      </c>
      <c r="G486" t="s">
        <v>113</v>
      </c>
      <c r="H486" s="2">
        <f>_xlfn.XLOOKUP(Table1_1[[#This Row],[CAS_rn]],[1]analyte_order!$C:$C,[1]analyte_order!$E:$E)</f>
        <v>5</v>
      </c>
      <c r="I486">
        <v>0.4</v>
      </c>
    </row>
    <row r="487" spans="1:9" x14ac:dyDescent="0.3">
      <c r="A487" s="2" t="s">
        <v>61</v>
      </c>
      <c r="B487" s="1">
        <v>44285</v>
      </c>
      <c r="C487" s="1" t="str">
        <f t="shared" si="7"/>
        <v>21089</v>
      </c>
      <c r="D487" t="s">
        <v>26</v>
      </c>
      <c r="E487" s="2" t="s">
        <v>27</v>
      </c>
      <c r="F487" s="2" t="str">
        <f>_xlfn.XLOOKUP(Table1_1[[#This Row],[CAS_rn]],[1]analyte_order!$C:$C,[1]analyte_order!$B:$B)</f>
        <v>PFNA</v>
      </c>
      <c r="G487" t="s">
        <v>114</v>
      </c>
      <c r="H487" s="2">
        <f>_xlfn.XLOOKUP(Table1_1[[#This Row],[CAS_rn]],[1]analyte_order!$C:$C,[1]analyte_order!$E:$E)</f>
        <v>6</v>
      </c>
      <c r="I487">
        <v>0.05</v>
      </c>
    </row>
    <row r="488" spans="1:9" x14ac:dyDescent="0.3">
      <c r="A488" s="2" t="s">
        <v>61</v>
      </c>
      <c r="B488" s="1">
        <v>44285</v>
      </c>
      <c r="C488" s="1" t="str">
        <f t="shared" si="7"/>
        <v>21089</v>
      </c>
      <c r="D488" t="s">
        <v>26</v>
      </c>
      <c r="E488" s="2" t="s">
        <v>27</v>
      </c>
      <c r="F488" s="2" t="str">
        <f>_xlfn.XLOOKUP(Table1_1[[#This Row],[CAS_rn]],[1]analyte_order!$C:$C,[1]analyte_order!$B:$B)</f>
        <v>PFDA</v>
      </c>
      <c r="G488" t="s">
        <v>115</v>
      </c>
      <c r="H488" s="2">
        <f>_xlfn.XLOOKUP(Table1_1[[#This Row],[CAS_rn]],[1]analyte_order!$C:$C,[1]analyte_order!$E:$E)</f>
        <v>7</v>
      </c>
      <c r="I488">
        <v>0.05</v>
      </c>
    </row>
    <row r="489" spans="1:9" x14ac:dyDescent="0.3">
      <c r="A489" s="2" t="s">
        <v>61</v>
      </c>
      <c r="B489" s="1">
        <v>44285</v>
      </c>
      <c r="C489" s="1" t="str">
        <f t="shared" si="7"/>
        <v>21089</v>
      </c>
      <c r="D489" t="s">
        <v>26</v>
      </c>
      <c r="E489" s="2" t="s">
        <v>27</v>
      </c>
      <c r="F489" s="2" t="str">
        <f>_xlfn.XLOOKUP(Table1_1[[#This Row],[CAS_rn]],[1]analyte_order!$C:$C,[1]analyte_order!$B:$B)</f>
        <v>PFUnA</v>
      </c>
      <c r="G489" t="s">
        <v>116</v>
      </c>
      <c r="H489" s="2">
        <f>_xlfn.XLOOKUP(Table1_1[[#This Row],[CAS_rn]],[1]analyte_order!$C:$C,[1]analyte_order!$E:$E)</f>
        <v>8</v>
      </c>
      <c r="I489">
        <v>0.05</v>
      </c>
    </row>
    <row r="490" spans="1:9" x14ac:dyDescent="0.3">
      <c r="A490" s="2" t="s">
        <v>61</v>
      </c>
      <c r="B490" s="1">
        <v>44285</v>
      </c>
      <c r="C490" s="1" t="str">
        <f t="shared" si="7"/>
        <v>21089</v>
      </c>
      <c r="D490" t="s">
        <v>26</v>
      </c>
      <c r="E490" s="2" t="s">
        <v>27</v>
      </c>
      <c r="F490" s="2" t="str">
        <f>_xlfn.XLOOKUP(Table1_1[[#This Row],[CAS_rn]],[1]analyte_order!$C:$C,[1]analyte_order!$B:$B)</f>
        <v>PFDoA</v>
      </c>
      <c r="G490" t="s">
        <v>117</v>
      </c>
      <c r="H490" s="2">
        <f>_xlfn.XLOOKUP(Table1_1[[#This Row],[CAS_rn]],[1]analyte_order!$C:$C,[1]analyte_order!$E:$E)</f>
        <v>9</v>
      </c>
      <c r="I490">
        <v>0.05</v>
      </c>
    </row>
    <row r="491" spans="1:9" x14ac:dyDescent="0.3">
      <c r="A491" s="2" t="s">
        <v>61</v>
      </c>
      <c r="B491" s="1">
        <v>44285</v>
      </c>
      <c r="C491" s="1" t="str">
        <f t="shared" si="7"/>
        <v>21089</v>
      </c>
      <c r="D491" t="s">
        <v>26</v>
      </c>
      <c r="E491" s="2" t="s">
        <v>27</v>
      </c>
      <c r="F491" s="2" t="str">
        <f>_xlfn.XLOOKUP(Table1_1[[#This Row],[CAS_rn]],[1]analyte_order!$C:$C,[1]analyte_order!$B:$B)</f>
        <v>PFTrDA</v>
      </c>
      <c r="G491" t="s">
        <v>118</v>
      </c>
      <c r="H491" s="2">
        <f>_xlfn.XLOOKUP(Table1_1[[#This Row],[CAS_rn]],[1]analyte_order!$C:$C,[1]analyte_order!$E:$E)</f>
        <v>10</v>
      </c>
      <c r="I491">
        <v>0.05</v>
      </c>
    </row>
    <row r="492" spans="1:9" x14ac:dyDescent="0.3">
      <c r="A492" s="2" t="s">
        <v>61</v>
      </c>
      <c r="B492" s="1">
        <v>44285</v>
      </c>
      <c r="C492" s="1" t="str">
        <f t="shared" si="7"/>
        <v>21089</v>
      </c>
      <c r="D492" t="s">
        <v>26</v>
      </c>
      <c r="E492" s="2" t="s">
        <v>27</v>
      </c>
      <c r="F492" s="2" t="str">
        <f>_xlfn.XLOOKUP(Table1_1[[#This Row],[CAS_rn]],[1]analyte_order!$C:$C,[1]analyte_order!$B:$B)</f>
        <v>PFTeDA</v>
      </c>
      <c r="G492" t="s">
        <v>119</v>
      </c>
      <c r="H492" s="2">
        <f>_xlfn.XLOOKUP(Table1_1[[#This Row],[CAS_rn]],[1]analyte_order!$C:$C,[1]analyte_order!$E:$E)</f>
        <v>11</v>
      </c>
      <c r="I492">
        <v>0.05</v>
      </c>
    </row>
    <row r="493" spans="1:9" x14ac:dyDescent="0.3">
      <c r="A493" s="2" t="s">
        <v>61</v>
      </c>
      <c r="B493" s="1">
        <v>44285</v>
      </c>
      <c r="C493" s="1" t="str">
        <f t="shared" si="7"/>
        <v>21089</v>
      </c>
      <c r="D493" t="s">
        <v>26</v>
      </c>
      <c r="E493" s="2" t="s">
        <v>27</v>
      </c>
      <c r="F493" s="2" t="str">
        <f>_xlfn.XLOOKUP(Table1_1[[#This Row],[CAS_rn]],[1]analyte_order!$C:$C,[1]analyte_order!$B:$B)</f>
        <v>PFBS</v>
      </c>
      <c r="G493" t="s">
        <v>120</v>
      </c>
      <c r="H493" s="2">
        <f>_xlfn.XLOOKUP(Table1_1[[#This Row],[CAS_rn]],[1]analyte_order!$C:$C,[1]analyte_order!$E:$E)</f>
        <v>14</v>
      </c>
      <c r="I493">
        <v>0.05</v>
      </c>
    </row>
    <row r="494" spans="1:9" x14ac:dyDescent="0.3">
      <c r="A494" s="2" t="s">
        <v>61</v>
      </c>
      <c r="B494" s="1">
        <v>44285</v>
      </c>
      <c r="C494" s="1" t="str">
        <f t="shared" si="7"/>
        <v>21089</v>
      </c>
      <c r="D494" t="s">
        <v>26</v>
      </c>
      <c r="E494" s="2" t="s">
        <v>27</v>
      </c>
      <c r="F494" s="2" t="str">
        <f>_xlfn.XLOOKUP(Table1_1[[#This Row],[CAS_rn]],[1]analyte_order!$C:$C,[1]analyte_order!$B:$B)</f>
        <v>PFPeS</v>
      </c>
      <c r="G494" t="s">
        <v>121</v>
      </c>
      <c r="H494" s="2">
        <f>_xlfn.XLOOKUP(Table1_1[[#This Row],[CAS_rn]],[1]analyte_order!$C:$C,[1]analyte_order!$E:$E)</f>
        <v>15</v>
      </c>
      <c r="I494">
        <v>0.05</v>
      </c>
    </row>
    <row r="495" spans="1:9" x14ac:dyDescent="0.3">
      <c r="A495" s="2" t="s">
        <v>61</v>
      </c>
      <c r="B495" s="1">
        <v>44285</v>
      </c>
      <c r="C495" s="1" t="str">
        <f t="shared" si="7"/>
        <v>21089</v>
      </c>
      <c r="D495" t="s">
        <v>26</v>
      </c>
      <c r="E495" s="2" t="s">
        <v>27</v>
      </c>
      <c r="F495" s="2" t="str">
        <f>_xlfn.XLOOKUP(Table1_1[[#This Row],[CAS_rn]],[1]analyte_order!$C:$C,[1]analyte_order!$B:$B)</f>
        <v>PFHxS</v>
      </c>
      <c r="G495" t="s">
        <v>122</v>
      </c>
      <c r="H495" s="2">
        <f>_xlfn.XLOOKUP(Table1_1[[#This Row],[CAS_rn]],[1]analyte_order!$C:$C,[1]analyte_order!$E:$E)</f>
        <v>16</v>
      </c>
      <c r="I495">
        <v>0.34</v>
      </c>
    </row>
    <row r="496" spans="1:9" x14ac:dyDescent="0.3">
      <c r="A496" s="2" t="s">
        <v>61</v>
      </c>
      <c r="B496" s="1">
        <v>44285</v>
      </c>
      <c r="C496" s="1" t="str">
        <f t="shared" si="7"/>
        <v>21089</v>
      </c>
      <c r="D496" t="s">
        <v>26</v>
      </c>
      <c r="E496" s="2" t="s">
        <v>27</v>
      </c>
      <c r="F496" s="2" t="str">
        <f>_xlfn.XLOOKUP(Table1_1[[#This Row],[CAS_rn]],[1]analyte_order!$C:$C,[1]analyte_order!$B:$B)</f>
        <v>PFHpS</v>
      </c>
      <c r="G496" t="s">
        <v>123</v>
      </c>
      <c r="H496" s="2">
        <f>_xlfn.XLOOKUP(Table1_1[[#This Row],[CAS_rn]],[1]analyte_order!$C:$C,[1]analyte_order!$E:$E)</f>
        <v>17</v>
      </c>
      <c r="I496">
        <v>0.05</v>
      </c>
    </row>
    <row r="497" spans="1:9" x14ac:dyDescent="0.3">
      <c r="A497" s="2" t="s">
        <v>61</v>
      </c>
      <c r="B497" s="1">
        <v>44285</v>
      </c>
      <c r="C497" s="1" t="str">
        <f t="shared" si="7"/>
        <v>21089</v>
      </c>
      <c r="D497" t="s">
        <v>26</v>
      </c>
      <c r="E497" s="2" t="s">
        <v>27</v>
      </c>
      <c r="F497" s="2" t="str">
        <f>_xlfn.XLOOKUP(Table1_1[[#This Row],[CAS_rn]],[1]analyte_order!$C:$C,[1]analyte_order!$B:$B)</f>
        <v>PFOS</v>
      </c>
      <c r="G497" t="s">
        <v>124</v>
      </c>
      <c r="H497" s="2">
        <f>_xlfn.XLOOKUP(Table1_1[[#This Row],[CAS_rn]],[1]analyte_order!$C:$C,[1]analyte_order!$E:$E)</f>
        <v>18</v>
      </c>
      <c r="I497">
        <v>0.94</v>
      </c>
    </row>
    <row r="498" spans="1:9" x14ac:dyDescent="0.3">
      <c r="A498" s="2" t="s">
        <v>61</v>
      </c>
      <c r="B498" s="1">
        <v>44285</v>
      </c>
      <c r="C498" s="1" t="str">
        <f t="shared" si="7"/>
        <v>21089</v>
      </c>
      <c r="D498" t="s">
        <v>26</v>
      </c>
      <c r="E498" s="2" t="s">
        <v>27</v>
      </c>
      <c r="F498" s="2" t="str">
        <f>_xlfn.XLOOKUP(Table1_1[[#This Row],[CAS_rn]],[1]analyte_order!$C:$C,[1]analyte_order!$B:$B)</f>
        <v>PFNS</v>
      </c>
      <c r="G498" t="s">
        <v>125</v>
      </c>
      <c r="H498" s="2">
        <f>_xlfn.XLOOKUP(Table1_1[[#This Row],[CAS_rn]],[1]analyte_order!$C:$C,[1]analyte_order!$E:$E)</f>
        <v>19</v>
      </c>
      <c r="I498">
        <v>0.05</v>
      </c>
    </row>
    <row r="499" spans="1:9" x14ac:dyDescent="0.3">
      <c r="A499" s="2" t="s">
        <v>61</v>
      </c>
      <c r="B499" s="1">
        <v>44285</v>
      </c>
      <c r="C499" s="1" t="str">
        <f t="shared" si="7"/>
        <v>21089</v>
      </c>
      <c r="D499" t="s">
        <v>26</v>
      </c>
      <c r="E499" s="2" t="s">
        <v>27</v>
      </c>
      <c r="F499" s="2" t="str">
        <f>_xlfn.XLOOKUP(Table1_1[[#This Row],[CAS_rn]],[1]analyte_order!$C:$C,[1]analyte_order!$B:$B)</f>
        <v>PFDoS</v>
      </c>
      <c r="G499" t="s">
        <v>126</v>
      </c>
      <c r="H499" s="2">
        <f>_xlfn.XLOOKUP(Table1_1[[#This Row],[CAS_rn]],[1]analyte_order!$C:$C,[1]analyte_order!$E:$E)</f>
        <v>21</v>
      </c>
      <c r="I499">
        <v>0.05</v>
      </c>
    </row>
    <row r="500" spans="1:9" x14ac:dyDescent="0.3">
      <c r="A500" s="2" t="s">
        <v>61</v>
      </c>
      <c r="B500" s="1">
        <v>44285</v>
      </c>
      <c r="C500" s="1" t="str">
        <f t="shared" si="7"/>
        <v>21089</v>
      </c>
      <c r="D500" t="s">
        <v>26</v>
      </c>
      <c r="E500" s="2" t="s">
        <v>27</v>
      </c>
      <c r="F500" s="2" t="str">
        <f>_xlfn.XLOOKUP(Table1_1[[#This Row],[CAS_rn]],[1]analyte_order!$C:$C,[1]analyte_order!$B:$B)</f>
        <v>4:2 FTS</v>
      </c>
      <c r="G500" t="s">
        <v>127</v>
      </c>
      <c r="H500" s="2">
        <f>_xlfn.XLOOKUP(Table1_1[[#This Row],[CAS_rn]],[1]analyte_order!$C:$C,[1]analyte_order!$E:$E)</f>
        <v>22</v>
      </c>
      <c r="I500">
        <v>0.2</v>
      </c>
    </row>
    <row r="501" spans="1:9" x14ac:dyDescent="0.3">
      <c r="A501" s="2" t="s">
        <v>61</v>
      </c>
      <c r="B501" s="1">
        <v>44285</v>
      </c>
      <c r="C501" s="1" t="str">
        <f t="shared" si="7"/>
        <v>21089</v>
      </c>
      <c r="D501" t="s">
        <v>26</v>
      </c>
      <c r="E501" s="2" t="s">
        <v>27</v>
      </c>
      <c r="F501" s="2" t="str">
        <f>_xlfn.XLOOKUP(Table1_1[[#This Row],[CAS_rn]],[1]analyte_order!$C:$C,[1]analyte_order!$B:$B)</f>
        <v>6:2 FTS</v>
      </c>
      <c r="G501" t="s">
        <v>128</v>
      </c>
      <c r="H501" s="2">
        <f>_xlfn.XLOOKUP(Table1_1[[#This Row],[CAS_rn]],[1]analyte_order!$C:$C,[1]analyte_order!$E:$E)</f>
        <v>23</v>
      </c>
      <c r="I501">
        <v>0.4</v>
      </c>
    </row>
    <row r="502" spans="1:9" x14ac:dyDescent="0.3">
      <c r="A502" s="2" t="s">
        <v>61</v>
      </c>
      <c r="B502" s="1">
        <v>44285</v>
      </c>
      <c r="C502" s="1" t="str">
        <f t="shared" si="7"/>
        <v>21089</v>
      </c>
      <c r="D502" t="s">
        <v>26</v>
      </c>
      <c r="E502" s="2" t="s">
        <v>27</v>
      </c>
      <c r="F502" s="2" t="str">
        <f>_xlfn.XLOOKUP(Table1_1[[#This Row],[CAS_rn]],[1]analyte_order!$C:$C,[1]analyte_order!$B:$B)</f>
        <v>8:2 FTS</v>
      </c>
      <c r="G502" t="s">
        <v>129</v>
      </c>
      <c r="H502" s="2">
        <f>_xlfn.XLOOKUP(Table1_1[[#This Row],[CAS_rn]],[1]analyte_order!$C:$C,[1]analyte_order!$E:$E)</f>
        <v>24</v>
      </c>
      <c r="I502">
        <v>0.4</v>
      </c>
    </row>
    <row r="503" spans="1:9" x14ac:dyDescent="0.3">
      <c r="A503" s="2" t="s">
        <v>61</v>
      </c>
      <c r="B503" s="1">
        <v>44285</v>
      </c>
      <c r="C503" s="1" t="str">
        <f t="shared" si="7"/>
        <v>21089</v>
      </c>
      <c r="D503" t="s">
        <v>26</v>
      </c>
      <c r="E503" s="2" t="s">
        <v>27</v>
      </c>
      <c r="F503" s="2" t="str">
        <f>_xlfn.XLOOKUP(Table1_1[[#This Row],[CAS_rn]],[1]analyte_order!$C:$C,[1]analyte_order!$B:$B)</f>
        <v>FOSA</v>
      </c>
      <c r="G503" t="s">
        <v>130</v>
      </c>
      <c r="H503" s="2">
        <f>_xlfn.XLOOKUP(Table1_1[[#This Row],[CAS_rn]],[1]analyte_order!$C:$C,[1]analyte_order!$E:$E)</f>
        <v>28</v>
      </c>
      <c r="I503">
        <v>0.09</v>
      </c>
    </row>
    <row r="504" spans="1:9" x14ac:dyDescent="0.3">
      <c r="A504" s="2" t="s">
        <v>61</v>
      </c>
      <c r="B504" s="1">
        <v>44285</v>
      </c>
      <c r="C504" s="1" t="str">
        <f t="shared" si="7"/>
        <v>21089</v>
      </c>
      <c r="D504" t="s">
        <v>26</v>
      </c>
      <c r="E504" s="2" t="s">
        <v>27</v>
      </c>
      <c r="F504" s="2" t="str">
        <f>_xlfn.XLOOKUP(Table1_1[[#This Row],[CAS_rn]],[1]analyte_order!$C:$C,[1]analyte_order!$B:$B)</f>
        <v>N-MeFOSA</v>
      </c>
      <c r="G504" t="s">
        <v>131</v>
      </c>
      <c r="H504" s="2">
        <f>_xlfn.XLOOKUP(Table1_1[[#This Row],[CAS_rn]],[1]analyte_order!$C:$C,[1]analyte_order!$E:$E)</f>
        <v>30</v>
      </c>
      <c r="I504">
        <v>0.05</v>
      </c>
    </row>
    <row r="505" spans="1:9" x14ac:dyDescent="0.3">
      <c r="A505" s="2" t="s">
        <v>61</v>
      </c>
      <c r="B505" s="1">
        <v>44285</v>
      </c>
      <c r="C505" s="1" t="str">
        <f t="shared" si="7"/>
        <v>21089</v>
      </c>
      <c r="D505" t="s">
        <v>26</v>
      </c>
      <c r="E505" s="2" t="s">
        <v>27</v>
      </c>
      <c r="F505" s="2" t="str">
        <f>_xlfn.XLOOKUP(Table1_1[[#This Row],[CAS_rn]],[1]analyte_order!$C:$C,[1]analyte_order!$B:$B)</f>
        <v>N-MeFOSAA</v>
      </c>
      <c r="G505" t="s">
        <v>132</v>
      </c>
      <c r="H505" s="2">
        <f>_xlfn.XLOOKUP(Table1_1[[#This Row],[CAS_rn]],[1]analyte_order!$C:$C,[1]analyte_order!$E:$E)</f>
        <v>26</v>
      </c>
      <c r="I505">
        <v>0.05</v>
      </c>
    </row>
    <row r="506" spans="1:9" x14ac:dyDescent="0.3">
      <c r="A506" s="2" t="s">
        <v>61</v>
      </c>
      <c r="B506" s="1">
        <v>44285</v>
      </c>
      <c r="C506" s="1" t="str">
        <f t="shared" si="7"/>
        <v>21089</v>
      </c>
      <c r="D506" t="s">
        <v>26</v>
      </c>
      <c r="E506" s="2" t="s">
        <v>27</v>
      </c>
      <c r="F506" s="2" t="str">
        <f>_xlfn.XLOOKUP(Table1_1[[#This Row],[CAS_rn]],[1]analyte_order!$C:$C,[1]analyte_order!$B:$B)</f>
        <v>N-EtFOSA</v>
      </c>
      <c r="G506" t="s">
        <v>133</v>
      </c>
      <c r="H506" s="2">
        <f>_xlfn.XLOOKUP(Table1_1[[#This Row],[CAS_rn]],[1]analyte_order!$C:$C,[1]analyte_order!$E:$E)</f>
        <v>31</v>
      </c>
      <c r="I506">
        <v>0.05</v>
      </c>
    </row>
    <row r="507" spans="1:9" x14ac:dyDescent="0.3">
      <c r="A507" s="2" t="s">
        <v>61</v>
      </c>
      <c r="B507" s="1">
        <v>44285</v>
      </c>
      <c r="C507" s="1" t="str">
        <f t="shared" si="7"/>
        <v>21089</v>
      </c>
      <c r="D507" t="s">
        <v>26</v>
      </c>
      <c r="E507" s="2" t="s">
        <v>27</v>
      </c>
      <c r="F507" s="2" t="str">
        <f>_xlfn.XLOOKUP(Table1_1[[#This Row],[CAS_rn]],[1]analyte_order!$C:$C,[1]analyte_order!$B:$B)</f>
        <v>N-EtFOSAA</v>
      </c>
      <c r="G507" t="s">
        <v>134</v>
      </c>
      <c r="H507" s="2">
        <f>_xlfn.XLOOKUP(Table1_1[[#This Row],[CAS_rn]],[1]analyte_order!$C:$C,[1]analyte_order!$E:$E)</f>
        <v>27</v>
      </c>
      <c r="I507">
        <v>0.05</v>
      </c>
    </row>
    <row r="508" spans="1:9" x14ac:dyDescent="0.3">
      <c r="A508" s="2" t="s">
        <v>61</v>
      </c>
      <c r="B508" s="1">
        <v>44285</v>
      </c>
      <c r="C508" s="1" t="str">
        <f t="shared" si="7"/>
        <v>21089</v>
      </c>
      <c r="D508" t="s">
        <v>26</v>
      </c>
      <c r="E508" s="2" t="s">
        <v>27</v>
      </c>
      <c r="F508" s="2" t="str">
        <f>_xlfn.XLOOKUP(Table1_1[[#This Row],[CAS_rn]],[1]analyte_order!$C:$C,[1]analyte_order!$B:$B)</f>
        <v>N-MeFOSE</v>
      </c>
      <c r="G508" t="s">
        <v>135</v>
      </c>
      <c r="H508" s="2">
        <f>_xlfn.XLOOKUP(Table1_1[[#This Row],[CAS_rn]],[1]analyte_order!$C:$C,[1]analyte_order!$E:$E)</f>
        <v>32</v>
      </c>
      <c r="I508">
        <v>0.5</v>
      </c>
    </row>
    <row r="509" spans="1:9" x14ac:dyDescent="0.3">
      <c r="A509" s="2" t="s">
        <v>61</v>
      </c>
      <c r="B509" s="1">
        <v>44285</v>
      </c>
      <c r="C509" s="1" t="str">
        <f t="shared" si="7"/>
        <v>21089</v>
      </c>
      <c r="D509" t="s">
        <v>26</v>
      </c>
      <c r="E509" s="2" t="s">
        <v>27</v>
      </c>
      <c r="F509" s="2" t="str">
        <f>_xlfn.XLOOKUP(Table1_1[[#This Row],[CAS_rn]],[1]analyte_order!$C:$C,[1]analyte_order!$B:$B)</f>
        <v>N-EtFOSE</v>
      </c>
      <c r="G509" t="s">
        <v>136</v>
      </c>
      <c r="H509" s="2">
        <f>_xlfn.XLOOKUP(Table1_1[[#This Row],[CAS_rn]],[1]analyte_order!$C:$C,[1]analyte_order!$E:$E)</f>
        <v>33</v>
      </c>
      <c r="I509">
        <v>0.5</v>
      </c>
    </row>
    <row r="510" spans="1:9" x14ac:dyDescent="0.3">
      <c r="A510" s="2" t="s">
        <v>61</v>
      </c>
      <c r="B510" s="1">
        <v>44285</v>
      </c>
      <c r="C510" s="1" t="str">
        <f t="shared" si="7"/>
        <v>21089</v>
      </c>
      <c r="D510" t="s">
        <v>26</v>
      </c>
      <c r="E510" s="2" t="s">
        <v>27</v>
      </c>
      <c r="F510" s="2" t="str">
        <f>_xlfn.XLOOKUP(Table1_1[[#This Row],[CAS_rn]],[1]analyte_order!$C:$C,[1]analyte_order!$B:$B)</f>
        <v>HFPO-DA</v>
      </c>
      <c r="G510" t="s">
        <v>137</v>
      </c>
      <c r="H510" s="2">
        <f>_xlfn.XLOOKUP(Table1_1[[#This Row],[CAS_rn]],[1]analyte_order!$C:$C,[1]analyte_order!$E:$E)</f>
        <v>34</v>
      </c>
      <c r="I510">
        <v>0.3</v>
      </c>
    </row>
    <row r="511" spans="1:9" x14ac:dyDescent="0.3">
      <c r="A511" s="2" t="s">
        <v>61</v>
      </c>
      <c r="B511" s="1">
        <v>44285</v>
      </c>
      <c r="C511" s="1" t="str">
        <f t="shared" si="7"/>
        <v>21089</v>
      </c>
      <c r="D511" t="s">
        <v>26</v>
      </c>
      <c r="E511" s="2" t="s">
        <v>27</v>
      </c>
      <c r="F511" s="2" t="str">
        <f>_xlfn.XLOOKUP(Table1_1[[#This Row],[CAS_rn]],[1]analyte_order!$C:$C,[1]analyte_order!$B:$B)</f>
        <v>ADONA</v>
      </c>
      <c r="G511" t="s">
        <v>138</v>
      </c>
      <c r="H511" s="2">
        <f>_xlfn.XLOOKUP(Table1_1[[#This Row],[CAS_rn]],[1]analyte_order!$C:$C,[1]analyte_order!$E:$E)</f>
        <v>35</v>
      </c>
      <c r="I511">
        <v>0.2</v>
      </c>
    </row>
    <row r="512" spans="1:9" x14ac:dyDescent="0.3">
      <c r="A512" s="2" t="s">
        <v>61</v>
      </c>
      <c r="B512" s="1">
        <v>44285</v>
      </c>
      <c r="C512" s="1" t="str">
        <f t="shared" si="7"/>
        <v>21089</v>
      </c>
      <c r="D512" t="s">
        <v>26</v>
      </c>
      <c r="E512" s="2" t="s">
        <v>27</v>
      </c>
      <c r="F512" s="2" t="str">
        <f>_xlfn.XLOOKUP(Table1_1[[#This Row],[CAS_rn]],[1]analyte_order!$C:$C,[1]analyte_order!$B:$B)</f>
        <v>PFMBA</v>
      </c>
      <c r="G512" t="s">
        <v>139</v>
      </c>
      <c r="H512" s="2">
        <f>_xlfn.XLOOKUP(Table1_1[[#This Row],[CAS_rn]],[1]analyte_order!$C:$C,[1]analyte_order!$E:$E)</f>
        <v>48</v>
      </c>
      <c r="I512">
        <v>0.1</v>
      </c>
    </row>
    <row r="513" spans="1:9" x14ac:dyDescent="0.3">
      <c r="A513" s="2" t="s">
        <v>61</v>
      </c>
      <c r="B513" s="1">
        <v>44285</v>
      </c>
      <c r="C513" s="1" t="str">
        <f t="shared" si="7"/>
        <v>21089</v>
      </c>
      <c r="D513" t="s">
        <v>26</v>
      </c>
      <c r="E513" s="2" t="s">
        <v>27</v>
      </c>
      <c r="F513" s="2" t="str">
        <f>_xlfn.XLOOKUP(Table1_1[[#This Row],[CAS_rn]],[1]analyte_order!$C:$C,[1]analyte_order!$B:$B)</f>
        <v>NFDHA</v>
      </c>
      <c r="G513" t="s">
        <v>140</v>
      </c>
      <c r="H513" s="2">
        <f>_xlfn.XLOOKUP(Table1_1[[#This Row],[CAS_rn]],[1]analyte_order!$C:$C,[1]analyte_order!$E:$E)</f>
        <v>50</v>
      </c>
      <c r="I513">
        <v>0.1</v>
      </c>
    </row>
    <row r="514" spans="1:9" x14ac:dyDescent="0.3">
      <c r="A514" s="2" t="s">
        <v>61</v>
      </c>
      <c r="B514" s="1">
        <v>44285</v>
      </c>
      <c r="C514" s="1" t="str">
        <f t="shared" si="7"/>
        <v>21089</v>
      </c>
      <c r="D514" t="s">
        <v>26</v>
      </c>
      <c r="E514" s="2" t="s">
        <v>27</v>
      </c>
      <c r="F514" s="2" t="str">
        <f>_xlfn.XLOOKUP(Table1_1[[#This Row],[CAS_rn]],[1]analyte_order!$C:$C,[1]analyte_order!$B:$B)</f>
        <v>9Cl-PF3ONS</v>
      </c>
      <c r="G514" t="s">
        <v>141</v>
      </c>
      <c r="H514" s="2">
        <f>_xlfn.XLOOKUP(Table1_1[[#This Row],[CAS_rn]],[1]analyte_order!$C:$C,[1]analyte_order!$E:$E)</f>
        <v>36</v>
      </c>
      <c r="I514">
        <v>0.2</v>
      </c>
    </row>
    <row r="515" spans="1:9" x14ac:dyDescent="0.3">
      <c r="A515" s="2" t="s">
        <v>61</v>
      </c>
      <c r="B515" s="1">
        <v>44285</v>
      </c>
      <c r="C515" s="1" t="str">
        <f t="shared" ref="C515:C578" si="8">TEXT(B515,"yy")&amp;TEXT((B515-DATEVALUE("1/1/"&amp;TEXT(B515,"yy"))+1),"000")</f>
        <v>21089</v>
      </c>
      <c r="D515" t="s">
        <v>26</v>
      </c>
      <c r="E515" s="2" t="s">
        <v>27</v>
      </c>
      <c r="F515" s="2" t="str">
        <f>_xlfn.XLOOKUP(Table1_1[[#This Row],[CAS_rn]],[1]analyte_order!$C:$C,[1]analyte_order!$B:$B)</f>
        <v>11Cl-PF3OUdS</v>
      </c>
      <c r="G515" t="s">
        <v>142</v>
      </c>
      <c r="H515" s="2">
        <f>_xlfn.XLOOKUP(Table1_1[[#This Row],[CAS_rn]],[1]analyte_order!$C:$C,[1]analyte_order!$E:$E)</f>
        <v>37</v>
      </c>
      <c r="I515">
        <v>0.2</v>
      </c>
    </row>
    <row r="516" spans="1:9" x14ac:dyDescent="0.3">
      <c r="A516" s="2" t="s">
        <v>61</v>
      </c>
      <c r="B516" s="1">
        <v>44285</v>
      </c>
      <c r="C516" s="1" t="str">
        <f t="shared" si="8"/>
        <v>21089</v>
      </c>
      <c r="D516" t="s">
        <v>26</v>
      </c>
      <c r="E516" s="2" t="s">
        <v>27</v>
      </c>
      <c r="F516" s="2" t="str">
        <f>_xlfn.XLOOKUP(Table1_1[[#This Row],[CAS_rn]],[1]analyte_order!$C:$C,[1]analyte_order!$B:$B)</f>
        <v>PFEESA</v>
      </c>
      <c r="G516" t="s">
        <v>143</v>
      </c>
      <c r="H516" s="2">
        <f>_xlfn.XLOOKUP(Table1_1[[#This Row],[CAS_rn]],[1]analyte_order!$C:$C,[1]analyte_order!$E:$E)</f>
        <v>47</v>
      </c>
      <c r="I516">
        <v>0.1</v>
      </c>
    </row>
    <row r="517" spans="1:9" x14ac:dyDescent="0.3">
      <c r="A517" s="2" t="s">
        <v>61</v>
      </c>
      <c r="B517" s="1">
        <v>44285</v>
      </c>
      <c r="C517" s="1" t="str">
        <f t="shared" si="8"/>
        <v>21089</v>
      </c>
      <c r="D517" t="s">
        <v>26</v>
      </c>
      <c r="E517" s="2" t="s">
        <v>27</v>
      </c>
      <c r="F517" s="2" t="str">
        <f>_xlfn.XLOOKUP(Table1_1[[#This Row],[CAS_rn]],[1]analyte_order!$C:$C,[1]analyte_order!$B:$B)</f>
        <v>3:3 FTCA</v>
      </c>
      <c r="G517" t="s">
        <v>144</v>
      </c>
      <c r="H517" s="2">
        <f>_xlfn.XLOOKUP(Table1_1[[#This Row],[CAS_rn]],[1]analyte_order!$C:$C,[1]analyte_order!$E:$E)</f>
        <v>38</v>
      </c>
      <c r="I517">
        <v>0.25</v>
      </c>
    </row>
    <row r="518" spans="1:9" x14ac:dyDescent="0.3">
      <c r="A518" s="2" t="s">
        <v>61</v>
      </c>
      <c r="B518" s="1">
        <v>44285</v>
      </c>
      <c r="C518" s="1" t="str">
        <f t="shared" si="8"/>
        <v>21089</v>
      </c>
      <c r="D518" t="s">
        <v>26</v>
      </c>
      <c r="E518" s="2" t="s">
        <v>27</v>
      </c>
      <c r="F518" s="2" t="str">
        <f>_xlfn.XLOOKUP(Table1_1[[#This Row],[CAS_rn]],[1]analyte_order!$C:$C,[1]analyte_order!$B:$B)</f>
        <v>5:3 FTCA</v>
      </c>
      <c r="G518" t="s">
        <v>145</v>
      </c>
      <c r="H518" s="2">
        <f>_xlfn.XLOOKUP(Table1_1[[#This Row],[CAS_rn]],[1]analyte_order!$C:$C,[1]analyte_order!$E:$E)</f>
        <v>39</v>
      </c>
      <c r="I518">
        <v>1.25</v>
      </c>
    </row>
    <row r="519" spans="1:9" x14ac:dyDescent="0.3">
      <c r="A519" s="2" t="s">
        <v>61</v>
      </c>
      <c r="B519" s="1">
        <v>44285</v>
      </c>
      <c r="C519" s="1" t="str">
        <f t="shared" si="8"/>
        <v>21089</v>
      </c>
      <c r="D519" t="s">
        <v>26</v>
      </c>
      <c r="E519" s="2" t="s">
        <v>27</v>
      </c>
      <c r="F519" s="2" t="str">
        <f>_xlfn.XLOOKUP(Table1_1[[#This Row],[CAS_rn]],[1]analyte_order!$C:$C,[1]analyte_order!$B:$B)</f>
        <v>7:3 FTCA</v>
      </c>
      <c r="G519" t="s">
        <v>146</v>
      </c>
      <c r="H519" s="2">
        <f>_xlfn.XLOOKUP(Table1_1[[#This Row],[CAS_rn]],[1]analyte_order!$C:$C,[1]analyte_order!$E:$E)</f>
        <v>40</v>
      </c>
      <c r="I519">
        <v>1.25</v>
      </c>
    </row>
    <row r="520" spans="1:9" x14ac:dyDescent="0.3">
      <c r="A520" s="2" t="s">
        <v>61</v>
      </c>
      <c r="B520" s="1">
        <v>44285</v>
      </c>
      <c r="C520" s="1" t="str">
        <f t="shared" si="8"/>
        <v>21089</v>
      </c>
      <c r="D520" t="s">
        <v>26</v>
      </c>
      <c r="E520" s="2" t="s">
        <v>27</v>
      </c>
      <c r="F520" s="2" t="str">
        <f>_xlfn.XLOOKUP(Table1_1[[#This Row],[CAS_rn]],[1]analyte_order!$C:$C,[1]analyte_order!$B:$B)</f>
        <v>PFDS</v>
      </c>
      <c r="G520" t="s">
        <v>147</v>
      </c>
      <c r="H520" s="2">
        <f>_xlfn.XLOOKUP(Table1_1[[#This Row],[CAS_rn]],[1]analyte_order!$C:$C,[1]analyte_order!$E:$E)</f>
        <v>20</v>
      </c>
      <c r="I520">
        <v>0.05</v>
      </c>
    </row>
    <row r="521" spans="1:9" x14ac:dyDescent="0.3">
      <c r="A521" s="2" t="s">
        <v>61</v>
      </c>
      <c r="B521" s="1">
        <v>44285</v>
      </c>
      <c r="C521" s="1" t="str">
        <f t="shared" si="8"/>
        <v>21089</v>
      </c>
      <c r="D521" t="s">
        <v>26</v>
      </c>
      <c r="E521" s="2" t="s">
        <v>27</v>
      </c>
      <c r="F521" s="2" t="str">
        <f>_xlfn.XLOOKUP(Table1_1[[#This Row],[CAS_rn]],[1]analyte_order!$C:$C,[1]analyte_order!$B:$B)</f>
        <v>PFMPA</v>
      </c>
      <c r="G521" t="s">
        <v>148</v>
      </c>
      <c r="H521" s="2">
        <f>_xlfn.XLOOKUP(Table1_1[[#This Row],[CAS_rn]],[1]analyte_order!$C:$C,[1]analyte_order!$E:$E)</f>
        <v>49</v>
      </c>
      <c r="I521">
        <v>0.1</v>
      </c>
    </row>
    <row r="522" spans="1:9" x14ac:dyDescent="0.3">
      <c r="A522" s="2" t="s">
        <v>62</v>
      </c>
      <c r="B522" s="1">
        <v>44285</v>
      </c>
      <c r="C522" s="1" t="str">
        <f t="shared" si="8"/>
        <v>21089</v>
      </c>
      <c r="D522" t="s">
        <v>31</v>
      </c>
      <c r="E522" s="2" t="s">
        <v>27</v>
      </c>
      <c r="F522" s="2" t="str">
        <f>_xlfn.XLOOKUP(Table1_1[[#This Row],[CAS_rn]],[1]analyte_order!$C:$C,[1]analyte_order!$B:$B)</f>
        <v>PFBA</v>
      </c>
      <c r="G522" t="s">
        <v>109</v>
      </c>
      <c r="H522" s="2">
        <f>_xlfn.XLOOKUP(Table1_1[[#This Row],[CAS_rn]],[1]analyte_order!$C:$C,[1]analyte_order!$E:$E)</f>
        <v>1</v>
      </c>
      <c r="I522">
        <v>0.2</v>
      </c>
    </row>
    <row r="523" spans="1:9" x14ac:dyDescent="0.3">
      <c r="A523" s="2" t="s">
        <v>62</v>
      </c>
      <c r="B523" s="1">
        <v>44285</v>
      </c>
      <c r="C523" s="1" t="str">
        <f t="shared" si="8"/>
        <v>21089</v>
      </c>
      <c r="D523" t="s">
        <v>31</v>
      </c>
      <c r="E523" s="2" t="s">
        <v>27</v>
      </c>
      <c r="F523" s="2" t="str">
        <f>_xlfn.XLOOKUP(Table1_1[[#This Row],[CAS_rn]],[1]analyte_order!$C:$C,[1]analyte_order!$B:$B)</f>
        <v>PFPeA</v>
      </c>
      <c r="G523" t="s">
        <v>110</v>
      </c>
      <c r="H523" s="2">
        <f>_xlfn.XLOOKUP(Table1_1[[#This Row],[CAS_rn]],[1]analyte_order!$C:$C,[1]analyte_order!$E:$E)</f>
        <v>2</v>
      </c>
      <c r="I523">
        <v>0.1</v>
      </c>
    </row>
    <row r="524" spans="1:9" x14ac:dyDescent="0.3">
      <c r="A524" s="2" t="s">
        <v>62</v>
      </c>
      <c r="B524" s="1">
        <v>44285</v>
      </c>
      <c r="C524" s="1" t="str">
        <f t="shared" si="8"/>
        <v>21089</v>
      </c>
      <c r="D524" t="s">
        <v>31</v>
      </c>
      <c r="E524" s="2" t="s">
        <v>27</v>
      </c>
      <c r="F524" s="2" t="str">
        <f>_xlfn.XLOOKUP(Table1_1[[#This Row],[CAS_rn]],[1]analyte_order!$C:$C,[1]analyte_order!$B:$B)</f>
        <v>PFHxA</v>
      </c>
      <c r="G524" t="s">
        <v>111</v>
      </c>
      <c r="H524" s="2">
        <f>_xlfn.XLOOKUP(Table1_1[[#This Row],[CAS_rn]],[1]analyte_order!$C:$C,[1]analyte_order!$E:$E)</f>
        <v>3</v>
      </c>
      <c r="I524">
        <v>0.09</v>
      </c>
    </row>
    <row r="525" spans="1:9" x14ac:dyDescent="0.3">
      <c r="A525" s="2" t="s">
        <v>62</v>
      </c>
      <c r="B525" s="1">
        <v>44285</v>
      </c>
      <c r="C525" s="1" t="str">
        <f t="shared" si="8"/>
        <v>21089</v>
      </c>
      <c r="D525" t="s">
        <v>31</v>
      </c>
      <c r="E525" s="2" t="s">
        <v>27</v>
      </c>
      <c r="F525" s="2" t="str">
        <f>_xlfn.XLOOKUP(Table1_1[[#This Row],[CAS_rn]],[1]analyte_order!$C:$C,[1]analyte_order!$B:$B)</f>
        <v>PFHpA</v>
      </c>
      <c r="G525" t="s">
        <v>112</v>
      </c>
      <c r="H525" s="2">
        <f>_xlfn.XLOOKUP(Table1_1[[#This Row],[CAS_rn]],[1]analyte_order!$C:$C,[1]analyte_order!$E:$E)</f>
        <v>4</v>
      </c>
      <c r="I525">
        <v>0.09</v>
      </c>
    </row>
    <row r="526" spans="1:9" x14ac:dyDescent="0.3">
      <c r="A526" s="2" t="s">
        <v>62</v>
      </c>
      <c r="B526" s="1">
        <v>44285</v>
      </c>
      <c r="C526" s="1" t="str">
        <f t="shared" si="8"/>
        <v>21089</v>
      </c>
      <c r="D526" t="s">
        <v>31</v>
      </c>
      <c r="E526" s="2" t="s">
        <v>27</v>
      </c>
      <c r="F526" s="2" t="str">
        <f>_xlfn.XLOOKUP(Table1_1[[#This Row],[CAS_rn]],[1]analyte_order!$C:$C,[1]analyte_order!$B:$B)</f>
        <v>PFOA</v>
      </c>
      <c r="G526" t="s">
        <v>113</v>
      </c>
      <c r="H526" s="2">
        <f>_xlfn.XLOOKUP(Table1_1[[#This Row],[CAS_rn]],[1]analyte_order!$C:$C,[1]analyte_order!$E:$E)</f>
        <v>5</v>
      </c>
      <c r="I526">
        <v>6.8000000000000005E-2</v>
      </c>
    </row>
    <row r="527" spans="1:9" x14ac:dyDescent="0.3">
      <c r="A527" s="2" t="s">
        <v>62</v>
      </c>
      <c r="B527" s="1">
        <v>44285</v>
      </c>
      <c r="C527" s="1" t="str">
        <f t="shared" si="8"/>
        <v>21089</v>
      </c>
      <c r="D527" t="s">
        <v>31</v>
      </c>
      <c r="E527" s="2" t="s">
        <v>27</v>
      </c>
      <c r="F527" s="2" t="str">
        <f>_xlfn.XLOOKUP(Table1_1[[#This Row],[CAS_rn]],[1]analyte_order!$C:$C,[1]analyte_order!$B:$B)</f>
        <v>PFNA</v>
      </c>
      <c r="G527" t="s">
        <v>114</v>
      </c>
      <c r="H527" s="2">
        <f>_xlfn.XLOOKUP(Table1_1[[#This Row],[CAS_rn]],[1]analyte_order!$C:$C,[1]analyte_order!$E:$E)</f>
        <v>6</v>
      </c>
      <c r="I527">
        <v>4.9500000000000002E-2</v>
      </c>
    </row>
    <row r="528" spans="1:9" x14ac:dyDescent="0.3">
      <c r="A528" s="2" t="s">
        <v>62</v>
      </c>
      <c r="B528" s="1">
        <v>44285</v>
      </c>
      <c r="C528" s="1" t="str">
        <f t="shared" si="8"/>
        <v>21089</v>
      </c>
      <c r="D528" t="s">
        <v>31</v>
      </c>
      <c r="E528" s="2" t="s">
        <v>27</v>
      </c>
      <c r="F528" s="2" t="str">
        <f>_xlfn.XLOOKUP(Table1_1[[#This Row],[CAS_rn]],[1]analyte_order!$C:$C,[1]analyte_order!$B:$B)</f>
        <v>PFDA</v>
      </c>
      <c r="G528" t="s">
        <v>115</v>
      </c>
      <c r="H528" s="2">
        <f>_xlfn.XLOOKUP(Table1_1[[#This Row],[CAS_rn]],[1]analyte_order!$C:$C,[1]analyte_order!$E:$E)</f>
        <v>7</v>
      </c>
      <c r="I528">
        <v>4.9500000000000002E-2</v>
      </c>
    </row>
    <row r="529" spans="1:9" x14ac:dyDescent="0.3">
      <c r="A529" s="2" t="s">
        <v>62</v>
      </c>
      <c r="B529" s="1">
        <v>44285</v>
      </c>
      <c r="C529" s="1" t="str">
        <f t="shared" si="8"/>
        <v>21089</v>
      </c>
      <c r="D529" t="s">
        <v>31</v>
      </c>
      <c r="E529" s="2" t="s">
        <v>27</v>
      </c>
      <c r="F529" s="2" t="str">
        <f>_xlfn.XLOOKUP(Table1_1[[#This Row],[CAS_rn]],[1]analyte_order!$C:$C,[1]analyte_order!$B:$B)</f>
        <v>PFUnA</v>
      </c>
      <c r="G529" t="s">
        <v>116</v>
      </c>
      <c r="H529" s="2">
        <f>_xlfn.XLOOKUP(Table1_1[[#This Row],[CAS_rn]],[1]analyte_order!$C:$C,[1]analyte_order!$E:$E)</f>
        <v>8</v>
      </c>
      <c r="I529">
        <v>4.9500000000000002E-2</v>
      </c>
    </row>
    <row r="530" spans="1:9" x14ac:dyDescent="0.3">
      <c r="A530" s="2" t="s">
        <v>62</v>
      </c>
      <c r="B530" s="1">
        <v>44285</v>
      </c>
      <c r="C530" s="1" t="str">
        <f t="shared" si="8"/>
        <v>21089</v>
      </c>
      <c r="D530" t="s">
        <v>31</v>
      </c>
      <c r="E530" s="2" t="s">
        <v>27</v>
      </c>
      <c r="F530" s="2" t="str">
        <f>_xlfn.XLOOKUP(Table1_1[[#This Row],[CAS_rn]],[1]analyte_order!$C:$C,[1]analyte_order!$B:$B)</f>
        <v>PFDoA</v>
      </c>
      <c r="G530" t="s">
        <v>117</v>
      </c>
      <c r="H530" s="2">
        <f>_xlfn.XLOOKUP(Table1_1[[#This Row],[CAS_rn]],[1]analyte_order!$C:$C,[1]analyte_order!$E:$E)</f>
        <v>9</v>
      </c>
      <c r="I530">
        <v>4.9500000000000002E-2</v>
      </c>
    </row>
    <row r="531" spans="1:9" x14ac:dyDescent="0.3">
      <c r="A531" s="2" t="s">
        <v>62</v>
      </c>
      <c r="B531" s="1">
        <v>44285</v>
      </c>
      <c r="C531" s="1" t="str">
        <f t="shared" si="8"/>
        <v>21089</v>
      </c>
      <c r="D531" t="s">
        <v>31</v>
      </c>
      <c r="E531" s="2" t="s">
        <v>27</v>
      </c>
      <c r="F531" s="2" t="str">
        <f>_xlfn.XLOOKUP(Table1_1[[#This Row],[CAS_rn]],[1]analyte_order!$C:$C,[1]analyte_order!$B:$B)</f>
        <v>PFTrDA</v>
      </c>
      <c r="G531" t="s">
        <v>118</v>
      </c>
      <c r="H531" s="2">
        <f>_xlfn.XLOOKUP(Table1_1[[#This Row],[CAS_rn]],[1]analyte_order!$C:$C,[1]analyte_order!$E:$E)</f>
        <v>10</v>
      </c>
      <c r="I531">
        <v>4.9500000000000002E-2</v>
      </c>
    </row>
    <row r="532" spans="1:9" x14ac:dyDescent="0.3">
      <c r="A532" s="2" t="s">
        <v>62</v>
      </c>
      <c r="B532" s="1">
        <v>44285</v>
      </c>
      <c r="C532" s="1" t="str">
        <f t="shared" si="8"/>
        <v>21089</v>
      </c>
      <c r="D532" t="s">
        <v>31</v>
      </c>
      <c r="E532" s="2" t="s">
        <v>27</v>
      </c>
      <c r="F532" s="2" t="str">
        <f>_xlfn.XLOOKUP(Table1_1[[#This Row],[CAS_rn]],[1]analyte_order!$C:$C,[1]analyte_order!$B:$B)</f>
        <v>PFTeDA</v>
      </c>
      <c r="G532" t="s">
        <v>119</v>
      </c>
      <c r="H532" s="2">
        <f>_xlfn.XLOOKUP(Table1_1[[#This Row],[CAS_rn]],[1]analyte_order!$C:$C,[1]analyte_order!$E:$E)</f>
        <v>11</v>
      </c>
      <c r="I532">
        <v>4.9500000000000002E-2</v>
      </c>
    </row>
    <row r="533" spans="1:9" x14ac:dyDescent="0.3">
      <c r="A533" s="2" t="s">
        <v>62</v>
      </c>
      <c r="B533" s="1">
        <v>44285</v>
      </c>
      <c r="C533" s="1" t="str">
        <f t="shared" si="8"/>
        <v>21089</v>
      </c>
      <c r="D533" t="s">
        <v>31</v>
      </c>
      <c r="E533" s="2" t="s">
        <v>27</v>
      </c>
      <c r="F533" s="2" t="str">
        <f>_xlfn.XLOOKUP(Table1_1[[#This Row],[CAS_rn]],[1]analyte_order!$C:$C,[1]analyte_order!$B:$B)</f>
        <v>PFBS</v>
      </c>
      <c r="G533" t="s">
        <v>120</v>
      </c>
      <c r="H533" s="2">
        <f>_xlfn.XLOOKUP(Table1_1[[#This Row],[CAS_rn]],[1]analyte_order!$C:$C,[1]analyte_order!$E:$E)</f>
        <v>14</v>
      </c>
      <c r="I533">
        <v>4.9500000000000002E-2</v>
      </c>
    </row>
    <row r="534" spans="1:9" x14ac:dyDescent="0.3">
      <c r="A534" s="2" t="s">
        <v>62</v>
      </c>
      <c r="B534" s="1">
        <v>44285</v>
      </c>
      <c r="C534" s="1" t="str">
        <f t="shared" si="8"/>
        <v>21089</v>
      </c>
      <c r="D534" t="s">
        <v>31</v>
      </c>
      <c r="E534" s="2" t="s">
        <v>27</v>
      </c>
      <c r="F534" s="2" t="str">
        <f>_xlfn.XLOOKUP(Table1_1[[#This Row],[CAS_rn]],[1]analyte_order!$C:$C,[1]analyte_order!$B:$B)</f>
        <v>PFPeS</v>
      </c>
      <c r="G534" t="s">
        <v>121</v>
      </c>
      <c r="H534" s="2">
        <f>_xlfn.XLOOKUP(Table1_1[[#This Row],[CAS_rn]],[1]analyte_order!$C:$C,[1]analyte_order!$E:$E)</f>
        <v>15</v>
      </c>
      <c r="I534">
        <v>4.9500000000000002E-2</v>
      </c>
    </row>
    <row r="535" spans="1:9" x14ac:dyDescent="0.3">
      <c r="A535" s="2" t="s">
        <v>62</v>
      </c>
      <c r="B535" s="1">
        <v>44285</v>
      </c>
      <c r="C535" s="1" t="str">
        <f t="shared" si="8"/>
        <v>21089</v>
      </c>
      <c r="D535" t="s">
        <v>31</v>
      </c>
      <c r="E535" s="2" t="s">
        <v>27</v>
      </c>
      <c r="F535" s="2" t="str">
        <f>_xlfn.XLOOKUP(Table1_1[[#This Row],[CAS_rn]],[1]analyte_order!$C:$C,[1]analyte_order!$B:$B)</f>
        <v>PFHxS</v>
      </c>
      <c r="G535" t="s">
        <v>122</v>
      </c>
      <c r="H535" s="2">
        <f>_xlfn.XLOOKUP(Table1_1[[#This Row],[CAS_rn]],[1]analyte_order!$C:$C,[1]analyte_order!$E:$E)</f>
        <v>16</v>
      </c>
      <c r="I535">
        <v>0.21</v>
      </c>
    </row>
    <row r="536" spans="1:9" x14ac:dyDescent="0.3">
      <c r="A536" s="2" t="s">
        <v>62</v>
      </c>
      <c r="B536" s="1">
        <v>44285</v>
      </c>
      <c r="C536" s="1" t="str">
        <f t="shared" si="8"/>
        <v>21089</v>
      </c>
      <c r="D536" t="s">
        <v>31</v>
      </c>
      <c r="E536" s="2" t="s">
        <v>27</v>
      </c>
      <c r="F536" s="2" t="str">
        <f>_xlfn.XLOOKUP(Table1_1[[#This Row],[CAS_rn]],[1]analyte_order!$C:$C,[1]analyte_order!$B:$B)</f>
        <v>PFHpS</v>
      </c>
      <c r="G536" t="s">
        <v>123</v>
      </c>
      <c r="H536" s="2">
        <f>_xlfn.XLOOKUP(Table1_1[[#This Row],[CAS_rn]],[1]analyte_order!$C:$C,[1]analyte_order!$E:$E)</f>
        <v>17</v>
      </c>
      <c r="I536">
        <v>4.9500000000000002E-2</v>
      </c>
    </row>
    <row r="537" spans="1:9" x14ac:dyDescent="0.3">
      <c r="A537" s="2" t="s">
        <v>62</v>
      </c>
      <c r="B537" s="1">
        <v>44285</v>
      </c>
      <c r="C537" s="1" t="str">
        <f t="shared" si="8"/>
        <v>21089</v>
      </c>
      <c r="D537" t="s">
        <v>31</v>
      </c>
      <c r="E537" s="2" t="s">
        <v>27</v>
      </c>
      <c r="F537" s="2" t="str">
        <f>_xlfn.XLOOKUP(Table1_1[[#This Row],[CAS_rn]],[1]analyte_order!$C:$C,[1]analyte_order!$B:$B)</f>
        <v>PFOS</v>
      </c>
      <c r="G537" t="s">
        <v>124</v>
      </c>
      <c r="H537" s="2">
        <f>_xlfn.XLOOKUP(Table1_1[[#This Row],[CAS_rn]],[1]analyte_order!$C:$C,[1]analyte_order!$E:$E)</f>
        <v>18</v>
      </c>
      <c r="I537">
        <v>1.2</v>
      </c>
    </row>
    <row r="538" spans="1:9" x14ac:dyDescent="0.3">
      <c r="A538" s="2" t="s">
        <v>62</v>
      </c>
      <c r="B538" s="1">
        <v>44285</v>
      </c>
      <c r="C538" s="1" t="str">
        <f t="shared" si="8"/>
        <v>21089</v>
      </c>
      <c r="D538" t="s">
        <v>31</v>
      </c>
      <c r="E538" s="2" t="s">
        <v>27</v>
      </c>
      <c r="F538" s="2" t="str">
        <f>_xlfn.XLOOKUP(Table1_1[[#This Row],[CAS_rn]],[1]analyte_order!$C:$C,[1]analyte_order!$B:$B)</f>
        <v>PFNS</v>
      </c>
      <c r="G538" t="s">
        <v>125</v>
      </c>
      <c r="H538" s="2">
        <f>_xlfn.XLOOKUP(Table1_1[[#This Row],[CAS_rn]],[1]analyte_order!$C:$C,[1]analyte_order!$E:$E)</f>
        <v>19</v>
      </c>
      <c r="I538">
        <v>4.9500000000000002E-2</v>
      </c>
    </row>
    <row r="539" spans="1:9" x14ac:dyDescent="0.3">
      <c r="A539" s="2" t="s">
        <v>62</v>
      </c>
      <c r="B539" s="1">
        <v>44285</v>
      </c>
      <c r="C539" s="1" t="str">
        <f t="shared" si="8"/>
        <v>21089</v>
      </c>
      <c r="D539" t="s">
        <v>31</v>
      </c>
      <c r="E539" s="2" t="s">
        <v>27</v>
      </c>
      <c r="F539" s="2" t="str">
        <f>_xlfn.XLOOKUP(Table1_1[[#This Row],[CAS_rn]],[1]analyte_order!$C:$C,[1]analyte_order!$B:$B)</f>
        <v>PFDoS</v>
      </c>
      <c r="G539" t="s">
        <v>126</v>
      </c>
      <c r="H539" s="2">
        <f>_xlfn.XLOOKUP(Table1_1[[#This Row],[CAS_rn]],[1]analyte_order!$C:$C,[1]analyte_order!$E:$E)</f>
        <v>21</v>
      </c>
      <c r="I539">
        <v>4.9500000000000002E-2</v>
      </c>
    </row>
    <row r="540" spans="1:9" x14ac:dyDescent="0.3">
      <c r="A540" s="2" t="s">
        <v>62</v>
      </c>
      <c r="B540" s="1">
        <v>44285</v>
      </c>
      <c r="C540" s="1" t="str">
        <f t="shared" si="8"/>
        <v>21089</v>
      </c>
      <c r="D540" t="s">
        <v>31</v>
      </c>
      <c r="E540" s="2" t="s">
        <v>27</v>
      </c>
      <c r="F540" s="2" t="str">
        <f>_xlfn.XLOOKUP(Table1_1[[#This Row],[CAS_rn]],[1]analyte_order!$C:$C,[1]analyte_order!$B:$B)</f>
        <v>4:2 FTS</v>
      </c>
      <c r="G540" t="s">
        <v>127</v>
      </c>
      <c r="H540" s="2">
        <f>_xlfn.XLOOKUP(Table1_1[[#This Row],[CAS_rn]],[1]analyte_order!$C:$C,[1]analyte_order!$E:$E)</f>
        <v>22</v>
      </c>
      <c r="I540">
        <v>0.2</v>
      </c>
    </row>
    <row r="541" spans="1:9" x14ac:dyDescent="0.3">
      <c r="A541" s="2" t="s">
        <v>62</v>
      </c>
      <c r="B541" s="1">
        <v>44285</v>
      </c>
      <c r="C541" s="1" t="str">
        <f t="shared" si="8"/>
        <v>21089</v>
      </c>
      <c r="D541" t="s">
        <v>31</v>
      </c>
      <c r="E541" s="2" t="s">
        <v>27</v>
      </c>
      <c r="F541" s="2" t="str">
        <f>_xlfn.XLOOKUP(Table1_1[[#This Row],[CAS_rn]],[1]analyte_order!$C:$C,[1]analyte_order!$B:$B)</f>
        <v>6:2 FTS</v>
      </c>
      <c r="G541" t="s">
        <v>128</v>
      </c>
      <c r="H541" s="2">
        <f>_xlfn.XLOOKUP(Table1_1[[#This Row],[CAS_rn]],[1]analyte_order!$C:$C,[1]analyte_order!$E:$E)</f>
        <v>23</v>
      </c>
      <c r="I541">
        <v>0.39500000000000002</v>
      </c>
    </row>
    <row r="542" spans="1:9" x14ac:dyDescent="0.3">
      <c r="A542" s="2" t="s">
        <v>62</v>
      </c>
      <c r="B542" s="1">
        <v>44285</v>
      </c>
      <c r="C542" s="1" t="str">
        <f t="shared" si="8"/>
        <v>21089</v>
      </c>
      <c r="D542" t="s">
        <v>31</v>
      </c>
      <c r="E542" s="2" t="s">
        <v>27</v>
      </c>
      <c r="F542" s="2" t="str">
        <f>_xlfn.XLOOKUP(Table1_1[[#This Row],[CAS_rn]],[1]analyte_order!$C:$C,[1]analyte_order!$B:$B)</f>
        <v>8:2 FTS</v>
      </c>
      <c r="G542" t="s">
        <v>129</v>
      </c>
      <c r="H542" s="2">
        <f>_xlfn.XLOOKUP(Table1_1[[#This Row],[CAS_rn]],[1]analyte_order!$C:$C,[1]analyte_order!$E:$E)</f>
        <v>24</v>
      </c>
      <c r="I542">
        <v>0.39500000000000002</v>
      </c>
    </row>
    <row r="543" spans="1:9" x14ac:dyDescent="0.3">
      <c r="A543" s="2" t="s">
        <v>62</v>
      </c>
      <c r="B543" s="1">
        <v>44285</v>
      </c>
      <c r="C543" s="1" t="str">
        <f t="shared" si="8"/>
        <v>21089</v>
      </c>
      <c r="D543" t="s">
        <v>31</v>
      </c>
      <c r="E543" s="2" t="s">
        <v>27</v>
      </c>
      <c r="F543" s="2" t="str">
        <f>_xlfn.XLOOKUP(Table1_1[[#This Row],[CAS_rn]],[1]analyte_order!$C:$C,[1]analyte_order!$B:$B)</f>
        <v>FOSA</v>
      </c>
      <c r="G543" t="s">
        <v>130</v>
      </c>
      <c r="H543" s="2">
        <f>_xlfn.XLOOKUP(Table1_1[[#This Row],[CAS_rn]],[1]analyte_order!$C:$C,[1]analyte_order!$E:$E)</f>
        <v>28</v>
      </c>
      <c r="I543">
        <v>0.14000000000000001</v>
      </c>
    </row>
    <row r="544" spans="1:9" x14ac:dyDescent="0.3">
      <c r="A544" s="2" t="s">
        <v>62</v>
      </c>
      <c r="B544" s="1">
        <v>44285</v>
      </c>
      <c r="C544" s="1" t="str">
        <f t="shared" si="8"/>
        <v>21089</v>
      </c>
      <c r="D544" t="s">
        <v>31</v>
      </c>
      <c r="E544" s="2" t="s">
        <v>27</v>
      </c>
      <c r="F544" s="2" t="str">
        <f>_xlfn.XLOOKUP(Table1_1[[#This Row],[CAS_rn]],[1]analyte_order!$C:$C,[1]analyte_order!$B:$B)</f>
        <v>N-MeFOSA</v>
      </c>
      <c r="G544" t="s">
        <v>131</v>
      </c>
      <c r="H544" s="2">
        <f>_xlfn.XLOOKUP(Table1_1[[#This Row],[CAS_rn]],[1]analyte_order!$C:$C,[1]analyte_order!$E:$E)</f>
        <v>30</v>
      </c>
      <c r="I544">
        <v>4.9500000000000002E-2</v>
      </c>
    </row>
    <row r="545" spans="1:9" x14ac:dyDescent="0.3">
      <c r="A545" s="2" t="s">
        <v>62</v>
      </c>
      <c r="B545" s="1">
        <v>44285</v>
      </c>
      <c r="C545" s="1" t="str">
        <f t="shared" si="8"/>
        <v>21089</v>
      </c>
      <c r="D545" t="s">
        <v>31</v>
      </c>
      <c r="E545" s="2" t="s">
        <v>27</v>
      </c>
      <c r="F545" s="2" t="str">
        <f>_xlfn.XLOOKUP(Table1_1[[#This Row],[CAS_rn]],[1]analyte_order!$C:$C,[1]analyte_order!$B:$B)</f>
        <v>N-MeFOSAA</v>
      </c>
      <c r="G545" t="s">
        <v>132</v>
      </c>
      <c r="H545" s="2">
        <f>_xlfn.XLOOKUP(Table1_1[[#This Row],[CAS_rn]],[1]analyte_order!$C:$C,[1]analyte_order!$E:$E)</f>
        <v>26</v>
      </c>
      <c r="I545">
        <v>4.9500000000000002E-2</v>
      </c>
    </row>
    <row r="546" spans="1:9" x14ac:dyDescent="0.3">
      <c r="A546" s="2" t="s">
        <v>62</v>
      </c>
      <c r="B546" s="1">
        <v>44285</v>
      </c>
      <c r="C546" s="1" t="str">
        <f t="shared" si="8"/>
        <v>21089</v>
      </c>
      <c r="D546" t="s">
        <v>31</v>
      </c>
      <c r="E546" s="2" t="s">
        <v>27</v>
      </c>
      <c r="F546" s="2" t="str">
        <f>_xlfn.XLOOKUP(Table1_1[[#This Row],[CAS_rn]],[1]analyte_order!$C:$C,[1]analyte_order!$B:$B)</f>
        <v>N-EtFOSA</v>
      </c>
      <c r="G546" t="s">
        <v>133</v>
      </c>
      <c r="H546" s="2">
        <f>_xlfn.XLOOKUP(Table1_1[[#This Row],[CAS_rn]],[1]analyte_order!$C:$C,[1]analyte_order!$E:$E)</f>
        <v>31</v>
      </c>
      <c r="I546">
        <v>4.9500000000000002E-2</v>
      </c>
    </row>
    <row r="547" spans="1:9" x14ac:dyDescent="0.3">
      <c r="A547" s="2" t="s">
        <v>62</v>
      </c>
      <c r="B547" s="1">
        <v>44285</v>
      </c>
      <c r="C547" s="1" t="str">
        <f t="shared" si="8"/>
        <v>21089</v>
      </c>
      <c r="D547" t="s">
        <v>31</v>
      </c>
      <c r="E547" s="2" t="s">
        <v>27</v>
      </c>
      <c r="F547" s="2" t="str">
        <f>_xlfn.XLOOKUP(Table1_1[[#This Row],[CAS_rn]],[1]analyte_order!$C:$C,[1]analyte_order!$B:$B)</f>
        <v>N-EtFOSAA</v>
      </c>
      <c r="G547" t="s">
        <v>134</v>
      </c>
      <c r="H547" s="2">
        <f>_xlfn.XLOOKUP(Table1_1[[#This Row],[CAS_rn]],[1]analyte_order!$C:$C,[1]analyte_order!$E:$E)</f>
        <v>27</v>
      </c>
      <c r="I547">
        <v>4.9500000000000002E-2</v>
      </c>
    </row>
    <row r="548" spans="1:9" x14ac:dyDescent="0.3">
      <c r="A548" s="2" t="s">
        <v>62</v>
      </c>
      <c r="B548" s="1">
        <v>44285</v>
      </c>
      <c r="C548" s="1" t="str">
        <f t="shared" si="8"/>
        <v>21089</v>
      </c>
      <c r="D548" t="s">
        <v>31</v>
      </c>
      <c r="E548" s="2" t="s">
        <v>27</v>
      </c>
      <c r="F548" s="2" t="str">
        <f>_xlfn.XLOOKUP(Table1_1[[#This Row],[CAS_rn]],[1]analyte_order!$C:$C,[1]analyte_order!$B:$B)</f>
        <v>N-MeFOSE</v>
      </c>
      <c r="G548" t="s">
        <v>135</v>
      </c>
      <c r="H548" s="2">
        <f>_xlfn.XLOOKUP(Table1_1[[#This Row],[CAS_rn]],[1]analyte_order!$C:$C,[1]analyte_order!$E:$E)</f>
        <v>32</v>
      </c>
      <c r="I548">
        <v>0.495</v>
      </c>
    </row>
    <row r="549" spans="1:9" x14ac:dyDescent="0.3">
      <c r="A549" s="2" t="s">
        <v>62</v>
      </c>
      <c r="B549" s="1">
        <v>44285</v>
      </c>
      <c r="C549" s="1" t="str">
        <f t="shared" si="8"/>
        <v>21089</v>
      </c>
      <c r="D549" t="s">
        <v>31</v>
      </c>
      <c r="E549" s="2" t="s">
        <v>27</v>
      </c>
      <c r="F549" s="2" t="str">
        <f>_xlfn.XLOOKUP(Table1_1[[#This Row],[CAS_rn]],[1]analyte_order!$C:$C,[1]analyte_order!$B:$B)</f>
        <v>N-EtFOSE</v>
      </c>
      <c r="G549" t="s">
        <v>136</v>
      </c>
      <c r="H549" s="2">
        <f>_xlfn.XLOOKUP(Table1_1[[#This Row],[CAS_rn]],[1]analyte_order!$C:$C,[1]analyte_order!$E:$E)</f>
        <v>33</v>
      </c>
      <c r="I549">
        <v>0.495</v>
      </c>
    </row>
    <row r="550" spans="1:9" x14ac:dyDescent="0.3">
      <c r="A550" s="2" t="s">
        <v>62</v>
      </c>
      <c r="B550" s="1">
        <v>44285</v>
      </c>
      <c r="C550" s="1" t="str">
        <f t="shared" si="8"/>
        <v>21089</v>
      </c>
      <c r="D550" t="s">
        <v>31</v>
      </c>
      <c r="E550" s="2" t="s">
        <v>27</v>
      </c>
      <c r="F550" s="2" t="str">
        <f>_xlfn.XLOOKUP(Table1_1[[#This Row],[CAS_rn]],[1]analyte_order!$C:$C,[1]analyte_order!$B:$B)</f>
        <v>HFPO-DA</v>
      </c>
      <c r="G550" t="s">
        <v>137</v>
      </c>
      <c r="H550" s="2">
        <f>_xlfn.XLOOKUP(Table1_1[[#This Row],[CAS_rn]],[1]analyte_order!$C:$C,[1]analyte_order!$E:$E)</f>
        <v>34</v>
      </c>
      <c r="I550">
        <v>0.29499999999999998</v>
      </c>
    </row>
    <row r="551" spans="1:9" x14ac:dyDescent="0.3">
      <c r="A551" s="2" t="s">
        <v>62</v>
      </c>
      <c r="B551" s="1">
        <v>44285</v>
      </c>
      <c r="C551" s="1" t="str">
        <f t="shared" si="8"/>
        <v>21089</v>
      </c>
      <c r="D551" t="s">
        <v>31</v>
      </c>
      <c r="E551" s="2" t="s">
        <v>27</v>
      </c>
      <c r="F551" s="2" t="str">
        <f>_xlfn.XLOOKUP(Table1_1[[#This Row],[CAS_rn]],[1]analyte_order!$C:$C,[1]analyte_order!$B:$B)</f>
        <v>ADONA</v>
      </c>
      <c r="G551" t="s">
        <v>138</v>
      </c>
      <c r="H551" s="2">
        <f>_xlfn.XLOOKUP(Table1_1[[#This Row],[CAS_rn]],[1]analyte_order!$C:$C,[1]analyte_order!$E:$E)</f>
        <v>35</v>
      </c>
      <c r="I551">
        <v>0.2</v>
      </c>
    </row>
    <row r="552" spans="1:9" x14ac:dyDescent="0.3">
      <c r="A552" s="2" t="s">
        <v>62</v>
      </c>
      <c r="B552" s="1">
        <v>44285</v>
      </c>
      <c r="C552" s="1" t="str">
        <f t="shared" si="8"/>
        <v>21089</v>
      </c>
      <c r="D552" t="s">
        <v>31</v>
      </c>
      <c r="E552" s="2" t="s">
        <v>27</v>
      </c>
      <c r="F552" s="2" t="str">
        <f>_xlfn.XLOOKUP(Table1_1[[#This Row],[CAS_rn]],[1]analyte_order!$C:$C,[1]analyte_order!$B:$B)</f>
        <v>PFMBA</v>
      </c>
      <c r="G552" t="s">
        <v>139</v>
      </c>
      <c r="H552" s="2">
        <f>_xlfn.XLOOKUP(Table1_1[[#This Row],[CAS_rn]],[1]analyte_order!$C:$C,[1]analyte_order!$E:$E)</f>
        <v>48</v>
      </c>
      <c r="I552">
        <v>0.1</v>
      </c>
    </row>
    <row r="553" spans="1:9" x14ac:dyDescent="0.3">
      <c r="A553" s="2" t="s">
        <v>62</v>
      </c>
      <c r="B553" s="1">
        <v>44285</v>
      </c>
      <c r="C553" s="1" t="str">
        <f t="shared" si="8"/>
        <v>21089</v>
      </c>
      <c r="D553" t="s">
        <v>31</v>
      </c>
      <c r="E553" s="2" t="s">
        <v>27</v>
      </c>
      <c r="F553" s="2" t="str">
        <f>_xlfn.XLOOKUP(Table1_1[[#This Row],[CAS_rn]],[1]analyte_order!$C:$C,[1]analyte_order!$B:$B)</f>
        <v>NFDHA</v>
      </c>
      <c r="G553" t="s">
        <v>140</v>
      </c>
      <c r="H553" s="2">
        <f>_xlfn.XLOOKUP(Table1_1[[#This Row],[CAS_rn]],[1]analyte_order!$C:$C,[1]analyte_order!$E:$E)</f>
        <v>50</v>
      </c>
      <c r="I553">
        <v>0.1</v>
      </c>
    </row>
    <row r="554" spans="1:9" x14ac:dyDescent="0.3">
      <c r="A554" s="2" t="s">
        <v>62</v>
      </c>
      <c r="B554" s="1">
        <v>44285</v>
      </c>
      <c r="C554" s="1" t="str">
        <f t="shared" si="8"/>
        <v>21089</v>
      </c>
      <c r="D554" t="s">
        <v>31</v>
      </c>
      <c r="E554" s="2" t="s">
        <v>27</v>
      </c>
      <c r="F554" s="2" t="str">
        <f>_xlfn.XLOOKUP(Table1_1[[#This Row],[CAS_rn]],[1]analyte_order!$C:$C,[1]analyte_order!$B:$B)</f>
        <v>9Cl-PF3ONS</v>
      </c>
      <c r="G554" t="s">
        <v>141</v>
      </c>
      <c r="H554" s="2">
        <f>_xlfn.XLOOKUP(Table1_1[[#This Row],[CAS_rn]],[1]analyte_order!$C:$C,[1]analyte_order!$E:$E)</f>
        <v>36</v>
      </c>
      <c r="I554">
        <v>0.2</v>
      </c>
    </row>
    <row r="555" spans="1:9" x14ac:dyDescent="0.3">
      <c r="A555" s="2" t="s">
        <v>62</v>
      </c>
      <c r="B555" s="1">
        <v>44285</v>
      </c>
      <c r="C555" s="1" t="str">
        <f t="shared" si="8"/>
        <v>21089</v>
      </c>
      <c r="D555" t="s">
        <v>31</v>
      </c>
      <c r="E555" s="2" t="s">
        <v>27</v>
      </c>
      <c r="F555" s="2" t="str">
        <f>_xlfn.XLOOKUP(Table1_1[[#This Row],[CAS_rn]],[1]analyte_order!$C:$C,[1]analyte_order!$B:$B)</f>
        <v>11Cl-PF3OUdS</v>
      </c>
      <c r="G555" t="s">
        <v>142</v>
      </c>
      <c r="H555" s="2">
        <f>_xlfn.XLOOKUP(Table1_1[[#This Row],[CAS_rn]],[1]analyte_order!$C:$C,[1]analyte_order!$E:$E)</f>
        <v>37</v>
      </c>
      <c r="I555">
        <v>0.2</v>
      </c>
    </row>
    <row r="556" spans="1:9" x14ac:dyDescent="0.3">
      <c r="A556" s="2" t="s">
        <v>62</v>
      </c>
      <c r="B556" s="1">
        <v>44285</v>
      </c>
      <c r="C556" s="1" t="str">
        <f t="shared" si="8"/>
        <v>21089</v>
      </c>
      <c r="D556" t="s">
        <v>31</v>
      </c>
      <c r="E556" s="2" t="s">
        <v>27</v>
      </c>
      <c r="F556" s="2" t="str">
        <f>_xlfn.XLOOKUP(Table1_1[[#This Row],[CAS_rn]],[1]analyte_order!$C:$C,[1]analyte_order!$B:$B)</f>
        <v>PFEESA</v>
      </c>
      <c r="G556" t="s">
        <v>143</v>
      </c>
      <c r="H556" s="2">
        <f>_xlfn.XLOOKUP(Table1_1[[#This Row],[CAS_rn]],[1]analyte_order!$C:$C,[1]analyte_order!$E:$E)</f>
        <v>47</v>
      </c>
      <c r="I556">
        <v>0.1</v>
      </c>
    </row>
    <row r="557" spans="1:9" x14ac:dyDescent="0.3">
      <c r="A557" s="2" t="s">
        <v>62</v>
      </c>
      <c r="B557" s="1">
        <v>44285</v>
      </c>
      <c r="C557" s="1" t="str">
        <f t="shared" si="8"/>
        <v>21089</v>
      </c>
      <c r="D557" t="s">
        <v>31</v>
      </c>
      <c r="E557" s="2" t="s">
        <v>27</v>
      </c>
      <c r="F557" s="2" t="str">
        <f>_xlfn.XLOOKUP(Table1_1[[#This Row],[CAS_rn]],[1]analyte_order!$C:$C,[1]analyte_order!$B:$B)</f>
        <v>3:3 FTCA</v>
      </c>
      <c r="G557" t="s">
        <v>144</v>
      </c>
      <c r="H557" s="2">
        <f>_xlfn.XLOOKUP(Table1_1[[#This Row],[CAS_rn]],[1]analyte_order!$C:$C,[1]analyte_order!$E:$E)</f>
        <v>38</v>
      </c>
      <c r="I557">
        <v>0.245</v>
      </c>
    </row>
    <row r="558" spans="1:9" x14ac:dyDescent="0.3">
      <c r="A558" s="2" t="s">
        <v>62</v>
      </c>
      <c r="B558" s="1">
        <v>44285</v>
      </c>
      <c r="C558" s="1" t="str">
        <f t="shared" si="8"/>
        <v>21089</v>
      </c>
      <c r="D558" t="s">
        <v>31</v>
      </c>
      <c r="E558" s="2" t="s">
        <v>27</v>
      </c>
      <c r="F558" s="2" t="str">
        <f>_xlfn.XLOOKUP(Table1_1[[#This Row],[CAS_rn]],[1]analyte_order!$C:$C,[1]analyte_order!$B:$B)</f>
        <v>5:3 FTCA</v>
      </c>
      <c r="G558" t="s">
        <v>145</v>
      </c>
      <c r="H558" s="2">
        <f>_xlfn.XLOOKUP(Table1_1[[#This Row],[CAS_rn]],[1]analyte_order!$C:$C,[1]analyte_order!$E:$E)</f>
        <v>39</v>
      </c>
      <c r="I558">
        <v>1.25</v>
      </c>
    </row>
    <row r="559" spans="1:9" x14ac:dyDescent="0.3">
      <c r="A559" s="2" t="s">
        <v>62</v>
      </c>
      <c r="B559" s="1">
        <v>44285</v>
      </c>
      <c r="C559" s="1" t="str">
        <f t="shared" si="8"/>
        <v>21089</v>
      </c>
      <c r="D559" t="s">
        <v>31</v>
      </c>
      <c r="E559" s="2" t="s">
        <v>27</v>
      </c>
      <c r="F559" s="2" t="str">
        <f>_xlfn.XLOOKUP(Table1_1[[#This Row],[CAS_rn]],[1]analyte_order!$C:$C,[1]analyte_order!$B:$B)</f>
        <v>7:3 FTCA</v>
      </c>
      <c r="G559" t="s">
        <v>146</v>
      </c>
      <c r="H559" s="2">
        <f>_xlfn.XLOOKUP(Table1_1[[#This Row],[CAS_rn]],[1]analyte_order!$C:$C,[1]analyte_order!$E:$E)</f>
        <v>40</v>
      </c>
      <c r="I559">
        <v>1.25</v>
      </c>
    </row>
    <row r="560" spans="1:9" x14ac:dyDescent="0.3">
      <c r="A560" s="2" t="s">
        <v>62</v>
      </c>
      <c r="B560" s="1">
        <v>44285</v>
      </c>
      <c r="C560" s="1" t="str">
        <f t="shared" si="8"/>
        <v>21089</v>
      </c>
      <c r="D560" t="s">
        <v>31</v>
      </c>
      <c r="E560" s="2" t="s">
        <v>27</v>
      </c>
      <c r="F560" s="2" t="str">
        <f>_xlfn.XLOOKUP(Table1_1[[#This Row],[CAS_rn]],[1]analyte_order!$C:$C,[1]analyte_order!$B:$B)</f>
        <v>PFDS</v>
      </c>
      <c r="G560" t="s">
        <v>147</v>
      </c>
      <c r="H560" s="2">
        <f>_xlfn.XLOOKUP(Table1_1[[#This Row],[CAS_rn]],[1]analyte_order!$C:$C,[1]analyte_order!$E:$E)</f>
        <v>20</v>
      </c>
      <c r="I560">
        <v>4.9500000000000002E-2</v>
      </c>
    </row>
    <row r="561" spans="1:9" x14ac:dyDescent="0.3">
      <c r="A561" s="2" t="s">
        <v>62</v>
      </c>
      <c r="B561" s="1">
        <v>44285</v>
      </c>
      <c r="C561" s="1" t="str">
        <f t="shared" si="8"/>
        <v>21089</v>
      </c>
      <c r="D561" t="s">
        <v>31</v>
      </c>
      <c r="E561" s="2" t="s">
        <v>27</v>
      </c>
      <c r="F561" s="2" t="str">
        <f>_xlfn.XLOOKUP(Table1_1[[#This Row],[CAS_rn]],[1]analyte_order!$C:$C,[1]analyte_order!$B:$B)</f>
        <v>PFMPA</v>
      </c>
      <c r="G561" t="s">
        <v>148</v>
      </c>
      <c r="H561" s="2">
        <f>_xlfn.XLOOKUP(Table1_1[[#This Row],[CAS_rn]],[1]analyte_order!$C:$C,[1]analyte_order!$E:$E)</f>
        <v>49</v>
      </c>
      <c r="I561">
        <v>0.1</v>
      </c>
    </row>
    <row r="562" spans="1:9" x14ac:dyDescent="0.3">
      <c r="A562" s="2" t="s">
        <v>63</v>
      </c>
      <c r="B562" s="1">
        <v>44285</v>
      </c>
      <c r="C562" s="1" t="str">
        <f t="shared" si="8"/>
        <v>21089</v>
      </c>
      <c r="D562" t="s">
        <v>33</v>
      </c>
      <c r="E562" s="2" t="s">
        <v>27</v>
      </c>
      <c r="F562" s="2" t="str">
        <f>_xlfn.XLOOKUP(Table1_1[[#This Row],[CAS_rn]],[1]analyte_order!$C:$C,[1]analyte_order!$B:$B)</f>
        <v>PFBA</v>
      </c>
      <c r="G562" t="s">
        <v>109</v>
      </c>
      <c r="H562" s="2">
        <f>_xlfn.XLOOKUP(Table1_1[[#This Row],[CAS_rn]],[1]analyte_order!$C:$C,[1]analyte_order!$E:$E)</f>
        <v>1</v>
      </c>
      <c r="I562">
        <v>0.2</v>
      </c>
    </row>
    <row r="563" spans="1:9" x14ac:dyDescent="0.3">
      <c r="A563" s="2" t="s">
        <v>63</v>
      </c>
      <c r="B563" s="1">
        <v>44285</v>
      </c>
      <c r="C563" s="1" t="str">
        <f t="shared" si="8"/>
        <v>21089</v>
      </c>
      <c r="D563" t="s">
        <v>33</v>
      </c>
      <c r="E563" s="2" t="s">
        <v>27</v>
      </c>
      <c r="F563" s="2" t="str">
        <f>_xlfn.XLOOKUP(Table1_1[[#This Row],[CAS_rn]],[1]analyte_order!$C:$C,[1]analyte_order!$B:$B)</f>
        <v>PFPeA</v>
      </c>
      <c r="G563" t="s">
        <v>110</v>
      </c>
      <c r="H563" s="2">
        <f>_xlfn.XLOOKUP(Table1_1[[#This Row],[CAS_rn]],[1]analyte_order!$C:$C,[1]analyte_order!$E:$E)</f>
        <v>2</v>
      </c>
      <c r="I563">
        <v>0.1</v>
      </c>
    </row>
    <row r="564" spans="1:9" x14ac:dyDescent="0.3">
      <c r="A564" s="2" t="s">
        <v>63</v>
      </c>
      <c r="B564" s="1">
        <v>44285</v>
      </c>
      <c r="C564" s="1" t="str">
        <f t="shared" si="8"/>
        <v>21089</v>
      </c>
      <c r="D564" t="s">
        <v>33</v>
      </c>
      <c r="E564" s="2" t="s">
        <v>27</v>
      </c>
      <c r="F564" s="2" t="str">
        <f>_xlfn.XLOOKUP(Table1_1[[#This Row],[CAS_rn]],[1]analyte_order!$C:$C,[1]analyte_order!$B:$B)</f>
        <v>PFHxA</v>
      </c>
      <c r="G564" t="s">
        <v>111</v>
      </c>
      <c r="H564" s="2">
        <f>_xlfn.XLOOKUP(Table1_1[[#This Row],[CAS_rn]],[1]analyte_order!$C:$C,[1]analyte_order!$E:$E)</f>
        <v>3</v>
      </c>
      <c r="I564">
        <v>0.09</v>
      </c>
    </row>
    <row r="565" spans="1:9" x14ac:dyDescent="0.3">
      <c r="A565" s="2" t="s">
        <v>63</v>
      </c>
      <c r="B565" s="1">
        <v>44285</v>
      </c>
      <c r="C565" s="1" t="str">
        <f t="shared" si="8"/>
        <v>21089</v>
      </c>
      <c r="D565" t="s">
        <v>33</v>
      </c>
      <c r="E565" s="2" t="s">
        <v>27</v>
      </c>
      <c r="F565" s="2" t="str">
        <f>_xlfn.XLOOKUP(Table1_1[[#This Row],[CAS_rn]],[1]analyte_order!$C:$C,[1]analyte_order!$B:$B)</f>
        <v>PFHpA</v>
      </c>
      <c r="G565" t="s">
        <v>112</v>
      </c>
      <c r="H565" s="2">
        <f>_xlfn.XLOOKUP(Table1_1[[#This Row],[CAS_rn]],[1]analyte_order!$C:$C,[1]analyte_order!$E:$E)</f>
        <v>4</v>
      </c>
      <c r="I565">
        <v>0.09</v>
      </c>
    </row>
    <row r="566" spans="1:9" x14ac:dyDescent="0.3">
      <c r="A566" s="2" t="s">
        <v>63</v>
      </c>
      <c r="B566" s="1">
        <v>44285</v>
      </c>
      <c r="C566" s="1" t="str">
        <f t="shared" si="8"/>
        <v>21089</v>
      </c>
      <c r="D566" t="s">
        <v>33</v>
      </c>
      <c r="E566" s="2" t="s">
        <v>27</v>
      </c>
      <c r="F566" s="2" t="str">
        <f>_xlfn.XLOOKUP(Table1_1[[#This Row],[CAS_rn]],[1]analyte_order!$C:$C,[1]analyte_order!$B:$B)</f>
        <v>PFOA</v>
      </c>
      <c r="G566" t="s">
        <v>113</v>
      </c>
      <c r="H566" s="2">
        <f>_xlfn.XLOOKUP(Table1_1[[#This Row],[CAS_rn]],[1]analyte_order!$C:$C,[1]analyte_order!$E:$E)</f>
        <v>5</v>
      </c>
      <c r="I566">
        <v>0.1</v>
      </c>
    </row>
    <row r="567" spans="1:9" x14ac:dyDescent="0.3">
      <c r="A567" s="2" t="s">
        <v>63</v>
      </c>
      <c r="B567" s="1">
        <v>44285</v>
      </c>
      <c r="C567" s="1" t="str">
        <f t="shared" si="8"/>
        <v>21089</v>
      </c>
      <c r="D567" t="s">
        <v>33</v>
      </c>
      <c r="E567" s="2" t="s">
        <v>27</v>
      </c>
      <c r="F567" s="2" t="str">
        <f>_xlfn.XLOOKUP(Table1_1[[#This Row],[CAS_rn]],[1]analyte_order!$C:$C,[1]analyte_order!$B:$B)</f>
        <v>PFNA</v>
      </c>
      <c r="G567" t="s">
        <v>114</v>
      </c>
      <c r="H567" s="2">
        <f>_xlfn.XLOOKUP(Table1_1[[#This Row],[CAS_rn]],[1]analyte_order!$C:$C,[1]analyte_order!$E:$E)</f>
        <v>6</v>
      </c>
      <c r="I567">
        <v>0.05</v>
      </c>
    </row>
    <row r="568" spans="1:9" x14ac:dyDescent="0.3">
      <c r="A568" s="2" t="s">
        <v>63</v>
      </c>
      <c r="B568" s="1">
        <v>44285</v>
      </c>
      <c r="C568" s="1" t="str">
        <f t="shared" si="8"/>
        <v>21089</v>
      </c>
      <c r="D568" t="s">
        <v>33</v>
      </c>
      <c r="E568" s="2" t="s">
        <v>27</v>
      </c>
      <c r="F568" s="2" t="str">
        <f>_xlfn.XLOOKUP(Table1_1[[#This Row],[CAS_rn]],[1]analyte_order!$C:$C,[1]analyte_order!$B:$B)</f>
        <v>PFDA</v>
      </c>
      <c r="G568" t="s">
        <v>115</v>
      </c>
      <c r="H568" s="2">
        <f>_xlfn.XLOOKUP(Table1_1[[#This Row],[CAS_rn]],[1]analyte_order!$C:$C,[1]analyte_order!$E:$E)</f>
        <v>7</v>
      </c>
      <c r="I568">
        <v>0.05</v>
      </c>
    </row>
    <row r="569" spans="1:9" x14ac:dyDescent="0.3">
      <c r="A569" s="2" t="s">
        <v>63</v>
      </c>
      <c r="B569" s="1">
        <v>44285</v>
      </c>
      <c r="C569" s="1" t="str">
        <f t="shared" si="8"/>
        <v>21089</v>
      </c>
      <c r="D569" t="s">
        <v>33</v>
      </c>
      <c r="E569" s="2" t="s">
        <v>27</v>
      </c>
      <c r="F569" s="2" t="str">
        <f>_xlfn.XLOOKUP(Table1_1[[#This Row],[CAS_rn]],[1]analyte_order!$C:$C,[1]analyte_order!$B:$B)</f>
        <v>PFUnA</v>
      </c>
      <c r="G569" t="s">
        <v>116</v>
      </c>
      <c r="H569" s="2">
        <f>_xlfn.XLOOKUP(Table1_1[[#This Row],[CAS_rn]],[1]analyte_order!$C:$C,[1]analyte_order!$E:$E)</f>
        <v>8</v>
      </c>
      <c r="I569">
        <v>0.05</v>
      </c>
    </row>
    <row r="570" spans="1:9" x14ac:dyDescent="0.3">
      <c r="A570" s="2" t="s">
        <v>63</v>
      </c>
      <c r="B570" s="1">
        <v>44285</v>
      </c>
      <c r="C570" s="1" t="str">
        <f t="shared" si="8"/>
        <v>21089</v>
      </c>
      <c r="D570" t="s">
        <v>33</v>
      </c>
      <c r="E570" s="2" t="s">
        <v>27</v>
      </c>
      <c r="F570" s="2" t="str">
        <f>_xlfn.XLOOKUP(Table1_1[[#This Row],[CAS_rn]],[1]analyte_order!$C:$C,[1]analyte_order!$B:$B)</f>
        <v>PFDoA</v>
      </c>
      <c r="G570" t="s">
        <v>117</v>
      </c>
      <c r="H570" s="2">
        <f>_xlfn.XLOOKUP(Table1_1[[#This Row],[CAS_rn]],[1]analyte_order!$C:$C,[1]analyte_order!$E:$E)</f>
        <v>9</v>
      </c>
      <c r="I570">
        <v>0.05</v>
      </c>
    </row>
    <row r="571" spans="1:9" x14ac:dyDescent="0.3">
      <c r="A571" s="2" t="s">
        <v>63</v>
      </c>
      <c r="B571" s="1">
        <v>44285</v>
      </c>
      <c r="C571" s="1" t="str">
        <f t="shared" si="8"/>
        <v>21089</v>
      </c>
      <c r="D571" t="s">
        <v>33</v>
      </c>
      <c r="E571" s="2" t="s">
        <v>27</v>
      </c>
      <c r="F571" s="2" t="str">
        <f>_xlfn.XLOOKUP(Table1_1[[#This Row],[CAS_rn]],[1]analyte_order!$C:$C,[1]analyte_order!$B:$B)</f>
        <v>PFTrDA</v>
      </c>
      <c r="G571" t="s">
        <v>118</v>
      </c>
      <c r="H571" s="2">
        <f>_xlfn.XLOOKUP(Table1_1[[#This Row],[CAS_rn]],[1]analyte_order!$C:$C,[1]analyte_order!$E:$E)</f>
        <v>10</v>
      </c>
      <c r="I571">
        <v>0.05</v>
      </c>
    </row>
    <row r="572" spans="1:9" x14ac:dyDescent="0.3">
      <c r="A572" s="2" t="s">
        <v>63</v>
      </c>
      <c r="B572" s="1">
        <v>44285</v>
      </c>
      <c r="C572" s="1" t="str">
        <f t="shared" si="8"/>
        <v>21089</v>
      </c>
      <c r="D572" t="s">
        <v>33</v>
      </c>
      <c r="E572" s="2" t="s">
        <v>27</v>
      </c>
      <c r="F572" s="2" t="str">
        <f>_xlfn.XLOOKUP(Table1_1[[#This Row],[CAS_rn]],[1]analyte_order!$C:$C,[1]analyte_order!$B:$B)</f>
        <v>PFTeDA</v>
      </c>
      <c r="G572" t="s">
        <v>119</v>
      </c>
      <c r="H572" s="2">
        <f>_xlfn.XLOOKUP(Table1_1[[#This Row],[CAS_rn]],[1]analyte_order!$C:$C,[1]analyte_order!$E:$E)</f>
        <v>11</v>
      </c>
      <c r="I572">
        <v>0.05</v>
      </c>
    </row>
    <row r="573" spans="1:9" x14ac:dyDescent="0.3">
      <c r="A573" s="2" t="s">
        <v>63</v>
      </c>
      <c r="B573" s="1">
        <v>44285</v>
      </c>
      <c r="C573" s="1" t="str">
        <f t="shared" si="8"/>
        <v>21089</v>
      </c>
      <c r="D573" t="s">
        <v>33</v>
      </c>
      <c r="E573" s="2" t="s">
        <v>27</v>
      </c>
      <c r="F573" s="2" t="str">
        <f>_xlfn.XLOOKUP(Table1_1[[#This Row],[CAS_rn]],[1]analyte_order!$C:$C,[1]analyte_order!$B:$B)</f>
        <v>PFBS</v>
      </c>
      <c r="G573" t="s">
        <v>120</v>
      </c>
      <c r="H573" s="2">
        <f>_xlfn.XLOOKUP(Table1_1[[#This Row],[CAS_rn]],[1]analyte_order!$C:$C,[1]analyte_order!$E:$E)</f>
        <v>14</v>
      </c>
      <c r="I573">
        <v>0.05</v>
      </c>
    </row>
    <row r="574" spans="1:9" x14ac:dyDescent="0.3">
      <c r="A574" s="2" t="s">
        <v>63</v>
      </c>
      <c r="B574" s="1">
        <v>44285</v>
      </c>
      <c r="C574" s="1" t="str">
        <f t="shared" si="8"/>
        <v>21089</v>
      </c>
      <c r="D574" t="s">
        <v>33</v>
      </c>
      <c r="E574" s="2" t="s">
        <v>27</v>
      </c>
      <c r="F574" s="2" t="str">
        <f>_xlfn.XLOOKUP(Table1_1[[#This Row],[CAS_rn]],[1]analyte_order!$C:$C,[1]analyte_order!$B:$B)</f>
        <v>PFPeS</v>
      </c>
      <c r="G574" t="s">
        <v>121</v>
      </c>
      <c r="H574" s="2">
        <f>_xlfn.XLOOKUP(Table1_1[[#This Row],[CAS_rn]],[1]analyte_order!$C:$C,[1]analyte_order!$E:$E)</f>
        <v>15</v>
      </c>
      <c r="I574">
        <v>0.05</v>
      </c>
    </row>
    <row r="575" spans="1:9" x14ac:dyDescent="0.3">
      <c r="A575" s="2" t="s">
        <v>63</v>
      </c>
      <c r="B575" s="1">
        <v>44285</v>
      </c>
      <c r="C575" s="1" t="str">
        <f t="shared" si="8"/>
        <v>21089</v>
      </c>
      <c r="D575" t="s">
        <v>33</v>
      </c>
      <c r="E575" s="2" t="s">
        <v>27</v>
      </c>
      <c r="F575" s="2" t="str">
        <f>_xlfn.XLOOKUP(Table1_1[[#This Row],[CAS_rn]],[1]analyte_order!$C:$C,[1]analyte_order!$B:$B)</f>
        <v>PFHxS</v>
      </c>
      <c r="G575" t="s">
        <v>122</v>
      </c>
      <c r="H575" s="2">
        <f>_xlfn.XLOOKUP(Table1_1[[#This Row],[CAS_rn]],[1]analyte_order!$C:$C,[1]analyte_order!$E:$E)</f>
        <v>16</v>
      </c>
      <c r="I575">
        <v>0.34</v>
      </c>
    </row>
    <row r="576" spans="1:9" x14ac:dyDescent="0.3">
      <c r="A576" s="2" t="s">
        <v>63</v>
      </c>
      <c r="B576" s="1">
        <v>44285</v>
      </c>
      <c r="C576" s="1" t="str">
        <f t="shared" si="8"/>
        <v>21089</v>
      </c>
      <c r="D576" t="s">
        <v>33</v>
      </c>
      <c r="E576" s="2" t="s">
        <v>27</v>
      </c>
      <c r="F576" s="2" t="str">
        <f>_xlfn.XLOOKUP(Table1_1[[#This Row],[CAS_rn]],[1]analyte_order!$C:$C,[1]analyte_order!$B:$B)</f>
        <v>PFHpS</v>
      </c>
      <c r="G576" t="s">
        <v>123</v>
      </c>
      <c r="H576" s="2">
        <f>_xlfn.XLOOKUP(Table1_1[[#This Row],[CAS_rn]],[1]analyte_order!$C:$C,[1]analyte_order!$E:$E)</f>
        <v>17</v>
      </c>
      <c r="I576">
        <v>0.05</v>
      </c>
    </row>
    <row r="577" spans="1:9" x14ac:dyDescent="0.3">
      <c r="A577" s="2" t="s">
        <v>63</v>
      </c>
      <c r="B577" s="1">
        <v>44285</v>
      </c>
      <c r="C577" s="1" t="str">
        <f t="shared" si="8"/>
        <v>21089</v>
      </c>
      <c r="D577" t="s">
        <v>33</v>
      </c>
      <c r="E577" s="2" t="s">
        <v>27</v>
      </c>
      <c r="F577" s="2" t="str">
        <f>_xlfn.XLOOKUP(Table1_1[[#This Row],[CAS_rn]],[1]analyte_order!$C:$C,[1]analyte_order!$B:$B)</f>
        <v>PFOS</v>
      </c>
      <c r="G577" t="s">
        <v>124</v>
      </c>
      <c r="H577" s="2">
        <f>_xlfn.XLOOKUP(Table1_1[[#This Row],[CAS_rn]],[1]analyte_order!$C:$C,[1]analyte_order!$E:$E)</f>
        <v>18</v>
      </c>
      <c r="I577">
        <v>1.3</v>
      </c>
    </row>
    <row r="578" spans="1:9" x14ac:dyDescent="0.3">
      <c r="A578" s="2" t="s">
        <v>63</v>
      </c>
      <c r="B578" s="1">
        <v>44285</v>
      </c>
      <c r="C578" s="1" t="str">
        <f t="shared" si="8"/>
        <v>21089</v>
      </c>
      <c r="D578" t="s">
        <v>33</v>
      </c>
      <c r="E578" s="2" t="s">
        <v>27</v>
      </c>
      <c r="F578" s="2" t="str">
        <f>_xlfn.XLOOKUP(Table1_1[[#This Row],[CAS_rn]],[1]analyte_order!$C:$C,[1]analyte_order!$B:$B)</f>
        <v>PFNS</v>
      </c>
      <c r="G578" t="s">
        <v>125</v>
      </c>
      <c r="H578" s="2">
        <f>_xlfn.XLOOKUP(Table1_1[[#This Row],[CAS_rn]],[1]analyte_order!$C:$C,[1]analyte_order!$E:$E)</f>
        <v>19</v>
      </c>
      <c r="I578">
        <v>0.05</v>
      </c>
    </row>
    <row r="579" spans="1:9" x14ac:dyDescent="0.3">
      <c r="A579" s="2" t="s">
        <v>63</v>
      </c>
      <c r="B579" s="1">
        <v>44285</v>
      </c>
      <c r="C579" s="1" t="str">
        <f t="shared" ref="C579:C642" si="9">TEXT(B579,"yy")&amp;TEXT((B579-DATEVALUE("1/1/"&amp;TEXT(B579,"yy"))+1),"000")</f>
        <v>21089</v>
      </c>
      <c r="D579" t="s">
        <v>33</v>
      </c>
      <c r="E579" s="2" t="s">
        <v>27</v>
      </c>
      <c r="F579" s="2" t="str">
        <f>_xlfn.XLOOKUP(Table1_1[[#This Row],[CAS_rn]],[1]analyte_order!$C:$C,[1]analyte_order!$B:$B)</f>
        <v>PFDoS</v>
      </c>
      <c r="G579" t="s">
        <v>126</v>
      </c>
      <c r="H579" s="2">
        <f>_xlfn.XLOOKUP(Table1_1[[#This Row],[CAS_rn]],[1]analyte_order!$C:$C,[1]analyte_order!$E:$E)</f>
        <v>21</v>
      </c>
      <c r="I579">
        <v>0.05</v>
      </c>
    </row>
    <row r="580" spans="1:9" x14ac:dyDescent="0.3">
      <c r="A580" s="2" t="s">
        <v>63</v>
      </c>
      <c r="B580" s="1">
        <v>44285</v>
      </c>
      <c r="C580" s="1" t="str">
        <f t="shared" si="9"/>
        <v>21089</v>
      </c>
      <c r="D580" t="s">
        <v>33</v>
      </c>
      <c r="E580" s="2" t="s">
        <v>27</v>
      </c>
      <c r="F580" s="2" t="str">
        <f>_xlfn.XLOOKUP(Table1_1[[#This Row],[CAS_rn]],[1]analyte_order!$C:$C,[1]analyte_order!$B:$B)</f>
        <v>4:2 FTS</v>
      </c>
      <c r="G580" t="s">
        <v>127</v>
      </c>
      <c r="H580" s="2">
        <f>_xlfn.XLOOKUP(Table1_1[[#This Row],[CAS_rn]],[1]analyte_order!$C:$C,[1]analyte_order!$E:$E)</f>
        <v>22</v>
      </c>
      <c r="I580">
        <v>0.2</v>
      </c>
    </row>
    <row r="581" spans="1:9" x14ac:dyDescent="0.3">
      <c r="A581" s="2" t="s">
        <v>63</v>
      </c>
      <c r="B581" s="1">
        <v>44285</v>
      </c>
      <c r="C581" s="1" t="str">
        <f t="shared" si="9"/>
        <v>21089</v>
      </c>
      <c r="D581" t="s">
        <v>33</v>
      </c>
      <c r="E581" s="2" t="s">
        <v>27</v>
      </c>
      <c r="F581" s="2" t="str">
        <f>_xlfn.XLOOKUP(Table1_1[[#This Row],[CAS_rn]],[1]analyte_order!$C:$C,[1]analyte_order!$B:$B)</f>
        <v>6:2 FTS</v>
      </c>
      <c r="G581" t="s">
        <v>128</v>
      </c>
      <c r="H581" s="2">
        <f>_xlfn.XLOOKUP(Table1_1[[#This Row],[CAS_rn]],[1]analyte_order!$C:$C,[1]analyte_order!$E:$E)</f>
        <v>23</v>
      </c>
      <c r="I581">
        <v>0.4</v>
      </c>
    </row>
    <row r="582" spans="1:9" x14ac:dyDescent="0.3">
      <c r="A582" s="2" t="s">
        <v>63</v>
      </c>
      <c r="B582" s="1">
        <v>44285</v>
      </c>
      <c r="C582" s="1" t="str">
        <f t="shared" si="9"/>
        <v>21089</v>
      </c>
      <c r="D582" t="s">
        <v>33</v>
      </c>
      <c r="E582" s="2" t="s">
        <v>27</v>
      </c>
      <c r="F582" s="2" t="str">
        <f>_xlfn.XLOOKUP(Table1_1[[#This Row],[CAS_rn]],[1]analyte_order!$C:$C,[1]analyte_order!$B:$B)</f>
        <v>8:2 FTS</v>
      </c>
      <c r="G582" t="s">
        <v>129</v>
      </c>
      <c r="H582" s="2">
        <f>_xlfn.XLOOKUP(Table1_1[[#This Row],[CAS_rn]],[1]analyte_order!$C:$C,[1]analyte_order!$E:$E)</f>
        <v>24</v>
      </c>
      <c r="I582">
        <v>0.4</v>
      </c>
    </row>
    <row r="583" spans="1:9" x14ac:dyDescent="0.3">
      <c r="A583" s="2" t="s">
        <v>63</v>
      </c>
      <c r="B583" s="1">
        <v>44285</v>
      </c>
      <c r="C583" s="1" t="str">
        <f t="shared" si="9"/>
        <v>21089</v>
      </c>
      <c r="D583" t="s">
        <v>33</v>
      </c>
      <c r="E583" s="2" t="s">
        <v>27</v>
      </c>
      <c r="F583" s="2" t="str">
        <f>_xlfn.XLOOKUP(Table1_1[[#This Row],[CAS_rn]],[1]analyte_order!$C:$C,[1]analyte_order!$B:$B)</f>
        <v>FOSA</v>
      </c>
      <c r="G583" t="s">
        <v>130</v>
      </c>
      <c r="H583" s="2">
        <f>_xlfn.XLOOKUP(Table1_1[[#This Row],[CAS_rn]],[1]analyte_order!$C:$C,[1]analyte_order!$E:$E)</f>
        <v>28</v>
      </c>
      <c r="I583">
        <v>0.09</v>
      </c>
    </row>
    <row r="584" spans="1:9" x14ac:dyDescent="0.3">
      <c r="A584" s="2" t="s">
        <v>63</v>
      </c>
      <c r="B584" s="1">
        <v>44285</v>
      </c>
      <c r="C584" s="1" t="str">
        <f t="shared" si="9"/>
        <v>21089</v>
      </c>
      <c r="D584" t="s">
        <v>33</v>
      </c>
      <c r="E584" s="2" t="s">
        <v>27</v>
      </c>
      <c r="F584" s="2" t="str">
        <f>_xlfn.XLOOKUP(Table1_1[[#This Row],[CAS_rn]],[1]analyte_order!$C:$C,[1]analyte_order!$B:$B)</f>
        <v>N-MeFOSA</v>
      </c>
      <c r="G584" t="s">
        <v>131</v>
      </c>
      <c r="H584" s="2">
        <f>_xlfn.XLOOKUP(Table1_1[[#This Row],[CAS_rn]],[1]analyte_order!$C:$C,[1]analyte_order!$E:$E)</f>
        <v>30</v>
      </c>
      <c r="I584">
        <v>0.05</v>
      </c>
    </row>
    <row r="585" spans="1:9" x14ac:dyDescent="0.3">
      <c r="A585" s="2" t="s">
        <v>63</v>
      </c>
      <c r="B585" s="1">
        <v>44285</v>
      </c>
      <c r="C585" s="1" t="str">
        <f t="shared" si="9"/>
        <v>21089</v>
      </c>
      <c r="D585" t="s">
        <v>33</v>
      </c>
      <c r="E585" s="2" t="s">
        <v>27</v>
      </c>
      <c r="F585" s="2" t="str">
        <f>_xlfn.XLOOKUP(Table1_1[[#This Row],[CAS_rn]],[1]analyte_order!$C:$C,[1]analyte_order!$B:$B)</f>
        <v>N-MeFOSAA</v>
      </c>
      <c r="G585" t="s">
        <v>132</v>
      </c>
      <c r="H585" s="2">
        <f>_xlfn.XLOOKUP(Table1_1[[#This Row],[CAS_rn]],[1]analyte_order!$C:$C,[1]analyte_order!$E:$E)</f>
        <v>26</v>
      </c>
      <c r="I585">
        <v>0.05</v>
      </c>
    </row>
    <row r="586" spans="1:9" x14ac:dyDescent="0.3">
      <c r="A586" s="2" t="s">
        <v>63</v>
      </c>
      <c r="B586" s="1">
        <v>44285</v>
      </c>
      <c r="C586" s="1" t="str">
        <f t="shared" si="9"/>
        <v>21089</v>
      </c>
      <c r="D586" t="s">
        <v>33</v>
      </c>
      <c r="E586" s="2" t="s">
        <v>27</v>
      </c>
      <c r="F586" s="2" t="str">
        <f>_xlfn.XLOOKUP(Table1_1[[#This Row],[CAS_rn]],[1]analyte_order!$C:$C,[1]analyte_order!$B:$B)</f>
        <v>N-EtFOSA</v>
      </c>
      <c r="G586" t="s">
        <v>133</v>
      </c>
      <c r="H586" s="2">
        <f>_xlfn.XLOOKUP(Table1_1[[#This Row],[CAS_rn]],[1]analyte_order!$C:$C,[1]analyte_order!$E:$E)</f>
        <v>31</v>
      </c>
      <c r="I586">
        <v>0.05</v>
      </c>
    </row>
    <row r="587" spans="1:9" x14ac:dyDescent="0.3">
      <c r="A587" s="2" t="s">
        <v>63</v>
      </c>
      <c r="B587" s="1">
        <v>44285</v>
      </c>
      <c r="C587" s="1" t="str">
        <f t="shared" si="9"/>
        <v>21089</v>
      </c>
      <c r="D587" t="s">
        <v>33</v>
      </c>
      <c r="E587" s="2" t="s">
        <v>27</v>
      </c>
      <c r="F587" s="2" t="str">
        <f>_xlfn.XLOOKUP(Table1_1[[#This Row],[CAS_rn]],[1]analyte_order!$C:$C,[1]analyte_order!$B:$B)</f>
        <v>N-EtFOSAA</v>
      </c>
      <c r="G587" t="s">
        <v>134</v>
      </c>
      <c r="H587" s="2">
        <f>_xlfn.XLOOKUP(Table1_1[[#This Row],[CAS_rn]],[1]analyte_order!$C:$C,[1]analyte_order!$E:$E)</f>
        <v>27</v>
      </c>
      <c r="I587">
        <v>0.05</v>
      </c>
    </row>
    <row r="588" spans="1:9" x14ac:dyDescent="0.3">
      <c r="A588" s="2" t="s">
        <v>63</v>
      </c>
      <c r="B588" s="1">
        <v>44285</v>
      </c>
      <c r="C588" s="1" t="str">
        <f t="shared" si="9"/>
        <v>21089</v>
      </c>
      <c r="D588" t="s">
        <v>33</v>
      </c>
      <c r="E588" s="2" t="s">
        <v>27</v>
      </c>
      <c r="F588" s="2" t="str">
        <f>_xlfn.XLOOKUP(Table1_1[[#This Row],[CAS_rn]],[1]analyte_order!$C:$C,[1]analyte_order!$B:$B)</f>
        <v>N-MeFOSE</v>
      </c>
      <c r="G588" t="s">
        <v>135</v>
      </c>
      <c r="H588" s="2">
        <f>_xlfn.XLOOKUP(Table1_1[[#This Row],[CAS_rn]],[1]analyte_order!$C:$C,[1]analyte_order!$E:$E)</f>
        <v>32</v>
      </c>
      <c r="I588">
        <v>0.5</v>
      </c>
    </row>
    <row r="589" spans="1:9" x14ac:dyDescent="0.3">
      <c r="A589" s="2" t="s">
        <v>63</v>
      </c>
      <c r="B589" s="1">
        <v>44285</v>
      </c>
      <c r="C589" s="1" t="str">
        <f t="shared" si="9"/>
        <v>21089</v>
      </c>
      <c r="D589" t="s">
        <v>33</v>
      </c>
      <c r="E589" s="2" t="s">
        <v>27</v>
      </c>
      <c r="F589" s="2" t="str">
        <f>_xlfn.XLOOKUP(Table1_1[[#This Row],[CAS_rn]],[1]analyte_order!$C:$C,[1]analyte_order!$B:$B)</f>
        <v>N-EtFOSE</v>
      </c>
      <c r="G589" t="s">
        <v>136</v>
      </c>
      <c r="H589" s="2">
        <f>_xlfn.XLOOKUP(Table1_1[[#This Row],[CAS_rn]],[1]analyte_order!$C:$C,[1]analyte_order!$E:$E)</f>
        <v>33</v>
      </c>
      <c r="I589">
        <v>0.5</v>
      </c>
    </row>
    <row r="590" spans="1:9" x14ac:dyDescent="0.3">
      <c r="A590" s="2" t="s">
        <v>63</v>
      </c>
      <c r="B590" s="1">
        <v>44285</v>
      </c>
      <c r="C590" s="1" t="str">
        <f t="shared" si="9"/>
        <v>21089</v>
      </c>
      <c r="D590" t="s">
        <v>33</v>
      </c>
      <c r="E590" s="2" t="s">
        <v>27</v>
      </c>
      <c r="F590" s="2" t="str">
        <f>_xlfn.XLOOKUP(Table1_1[[#This Row],[CAS_rn]],[1]analyte_order!$C:$C,[1]analyte_order!$B:$B)</f>
        <v>HFPO-DA</v>
      </c>
      <c r="G590" t="s">
        <v>137</v>
      </c>
      <c r="H590" s="2">
        <f>_xlfn.XLOOKUP(Table1_1[[#This Row],[CAS_rn]],[1]analyte_order!$C:$C,[1]analyte_order!$E:$E)</f>
        <v>34</v>
      </c>
      <c r="I590">
        <v>0.3</v>
      </c>
    </row>
    <row r="591" spans="1:9" x14ac:dyDescent="0.3">
      <c r="A591" s="2" t="s">
        <v>63</v>
      </c>
      <c r="B591" s="1">
        <v>44285</v>
      </c>
      <c r="C591" s="1" t="str">
        <f t="shared" si="9"/>
        <v>21089</v>
      </c>
      <c r="D591" t="s">
        <v>33</v>
      </c>
      <c r="E591" s="2" t="s">
        <v>27</v>
      </c>
      <c r="F591" s="2" t="str">
        <f>_xlfn.XLOOKUP(Table1_1[[#This Row],[CAS_rn]],[1]analyte_order!$C:$C,[1]analyte_order!$B:$B)</f>
        <v>ADONA</v>
      </c>
      <c r="G591" t="s">
        <v>138</v>
      </c>
      <c r="H591" s="2">
        <f>_xlfn.XLOOKUP(Table1_1[[#This Row],[CAS_rn]],[1]analyte_order!$C:$C,[1]analyte_order!$E:$E)</f>
        <v>35</v>
      </c>
      <c r="I591">
        <v>0.2</v>
      </c>
    </row>
    <row r="592" spans="1:9" x14ac:dyDescent="0.3">
      <c r="A592" s="2" t="s">
        <v>63</v>
      </c>
      <c r="B592" s="1">
        <v>44285</v>
      </c>
      <c r="C592" s="1" t="str">
        <f t="shared" si="9"/>
        <v>21089</v>
      </c>
      <c r="D592" t="s">
        <v>33</v>
      </c>
      <c r="E592" s="2" t="s">
        <v>27</v>
      </c>
      <c r="F592" s="2" t="str">
        <f>_xlfn.XLOOKUP(Table1_1[[#This Row],[CAS_rn]],[1]analyte_order!$C:$C,[1]analyte_order!$B:$B)</f>
        <v>PFMBA</v>
      </c>
      <c r="G592" t="s">
        <v>139</v>
      </c>
      <c r="H592" s="2">
        <f>_xlfn.XLOOKUP(Table1_1[[#This Row],[CAS_rn]],[1]analyte_order!$C:$C,[1]analyte_order!$E:$E)</f>
        <v>48</v>
      </c>
      <c r="I592">
        <v>0.1</v>
      </c>
    </row>
    <row r="593" spans="1:9" x14ac:dyDescent="0.3">
      <c r="A593" s="2" t="s">
        <v>63</v>
      </c>
      <c r="B593" s="1">
        <v>44285</v>
      </c>
      <c r="C593" s="1" t="str">
        <f t="shared" si="9"/>
        <v>21089</v>
      </c>
      <c r="D593" t="s">
        <v>33</v>
      </c>
      <c r="E593" s="2" t="s">
        <v>27</v>
      </c>
      <c r="F593" s="2" t="str">
        <f>_xlfn.XLOOKUP(Table1_1[[#This Row],[CAS_rn]],[1]analyte_order!$C:$C,[1]analyte_order!$B:$B)</f>
        <v>NFDHA</v>
      </c>
      <c r="G593" t="s">
        <v>140</v>
      </c>
      <c r="H593" s="2">
        <f>_xlfn.XLOOKUP(Table1_1[[#This Row],[CAS_rn]],[1]analyte_order!$C:$C,[1]analyte_order!$E:$E)</f>
        <v>50</v>
      </c>
      <c r="I593">
        <v>0.1</v>
      </c>
    </row>
    <row r="594" spans="1:9" x14ac:dyDescent="0.3">
      <c r="A594" s="2" t="s">
        <v>63</v>
      </c>
      <c r="B594" s="1">
        <v>44285</v>
      </c>
      <c r="C594" s="1" t="str">
        <f t="shared" si="9"/>
        <v>21089</v>
      </c>
      <c r="D594" t="s">
        <v>33</v>
      </c>
      <c r="E594" s="2" t="s">
        <v>27</v>
      </c>
      <c r="F594" s="2" t="str">
        <f>_xlfn.XLOOKUP(Table1_1[[#This Row],[CAS_rn]],[1]analyte_order!$C:$C,[1]analyte_order!$B:$B)</f>
        <v>9Cl-PF3ONS</v>
      </c>
      <c r="G594" t="s">
        <v>141</v>
      </c>
      <c r="H594" s="2">
        <f>_xlfn.XLOOKUP(Table1_1[[#This Row],[CAS_rn]],[1]analyte_order!$C:$C,[1]analyte_order!$E:$E)</f>
        <v>36</v>
      </c>
      <c r="I594">
        <v>0.2</v>
      </c>
    </row>
    <row r="595" spans="1:9" x14ac:dyDescent="0.3">
      <c r="A595" s="2" t="s">
        <v>63</v>
      </c>
      <c r="B595" s="1">
        <v>44285</v>
      </c>
      <c r="C595" s="1" t="str">
        <f t="shared" si="9"/>
        <v>21089</v>
      </c>
      <c r="D595" t="s">
        <v>33</v>
      </c>
      <c r="E595" s="2" t="s">
        <v>27</v>
      </c>
      <c r="F595" s="2" t="str">
        <f>_xlfn.XLOOKUP(Table1_1[[#This Row],[CAS_rn]],[1]analyte_order!$C:$C,[1]analyte_order!$B:$B)</f>
        <v>11Cl-PF3OUdS</v>
      </c>
      <c r="G595" t="s">
        <v>142</v>
      </c>
      <c r="H595" s="2">
        <f>_xlfn.XLOOKUP(Table1_1[[#This Row],[CAS_rn]],[1]analyte_order!$C:$C,[1]analyte_order!$E:$E)</f>
        <v>37</v>
      </c>
      <c r="I595">
        <v>0.2</v>
      </c>
    </row>
    <row r="596" spans="1:9" x14ac:dyDescent="0.3">
      <c r="A596" s="2" t="s">
        <v>63</v>
      </c>
      <c r="B596" s="1">
        <v>44285</v>
      </c>
      <c r="C596" s="1" t="str">
        <f t="shared" si="9"/>
        <v>21089</v>
      </c>
      <c r="D596" t="s">
        <v>33</v>
      </c>
      <c r="E596" s="2" t="s">
        <v>27</v>
      </c>
      <c r="F596" s="2" t="str">
        <f>_xlfn.XLOOKUP(Table1_1[[#This Row],[CAS_rn]],[1]analyte_order!$C:$C,[1]analyte_order!$B:$B)</f>
        <v>PFEESA</v>
      </c>
      <c r="G596" t="s">
        <v>143</v>
      </c>
      <c r="H596" s="2">
        <f>_xlfn.XLOOKUP(Table1_1[[#This Row],[CAS_rn]],[1]analyte_order!$C:$C,[1]analyte_order!$E:$E)</f>
        <v>47</v>
      </c>
      <c r="I596">
        <v>0.1</v>
      </c>
    </row>
    <row r="597" spans="1:9" x14ac:dyDescent="0.3">
      <c r="A597" s="2" t="s">
        <v>63</v>
      </c>
      <c r="B597" s="1">
        <v>44285</v>
      </c>
      <c r="C597" s="1" t="str">
        <f t="shared" si="9"/>
        <v>21089</v>
      </c>
      <c r="D597" t="s">
        <v>33</v>
      </c>
      <c r="E597" s="2" t="s">
        <v>27</v>
      </c>
      <c r="F597" s="2" t="str">
        <f>_xlfn.XLOOKUP(Table1_1[[#This Row],[CAS_rn]],[1]analyte_order!$C:$C,[1]analyte_order!$B:$B)</f>
        <v>3:3 FTCA</v>
      </c>
      <c r="G597" t="s">
        <v>144</v>
      </c>
      <c r="H597" s="2">
        <f>_xlfn.XLOOKUP(Table1_1[[#This Row],[CAS_rn]],[1]analyte_order!$C:$C,[1]analyte_order!$E:$E)</f>
        <v>38</v>
      </c>
      <c r="I597">
        <v>0.25</v>
      </c>
    </row>
    <row r="598" spans="1:9" x14ac:dyDescent="0.3">
      <c r="A598" s="2" t="s">
        <v>63</v>
      </c>
      <c r="B598" s="1">
        <v>44285</v>
      </c>
      <c r="C598" s="1" t="str">
        <f t="shared" si="9"/>
        <v>21089</v>
      </c>
      <c r="D598" t="s">
        <v>33</v>
      </c>
      <c r="E598" s="2" t="s">
        <v>27</v>
      </c>
      <c r="F598" s="2" t="str">
        <f>_xlfn.XLOOKUP(Table1_1[[#This Row],[CAS_rn]],[1]analyte_order!$C:$C,[1]analyte_order!$B:$B)</f>
        <v>5:3 FTCA</v>
      </c>
      <c r="G598" t="s">
        <v>145</v>
      </c>
      <c r="H598" s="2">
        <f>_xlfn.XLOOKUP(Table1_1[[#This Row],[CAS_rn]],[1]analyte_order!$C:$C,[1]analyte_order!$E:$E)</f>
        <v>39</v>
      </c>
      <c r="I598">
        <v>1.25</v>
      </c>
    </row>
    <row r="599" spans="1:9" x14ac:dyDescent="0.3">
      <c r="A599" s="2" t="s">
        <v>63</v>
      </c>
      <c r="B599" s="1">
        <v>44285</v>
      </c>
      <c r="C599" s="1" t="str">
        <f t="shared" si="9"/>
        <v>21089</v>
      </c>
      <c r="D599" t="s">
        <v>33</v>
      </c>
      <c r="E599" s="2" t="s">
        <v>27</v>
      </c>
      <c r="F599" s="2" t="str">
        <f>_xlfn.XLOOKUP(Table1_1[[#This Row],[CAS_rn]],[1]analyte_order!$C:$C,[1]analyte_order!$B:$B)</f>
        <v>7:3 FTCA</v>
      </c>
      <c r="G599" t="s">
        <v>146</v>
      </c>
      <c r="H599" s="2">
        <f>_xlfn.XLOOKUP(Table1_1[[#This Row],[CAS_rn]],[1]analyte_order!$C:$C,[1]analyte_order!$E:$E)</f>
        <v>40</v>
      </c>
      <c r="I599">
        <v>1.25</v>
      </c>
    </row>
    <row r="600" spans="1:9" x14ac:dyDescent="0.3">
      <c r="A600" s="2" t="s">
        <v>63</v>
      </c>
      <c r="B600" s="1">
        <v>44285</v>
      </c>
      <c r="C600" s="1" t="str">
        <f t="shared" si="9"/>
        <v>21089</v>
      </c>
      <c r="D600" t="s">
        <v>33</v>
      </c>
      <c r="E600" s="2" t="s">
        <v>27</v>
      </c>
      <c r="F600" s="2" t="str">
        <f>_xlfn.XLOOKUP(Table1_1[[#This Row],[CAS_rn]],[1]analyte_order!$C:$C,[1]analyte_order!$B:$B)</f>
        <v>PFDS</v>
      </c>
      <c r="G600" t="s">
        <v>147</v>
      </c>
      <c r="H600" s="2">
        <f>_xlfn.XLOOKUP(Table1_1[[#This Row],[CAS_rn]],[1]analyte_order!$C:$C,[1]analyte_order!$E:$E)</f>
        <v>20</v>
      </c>
      <c r="I600">
        <v>0.05</v>
      </c>
    </row>
    <row r="601" spans="1:9" x14ac:dyDescent="0.3">
      <c r="A601" s="2" t="s">
        <v>63</v>
      </c>
      <c r="B601" s="1">
        <v>44285</v>
      </c>
      <c r="C601" s="1" t="str">
        <f t="shared" si="9"/>
        <v>21089</v>
      </c>
      <c r="D601" t="s">
        <v>33</v>
      </c>
      <c r="E601" s="2" t="s">
        <v>27</v>
      </c>
      <c r="F601" s="2" t="str">
        <f>_xlfn.XLOOKUP(Table1_1[[#This Row],[CAS_rn]],[1]analyte_order!$C:$C,[1]analyte_order!$B:$B)</f>
        <v>PFMPA</v>
      </c>
      <c r="G601" t="s">
        <v>148</v>
      </c>
      <c r="H601" s="2">
        <f>_xlfn.XLOOKUP(Table1_1[[#This Row],[CAS_rn]],[1]analyte_order!$C:$C,[1]analyte_order!$E:$E)</f>
        <v>49</v>
      </c>
      <c r="I601">
        <v>0.1</v>
      </c>
    </row>
    <row r="602" spans="1:9" x14ac:dyDescent="0.3">
      <c r="A602" s="2" t="s">
        <v>64</v>
      </c>
      <c r="B602" s="1">
        <v>44285</v>
      </c>
      <c r="C602" s="1" t="str">
        <f t="shared" si="9"/>
        <v>21089</v>
      </c>
      <c r="D602" t="s">
        <v>29</v>
      </c>
      <c r="E602" s="2" t="s">
        <v>27</v>
      </c>
      <c r="F602" s="2" t="str">
        <f>_xlfn.XLOOKUP(Table1_1[[#This Row],[CAS_rn]],[1]analyte_order!$C:$C,[1]analyte_order!$B:$B)</f>
        <v>PFBA</v>
      </c>
      <c r="G602" t="s">
        <v>109</v>
      </c>
      <c r="H602" s="2">
        <f>_xlfn.XLOOKUP(Table1_1[[#This Row],[CAS_rn]],[1]analyte_order!$C:$C,[1]analyte_order!$E:$E)</f>
        <v>1</v>
      </c>
      <c r="I602">
        <v>0.2</v>
      </c>
    </row>
    <row r="603" spans="1:9" x14ac:dyDescent="0.3">
      <c r="A603" s="2" t="s">
        <v>64</v>
      </c>
      <c r="B603" s="1">
        <v>44285</v>
      </c>
      <c r="C603" s="1" t="str">
        <f t="shared" si="9"/>
        <v>21089</v>
      </c>
      <c r="D603" t="s">
        <v>29</v>
      </c>
      <c r="E603" s="2" t="s">
        <v>27</v>
      </c>
      <c r="F603" s="2" t="str">
        <f>_xlfn.XLOOKUP(Table1_1[[#This Row],[CAS_rn]],[1]analyte_order!$C:$C,[1]analyte_order!$B:$B)</f>
        <v>PFPeA</v>
      </c>
      <c r="G603" t="s">
        <v>110</v>
      </c>
      <c r="H603" s="2">
        <f>_xlfn.XLOOKUP(Table1_1[[#This Row],[CAS_rn]],[1]analyte_order!$C:$C,[1]analyte_order!$E:$E)</f>
        <v>2</v>
      </c>
      <c r="I603">
        <v>0.1</v>
      </c>
    </row>
    <row r="604" spans="1:9" x14ac:dyDescent="0.3">
      <c r="A604" s="2" t="s">
        <v>64</v>
      </c>
      <c r="B604" s="1">
        <v>44285</v>
      </c>
      <c r="C604" s="1" t="str">
        <f t="shared" si="9"/>
        <v>21089</v>
      </c>
      <c r="D604" t="s">
        <v>29</v>
      </c>
      <c r="E604" s="2" t="s">
        <v>27</v>
      </c>
      <c r="F604" s="2" t="str">
        <f>_xlfn.XLOOKUP(Table1_1[[#This Row],[CAS_rn]],[1]analyte_order!$C:$C,[1]analyte_order!$B:$B)</f>
        <v>PFHxA</v>
      </c>
      <c r="G604" t="s">
        <v>111</v>
      </c>
      <c r="H604" s="2">
        <f>_xlfn.XLOOKUP(Table1_1[[#This Row],[CAS_rn]],[1]analyte_order!$C:$C,[1]analyte_order!$E:$E)</f>
        <v>3</v>
      </c>
      <c r="I604">
        <v>0.09</v>
      </c>
    </row>
    <row r="605" spans="1:9" x14ac:dyDescent="0.3">
      <c r="A605" s="2" t="s">
        <v>64</v>
      </c>
      <c r="B605" s="1">
        <v>44285</v>
      </c>
      <c r="C605" s="1" t="str">
        <f t="shared" si="9"/>
        <v>21089</v>
      </c>
      <c r="D605" t="s">
        <v>29</v>
      </c>
      <c r="E605" s="2" t="s">
        <v>27</v>
      </c>
      <c r="F605" s="2" t="str">
        <f>_xlfn.XLOOKUP(Table1_1[[#This Row],[CAS_rn]],[1]analyte_order!$C:$C,[1]analyte_order!$B:$B)</f>
        <v>PFHpA</v>
      </c>
      <c r="G605" t="s">
        <v>112</v>
      </c>
      <c r="H605" s="2">
        <f>_xlfn.XLOOKUP(Table1_1[[#This Row],[CAS_rn]],[1]analyte_order!$C:$C,[1]analyte_order!$E:$E)</f>
        <v>4</v>
      </c>
      <c r="I605">
        <v>0.09</v>
      </c>
    </row>
    <row r="606" spans="1:9" x14ac:dyDescent="0.3">
      <c r="A606" s="2" t="s">
        <v>64</v>
      </c>
      <c r="B606" s="1">
        <v>44285</v>
      </c>
      <c r="C606" s="1" t="str">
        <f t="shared" si="9"/>
        <v>21089</v>
      </c>
      <c r="D606" t="s">
        <v>29</v>
      </c>
      <c r="E606" s="2" t="s">
        <v>27</v>
      </c>
      <c r="F606" s="2" t="str">
        <f>_xlfn.XLOOKUP(Table1_1[[#This Row],[CAS_rn]],[1]analyte_order!$C:$C,[1]analyte_order!$B:$B)</f>
        <v>PFOA</v>
      </c>
      <c r="G606" t="s">
        <v>113</v>
      </c>
      <c r="H606" s="2">
        <f>_xlfn.XLOOKUP(Table1_1[[#This Row],[CAS_rn]],[1]analyte_order!$C:$C,[1]analyte_order!$E:$E)</f>
        <v>5</v>
      </c>
      <c r="I606">
        <v>0.14000000000000001</v>
      </c>
    </row>
    <row r="607" spans="1:9" x14ac:dyDescent="0.3">
      <c r="A607" s="2" t="s">
        <v>64</v>
      </c>
      <c r="B607" s="1">
        <v>44285</v>
      </c>
      <c r="C607" s="1" t="str">
        <f t="shared" si="9"/>
        <v>21089</v>
      </c>
      <c r="D607" t="s">
        <v>29</v>
      </c>
      <c r="E607" s="2" t="s">
        <v>27</v>
      </c>
      <c r="F607" s="2" t="str">
        <f>_xlfn.XLOOKUP(Table1_1[[#This Row],[CAS_rn]],[1]analyte_order!$C:$C,[1]analyte_order!$B:$B)</f>
        <v>PFNA</v>
      </c>
      <c r="G607" t="s">
        <v>114</v>
      </c>
      <c r="H607" s="2">
        <f>_xlfn.XLOOKUP(Table1_1[[#This Row],[CAS_rn]],[1]analyte_order!$C:$C,[1]analyte_order!$E:$E)</f>
        <v>6</v>
      </c>
      <c r="I607">
        <v>0.05</v>
      </c>
    </row>
    <row r="608" spans="1:9" x14ac:dyDescent="0.3">
      <c r="A608" s="2" t="s">
        <v>64</v>
      </c>
      <c r="B608" s="1">
        <v>44285</v>
      </c>
      <c r="C608" s="1" t="str">
        <f t="shared" si="9"/>
        <v>21089</v>
      </c>
      <c r="D608" t="s">
        <v>29</v>
      </c>
      <c r="E608" s="2" t="s">
        <v>27</v>
      </c>
      <c r="F608" s="2" t="str">
        <f>_xlfn.XLOOKUP(Table1_1[[#This Row],[CAS_rn]],[1]analyte_order!$C:$C,[1]analyte_order!$B:$B)</f>
        <v>PFDA</v>
      </c>
      <c r="G608" t="s">
        <v>115</v>
      </c>
      <c r="H608" s="2">
        <f>_xlfn.XLOOKUP(Table1_1[[#This Row],[CAS_rn]],[1]analyte_order!$C:$C,[1]analyte_order!$E:$E)</f>
        <v>7</v>
      </c>
      <c r="I608">
        <v>0.05</v>
      </c>
    </row>
    <row r="609" spans="1:9" x14ac:dyDescent="0.3">
      <c r="A609" s="2" t="s">
        <v>64</v>
      </c>
      <c r="B609" s="1">
        <v>44285</v>
      </c>
      <c r="C609" s="1" t="str">
        <f t="shared" si="9"/>
        <v>21089</v>
      </c>
      <c r="D609" t="s">
        <v>29</v>
      </c>
      <c r="E609" s="2" t="s">
        <v>27</v>
      </c>
      <c r="F609" s="2" t="str">
        <f>_xlfn.XLOOKUP(Table1_1[[#This Row],[CAS_rn]],[1]analyte_order!$C:$C,[1]analyte_order!$B:$B)</f>
        <v>PFUnA</v>
      </c>
      <c r="G609" t="s">
        <v>116</v>
      </c>
      <c r="H609" s="2">
        <f>_xlfn.XLOOKUP(Table1_1[[#This Row],[CAS_rn]],[1]analyte_order!$C:$C,[1]analyte_order!$E:$E)</f>
        <v>8</v>
      </c>
      <c r="I609">
        <v>0.05</v>
      </c>
    </row>
    <row r="610" spans="1:9" x14ac:dyDescent="0.3">
      <c r="A610" s="2" t="s">
        <v>64</v>
      </c>
      <c r="B610" s="1">
        <v>44285</v>
      </c>
      <c r="C610" s="1" t="str">
        <f t="shared" si="9"/>
        <v>21089</v>
      </c>
      <c r="D610" t="s">
        <v>29</v>
      </c>
      <c r="E610" s="2" t="s">
        <v>27</v>
      </c>
      <c r="F610" s="2" t="str">
        <f>_xlfn.XLOOKUP(Table1_1[[#This Row],[CAS_rn]],[1]analyte_order!$C:$C,[1]analyte_order!$B:$B)</f>
        <v>PFDoA</v>
      </c>
      <c r="G610" t="s">
        <v>117</v>
      </c>
      <c r="H610" s="2">
        <f>_xlfn.XLOOKUP(Table1_1[[#This Row],[CAS_rn]],[1]analyte_order!$C:$C,[1]analyte_order!$E:$E)</f>
        <v>9</v>
      </c>
      <c r="I610">
        <v>0.05</v>
      </c>
    </row>
    <row r="611" spans="1:9" x14ac:dyDescent="0.3">
      <c r="A611" s="2" t="s">
        <v>64</v>
      </c>
      <c r="B611" s="1">
        <v>44285</v>
      </c>
      <c r="C611" s="1" t="str">
        <f t="shared" si="9"/>
        <v>21089</v>
      </c>
      <c r="D611" t="s">
        <v>29</v>
      </c>
      <c r="E611" s="2" t="s">
        <v>27</v>
      </c>
      <c r="F611" s="2" t="str">
        <f>_xlfn.XLOOKUP(Table1_1[[#This Row],[CAS_rn]],[1]analyte_order!$C:$C,[1]analyte_order!$B:$B)</f>
        <v>PFTrDA</v>
      </c>
      <c r="G611" t="s">
        <v>118</v>
      </c>
      <c r="H611" s="2">
        <f>_xlfn.XLOOKUP(Table1_1[[#This Row],[CAS_rn]],[1]analyte_order!$C:$C,[1]analyte_order!$E:$E)</f>
        <v>10</v>
      </c>
      <c r="I611">
        <v>0.05</v>
      </c>
    </row>
    <row r="612" spans="1:9" x14ac:dyDescent="0.3">
      <c r="A612" s="2" t="s">
        <v>64</v>
      </c>
      <c r="B612" s="1">
        <v>44285</v>
      </c>
      <c r="C612" s="1" t="str">
        <f t="shared" si="9"/>
        <v>21089</v>
      </c>
      <c r="D612" t="s">
        <v>29</v>
      </c>
      <c r="E612" s="2" t="s">
        <v>27</v>
      </c>
      <c r="F612" s="2" t="str">
        <f>_xlfn.XLOOKUP(Table1_1[[#This Row],[CAS_rn]],[1]analyte_order!$C:$C,[1]analyte_order!$B:$B)</f>
        <v>PFTeDA</v>
      </c>
      <c r="G612" t="s">
        <v>119</v>
      </c>
      <c r="H612" s="2">
        <f>_xlfn.XLOOKUP(Table1_1[[#This Row],[CAS_rn]],[1]analyte_order!$C:$C,[1]analyte_order!$E:$E)</f>
        <v>11</v>
      </c>
      <c r="I612">
        <v>0.05</v>
      </c>
    </row>
    <row r="613" spans="1:9" x14ac:dyDescent="0.3">
      <c r="A613" s="2" t="s">
        <v>64</v>
      </c>
      <c r="B613" s="1">
        <v>44285</v>
      </c>
      <c r="C613" s="1" t="str">
        <f t="shared" si="9"/>
        <v>21089</v>
      </c>
      <c r="D613" t="s">
        <v>29</v>
      </c>
      <c r="E613" s="2" t="s">
        <v>27</v>
      </c>
      <c r="F613" s="2" t="str">
        <f>_xlfn.XLOOKUP(Table1_1[[#This Row],[CAS_rn]],[1]analyte_order!$C:$C,[1]analyte_order!$B:$B)</f>
        <v>PFBS</v>
      </c>
      <c r="G613" t="s">
        <v>120</v>
      </c>
      <c r="H613" s="2">
        <f>_xlfn.XLOOKUP(Table1_1[[#This Row],[CAS_rn]],[1]analyte_order!$C:$C,[1]analyte_order!$E:$E)</f>
        <v>14</v>
      </c>
      <c r="I613">
        <v>0.05</v>
      </c>
    </row>
    <row r="614" spans="1:9" x14ac:dyDescent="0.3">
      <c r="A614" s="2" t="s">
        <v>64</v>
      </c>
      <c r="B614" s="1">
        <v>44285</v>
      </c>
      <c r="C614" s="1" t="str">
        <f t="shared" si="9"/>
        <v>21089</v>
      </c>
      <c r="D614" t="s">
        <v>29</v>
      </c>
      <c r="E614" s="2" t="s">
        <v>27</v>
      </c>
      <c r="F614" s="2" t="str">
        <f>_xlfn.XLOOKUP(Table1_1[[#This Row],[CAS_rn]],[1]analyte_order!$C:$C,[1]analyte_order!$B:$B)</f>
        <v>PFPeS</v>
      </c>
      <c r="G614" t="s">
        <v>121</v>
      </c>
      <c r="H614" s="2">
        <f>_xlfn.XLOOKUP(Table1_1[[#This Row],[CAS_rn]],[1]analyte_order!$C:$C,[1]analyte_order!$E:$E)</f>
        <v>15</v>
      </c>
      <c r="I614">
        <v>0.05</v>
      </c>
    </row>
    <row r="615" spans="1:9" x14ac:dyDescent="0.3">
      <c r="A615" s="2" t="s">
        <v>64</v>
      </c>
      <c r="B615" s="1">
        <v>44285</v>
      </c>
      <c r="C615" s="1" t="str">
        <f t="shared" si="9"/>
        <v>21089</v>
      </c>
      <c r="D615" t="s">
        <v>29</v>
      </c>
      <c r="E615" s="2" t="s">
        <v>27</v>
      </c>
      <c r="F615" s="2" t="str">
        <f>_xlfn.XLOOKUP(Table1_1[[#This Row],[CAS_rn]],[1]analyte_order!$C:$C,[1]analyte_order!$B:$B)</f>
        <v>PFHxS</v>
      </c>
      <c r="G615" t="s">
        <v>122</v>
      </c>
      <c r="H615" s="2">
        <f>_xlfn.XLOOKUP(Table1_1[[#This Row],[CAS_rn]],[1]analyte_order!$C:$C,[1]analyte_order!$E:$E)</f>
        <v>16</v>
      </c>
      <c r="I615">
        <v>0.18</v>
      </c>
    </row>
    <row r="616" spans="1:9" x14ac:dyDescent="0.3">
      <c r="A616" s="2" t="s">
        <v>64</v>
      </c>
      <c r="B616" s="1">
        <v>44285</v>
      </c>
      <c r="C616" s="1" t="str">
        <f t="shared" si="9"/>
        <v>21089</v>
      </c>
      <c r="D616" t="s">
        <v>29</v>
      </c>
      <c r="E616" s="2" t="s">
        <v>27</v>
      </c>
      <c r="F616" s="2" t="str">
        <f>_xlfn.XLOOKUP(Table1_1[[#This Row],[CAS_rn]],[1]analyte_order!$C:$C,[1]analyte_order!$B:$B)</f>
        <v>PFHpS</v>
      </c>
      <c r="G616" t="s">
        <v>123</v>
      </c>
      <c r="H616" s="2">
        <f>_xlfn.XLOOKUP(Table1_1[[#This Row],[CAS_rn]],[1]analyte_order!$C:$C,[1]analyte_order!$E:$E)</f>
        <v>17</v>
      </c>
      <c r="I616">
        <v>0.05</v>
      </c>
    </row>
    <row r="617" spans="1:9" x14ac:dyDescent="0.3">
      <c r="A617" s="2" t="s">
        <v>64</v>
      </c>
      <c r="B617" s="1">
        <v>44285</v>
      </c>
      <c r="C617" s="1" t="str">
        <f t="shared" si="9"/>
        <v>21089</v>
      </c>
      <c r="D617" t="s">
        <v>29</v>
      </c>
      <c r="E617" s="2" t="s">
        <v>27</v>
      </c>
      <c r="F617" s="2" t="str">
        <f>_xlfn.XLOOKUP(Table1_1[[#This Row],[CAS_rn]],[1]analyte_order!$C:$C,[1]analyte_order!$B:$B)</f>
        <v>PFOS</v>
      </c>
      <c r="G617" t="s">
        <v>124</v>
      </c>
      <c r="H617" s="2">
        <f>_xlfn.XLOOKUP(Table1_1[[#This Row],[CAS_rn]],[1]analyte_order!$C:$C,[1]analyte_order!$E:$E)</f>
        <v>18</v>
      </c>
      <c r="I617">
        <v>0.78</v>
      </c>
    </row>
    <row r="618" spans="1:9" x14ac:dyDescent="0.3">
      <c r="A618" s="2" t="s">
        <v>64</v>
      </c>
      <c r="B618" s="1">
        <v>44285</v>
      </c>
      <c r="C618" s="1" t="str">
        <f t="shared" si="9"/>
        <v>21089</v>
      </c>
      <c r="D618" t="s">
        <v>29</v>
      </c>
      <c r="E618" s="2" t="s">
        <v>27</v>
      </c>
      <c r="F618" s="2" t="str">
        <f>_xlfn.XLOOKUP(Table1_1[[#This Row],[CAS_rn]],[1]analyte_order!$C:$C,[1]analyte_order!$B:$B)</f>
        <v>PFNS</v>
      </c>
      <c r="G618" t="s">
        <v>125</v>
      </c>
      <c r="H618" s="2">
        <f>_xlfn.XLOOKUP(Table1_1[[#This Row],[CAS_rn]],[1]analyte_order!$C:$C,[1]analyte_order!$E:$E)</f>
        <v>19</v>
      </c>
      <c r="I618">
        <v>0.05</v>
      </c>
    </row>
    <row r="619" spans="1:9" x14ac:dyDescent="0.3">
      <c r="A619" s="2" t="s">
        <v>64</v>
      </c>
      <c r="B619" s="1">
        <v>44285</v>
      </c>
      <c r="C619" s="1" t="str">
        <f t="shared" si="9"/>
        <v>21089</v>
      </c>
      <c r="D619" t="s">
        <v>29</v>
      </c>
      <c r="E619" s="2" t="s">
        <v>27</v>
      </c>
      <c r="F619" s="2" t="str">
        <f>_xlfn.XLOOKUP(Table1_1[[#This Row],[CAS_rn]],[1]analyte_order!$C:$C,[1]analyte_order!$B:$B)</f>
        <v>PFDoS</v>
      </c>
      <c r="G619" t="s">
        <v>126</v>
      </c>
      <c r="H619" s="2">
        <f>_xlfn.XLOOKUP(Table1_1[[#This Row],[CAS_rn]],[1]analyte_order!$C:$C,[1]analyte_order!$E:$E)</f>
        <v>21</v>
      </c>
      <c r="I619">
        <v>0.05</v>
      </c>
    </row>
    <row r="620" spans="1:9" x14ac:dyDescent="0.3">
      <c r="A620" s="2" t="s">
        <v>64</v>
      </c>
      <c r="B620" s="1">
        <v>44285</v>
      </c>
      <c r="C620" s="1" t="str">
        <f t="shared" si="9"/>
        <v>21089</v>
      </c>
      <c r="D620" t="s">
        <v>29</v>
      </c>
      <c r="E620" s="2" t="s">
        <v>27</v>
      </c>
      <c r="F620" s="2" t="str">
        <f>_xlfn.XLOOKUP(Table1_1[[#This Row],[CAS_rn]],[1]analyte_order!$C:$C,[1]analyte_order!$B:$B)</f>
        <v>4:2 FTS</v>
      </c>
      <c r="G620" t="s">
        <v>127</v>
      </c>
      <c r="H620" s="2">
        <f>_xlfn.XLOOKUP(Table1_1[[#This Row],[CAS_rn]],[1]analyte_order!$C:$C,[1]analyte_order!$E:$E)</f>
        <v>22</v>
      </c>
      <c r="I620">
        <v>0.2</v>
      </c>
    </row>
    <row r="621" spans="1:9" x14ac:dyDescent="0.3">
      <c r="A621" s="2" t="s">
        <v>64</v>
      </c>
      <c r="B621" s="1">
        <v>44285</v>
      </c>
      <c r="C621" s="1" t="str">
        <f t="shared" si="9"/>
        <v>21089</v>
      </c>
      <c r="D621" t="s">
        <v>29</v>
      </c>
      <c r="E621" s="2" t="s">
        <v>27</v>
      </c>
      <c r="F621" s="2" t="str">
        <f>_xlfn.XLOOKUP(Table1_1[[#This Row],[CAS_rn]],[1]analyte_order!$C:$C,[1]analyte_order!$B:$B)</f>
        <v>6:2 FTS</v>
      </c>
      <c r="G621" t="s">
        <v>128</v>
      </c>
      <c r="H621" s="2">
        <f>_xlfn.XLOOKUP(Table1_1[[#This Row],[CAS_rn]],[1]analyte_order!$C:$C,[1]analyte_order!$E:$E)</f>
        <v>23</v>
      </c>
      <c r="I621">
        <v>0.4</v>
      </c>
    </row>
    <row r="622" spans="1:9" x14ac:dyDescent="0.3">
      <c r="A622" s="2" t="s">
        <v>64</v>
      </c>
      <c r="B622" s="1">
        <v>44285</v>
      </c>
      <c r="C622" s="1" t="str">
        <f t="shared" si="9"/>
        <v>21089</v>
      </c>
      <c r="D622" t="s">
        <v>29</v>
      </c>
      <c r="E622" s="2" t="s">
        <v>27</v>
      </c>
      <c r="F622" s="2" t="str">
        <f>_xlfn.XLOOKUP(Table1_1[[#This Row],[CAS_rn]],[1]analyte_order!$C:$C,[1]analyte_order!$B:$B)</f>
        <v>8:2 FTS</v>
      </c>
      <c r="G622" t="s">
        <v>129</v>
      </c>
      <c r="H622" s="2">
        <f>_xlfn.XLOOKUP(Table1_1[[#This Row],[CAS_rn]],[1]analyte_order!$C:$C,[1]analyte_order!$E:$E)</f>
        <v>24</v>
      </c>
      <c r="I622">
        <v>0.4</v>
      </c>
    </row>
    <row r="623" spans="1:9" x14ac:dyDescent="0.3">
      <c r="A623" s="2" t="s">
        <v>64</v>
      </c>
      <c r="B623" s="1">
        <v>44285</v>
      </c>
      <c r="C623" s="1" t="str">
        <f t="shared" si="9"/>
        <v>21089</v>
      </c>
      <c r="D623" t="s">
        <v>29</v>
      </c>
      <c r="E623" s="2" t="s">
        <v>27</v>
      </c>
      <c r="F623" s="2" t="str">
        <f>_xlfn.XLOOKUP(Table1_1[[#This Row],[CAS_rn]],[1]analyte_order!$C:$C,[1]analyte_order!$B:$B)</f>
        <v>FOSA</v>
      </c>
      <c r="G623" t="s">
        <v>130</v>
      </c>
      <c r="H623" s="2">
        <f>_xlfn.XLOOKUP(Table1_1[[#This Row],[CAS_rn]],[1]analyte_order!$C:$C,[1]analyte_order!$E:$E)</f>
        <v>28</v>
      </c>
      <c r="I623">
        <v>0.09</v>
      </c>
    </row>
    <row r="624" spans="1:9" x14ac:dyDescent="0.3">
      <c r="A624" s="2" t="s">
        <v>64</v>
      </c>
      <c r="B624" s="1">
        <v>44285</v>
      </c>
      <c r="C624" s="1" t="str">
        <f t="shared" si="9"/>
        <v>21089</v>
      </c>
      <c r="D624" t="s">
        <v>29</v>
      </c>
      <c r="E624" s="2" t="s">
        <v>27</v>
      </c>
      <c r="F624" s="2" t="str">
        <f>_xlfn.XLOOKUP(Table1_1[[#This Row],[CAS_rn]],[1]analyte_order!$C:$C,[1]analyte_order!$B:$B)</f>
        <v>N-MeFOSA</v>
      </c>
      <c r="G624" t="s">
        <v>131</v>
      </c>
      <c r="H624" s="2">
        <f>_xlfn.XLOOKUP(Table1_1[[#This Row],[CAS_rn]],[1]analyte_order!$C:$C,[1]analyte_order!$E:$E)</f>
        <v>30</v>
      </c>
      <c r="I624">
        <v>0.05</v>
      </c>
    </row>
    <row r="625" spans="1:9" x14ac:dyDescent="0.3">
      <c r="A625" s="2" t="s">
        <v>64</v>
      </c>
      <c r="B625" s="1">
        <v>44285</v>
      </c>
      <c r="C625" s="1" t="str">
        <f t="shared" si="9"/>
        <v>21089</v>
      </c>
      <c r="D625" t="s">
        <v>29</v>
      </c>
      <c r="E625" s="2" t="s">
        <v>27</v>
      </c>
      <c r="F625" s="2" t="str">
        <f>_xlfn.XLOOKUP(Table1_1[[#This Row],[CAS_rn]],[1]analyte_order!$C:$C,[1]analyte_order!$B:$B)</f>
        <v>N-MeFOSAA</v>
      </c>
      <c r="G625" t="s">
        <v>132</v>
      </c>
      <c r="H625" s="2">
        <f>_xlfn.XLOOKUP(Table1_1[[#This Row],[CAS_rn]],[1]analyte_order!$C:$C,[1]analyte_order!$E:$E)</f>
        <v>26</v>
      </c>
      <c r="I625">
        <v>0.05</v>
      </c>
    </row>
    <row r="626" spans="1:9" x14ac:dyDescent="0.3">
      <c r="A626" s="2" t="s">
        <v>64</v>
      </c>
      <c r="B626" s="1">
        <v>44285</v>
      </c>
      <c r="C626" s="1" t="str">
        <f t="shared" si="9"/>
        <v>21089</v>
      </c>
      <c r="D626" t="s">
        <v>29</v>
      </c>
      <c r="E626" s="2" t="s">
        <v>27</v>
      </c>
      <c r="F626" s="2" t="str">
        <f>_xlfn.XLOOKUP(Table1_1[[#This Row],[CAS_rn]],[1]analyte_order!$C:$C,[1]analyte_order!$B:$B)</f>
        <v>N-EtFOSA</v>
      </c>
      <c r="G626" t="s">
        <v>133</v>
      </c>
      <c r="H626" s="2">
        <f>_xlfn.XLOOKUP(Table1_1[[#This Row],[CAS_rn]],[1]analyte_order!$C:$C,[1]analyte_order!$E:$E)</f>
        <v>31</v>
      </c>
      <c r="I626">
        <v>0.05</v>
      </c>
    </row>
    <row r="627" spans="1:9" x14ac:dyDescent="0.3">
      <c r="A627" s="2" t="s">
        <v>64</v>
      </c>
      <c r="B627" s="1">
        <v>44285</v>
      </c>
      <c r="C627" s="1" t="str">
        <f t="shared" si="9"/>
        <v>21089</v>
      </c>
      <c r="D627" t="s">
        <v>29</v>
      </c>
      <c r="E627" s="2" t="s">
        <v>27</v>
      </c>
      <c r="F627" s="2" t="str">
        <f>_xlfn.XLOOKUP(Table1_1[[#This Row],[CAS_rn]],[1]analyte_order!$C:$C,[1]analyte_order!$B:$B)</f>
        <v>N-EtFOSAA</v>
      </c>
      <c r="G627" t="s">
        <v>134</v>
      </c>
      <c r="H627" s="2">
        <f>_xlfn.XLOOKUP(Table1_1[[#This Row],[CAS_rn]],[1]analyte_order!$C:$C,[1]analyte_order!$E:$E)</f>
        <v>27</v>
      </c>
      <c r="I627">
        <v>0.05</v>
      </c>
    </row>
    <row r="628" spans="1:9" x14ac:dyDescent="0.3">
      <c r="A628" s="2" t="s">
        <v>64</v>
      </c>
      <c r="B628" s="1">
        <v>44285</v>
      </c>
      <c r="C628" s="1" t="str">
        <f t="shared" si="9"/>
        <v>21089</v>
      </c>
      <c r="D628" t="s">
        <v>29</v>
      </c>
      <c r="E628" s="2" t="s">
        <v>27</v>
      </c>
      <c r="F628" s="2" t="str">
        <f>_xlfn.XLOOKUP(Table1_1[[#This Row],[CAS_rn]],[1]analyte_order!$C:$C,[1]analyte_order!$B:$B)</f>
        <v>N-MeFOSE</v>
      </c>
      <c r="G628" t="s">
        <v>135</v>
      </c>
      <c r="H628" s="2">
        <f>_xlfn.XLOOKUP(Table1_1[[#This Row],[CAS_rn]],[1]analyte_order!$C:$C,[1]analyte_order!$E:$E)</f>
        <v>32</v>
      </c>
      <c r="I628">
        <v>0.5</v>
      </c>
    </row>
    <row r="629" spans="1:9" x14ac:dyDescent="0.3">
      <c r="A629" s="2" t="s">
        <v>64</v>
      </c>
      <c r="B629" s="1">
        <v>44285</v>
      </c>
      <c r="C629" s="1" t="str">
        <f t="shared" si="9"/>
        <v>21089</v>
      </c>
      <c r="D629" t="s">
        <v>29</v>
      </c>
      <c r="E629" s="2" t="s">
        <v>27</v>
      </c>
      <c r="F629" s="2" t="str">
        <f>_xlfn.XLOOKUP(Table1_1[[#This Row],[CAS_rn]],[1]analyte_order!$C:$C,[1]analyte_order!$B:$B)</f>
        <v>N-EtFOSE</v>
      </c>
      <c r="G629" t="s">
        <v>136</v>
      </c>
      <c r="H629" s="2">
        <f>_xlfn.XLOOKUP(Table1_1[[#This Row],[CAS_rn]],[1]analyte_order!$C:$C,[1]analyte_order!$E:$E)</f>
        <v>33</v>
      </c>
      <c r="I629">
        <v>0.5</v>
      </c>
    </row>
    <row r="630" spans="1:9" x14ac:dyDescent="0.3">
      <c r="A630" s="2" t="s">
        <v>64</v>
      </c>
      <c r="B630" s="1">
        <v>44285</v>
      </c>
      <c r="C630" s="1" t="str">
        <f t="shared" si="9"/>
        <v>21089</v>
      </c>
      <c r="D630" t="s">
        <v>29</v>
      </c>
      <c r="E630" s="2" t="s">
        <v>27</v>
      </c>
      <c r="F630" s="2" t="str">
        <f>_xlfn.XLOOKUP(Table1_1[[#This Row],[CAS_rn]],[1]analyte_order!$C:$C,[1]analyte_order!$B:$B)</f>
        <v>HFPO-DA</v>
      </c>
      <c r="G630" t="s">
        <v>137</v>
      </c>
      <c r="H630" s="2">
        <f>_xlfn.XLOOKUP(Table1_1[[#This Row],[CAS_rn]],[1]analyte_order!$C:$C,[1]analyte_order!$E:$E)</f>
        <v>34</v>
      </c>
      <c r="I630">
        <v>0.3</v>
      </c>
    </row>
    <row r="631" spans="1:9" x14ac:dyDescent="0.3">
      <c r="A631" s="2" t="s">
        <v>64</v>
      </c>
      <c r="B631" s="1">
        <v>44285</v>
      </c>
      <c r="C631" s="1" t="str">
        <f t="shared" si="9"/>
        <v>21089</v>
      </c>
      <c r="D631" t="s">
        <v>29</v>
      </c>
      <c r="E631" s="2" t="s">
        <v>27</v>
      </c>
      <c r="F631" s="2" t="str">
        <f>_xlfn.XLOOKUP(Table1_1[[#This Row],[CAS_rn]],[1]analyte_order!$C:$C,[1]analyte_order!$B:$B)</f>
        <v>ADONA</v>
      </c>
      <c r="G631" t="s">
        <v>138</v>
      </c>
      <c r="H631" s="2">
        <f>_xlfn.XLOOKUP(Table1_1[[#This Row],[CAS_rn]],[1]analyte_order!$C:$C,[1]analyte_order!$E:$E)</f>
        <v>35</v>
      </c>
      <c r="I631">
        <v>0.2</v>
      </c>
    </row>
    <row r="632" spans="1:9" x14ac:dyDescent="0.3">
      <c r="A632" s="2" t="s">
        <v>64</v>
      </c>
      <c r="B632" s="1">
        <v>44285</v>
      </c>
      <c r="C632" s="1" t="str">
        <f t="shared" si="9"/>
        <v>21089</v>
      </c>
      <c r="D632" t="s">
        <v>29</v>
      </c>
      <c r="E632" s="2" t="s">
        <v>27</v>
      </c>
      <c r="F632" s="2" t="str">
        <f>_xlfn.XLOOKUP(Table1_1[[#This Row],[CAS_rn]],[1]analyte_order!$C:$C,[1]analyte_order!$B:$B)</f>
        <v>PFMBA</v>
      </c>
      <c r="G632" t="s">
        <v>139</v>
      </c>
      <c r="H632" s="2">
        <f>_xlfn.XLOOKUP(Table1_1[[#This Row],[CAS_rn]],[1]analyte_order!$C:$C,[1]analyte_order!$E:$E)</f>
        <v>48</v>
      </c>
      <c r="I632">
        <v>0.1</v>
      </c>
    </row>
    <row r="633" spans="1:9" x14ac:dyDescent="0.3">
      <c r="A633" s="2" t="s">
        <v>64</v>
      </c>
      <c r="B633" s="1">
        <v>44285</v>
      </c>
      <c r="C633" s="1" t="str">
        <f t="shared" si="9"/>
        <v>21089</v>
      </c>
      <c r="D633" t="s">
        <v>29</v>
      </c>
      <c r="E633" s="2" t="s">
        <v>27</v>
      </c>
      <c r="F633" s="2" t="str">
        <f>_xlfn.XLOOKUP(Table1_1[[#This Row],[CAS_rn]],[1]analyte_order!$C:$C,[1]analyte_order!$B:$B)</f>
        <v>NFDHA</v>
      </c>
      <c r="G633" t="s">
        <v>140</v>
      </c>
      <c r="H633" s="2">
        <f>_xlfn.XLOOKUP(Table1_1[[#This Row],[CAS_rn]],[1]analyte_order!$C:$C,[1]analyte_order!$E:$E)</f>
        <v>50</v>
      </c>
      <c r="I633">
        <v>0.1</v>
      </c>
    </row>
    <row r="634" spans="1:9" x14ac:dyDescent="0.3">
      <c r="A634" s="2" t="s">
        <v>64</v>
      </c>
      <c r="B634" s="1">
        <v>44285</v>
      </c>
      <c r="C634" s="1" t="str">
        <f t="shared" si="9"/>
        <v>21089</v>
      </c>
      <c r="D634" t="s">
        <v>29</v>
      </c>
      <c r="E634" s="2" t="s">
        <v>27</v>
      </c>
      <c r="F634" s="2" t="str">
        <f>_xlfn.XLOOKUP(Table1_1[[#This Row],[CAS_rn]],[1]analyte_order!$C:$C,[1]analyte_order!$B:$B)</f>
        <v>9Cl-PF3ONS</v>
      </c>
      <c r="G634" t="s">
        <v>141</v>
      </c>
      <c r="H634" s="2">
        <f>_xlfn.XLOOKUP(Table1_1[[#This Row],[CAS_rn]],[1]analyte_order!$C:$C,[1]analyte_order!$E:$E)</f>
        <v>36</v>
      </c>
      <c r="I634">
        <v>0.2</v>
      </c>
    </row>
    <row r="635" spans="1:9" x14ac:dyDescent="0.3">
      <c r="A635" s="2" t="s">
        <v>64</v>
      </c>
      <c r="B635" s="1">
        <v>44285</v>
      </c>
      <c r="C635" s="1" t="str">
        <f t="shared" si="9"/>
        <v>21089</v>
      </c>
      <c r="D635" t="s">
        <v>29</v>
      </c>
      <c r="E635" s="2" t="s">
        <v>27</v>
      </c>
      <c r="F635" s="2" t="str">
        <f>_xlfn.XLOOKUP(Table1_1[[#This Row],[CAS_rn]],[1]analyte_order!$C:$C,[1]analyte_order!$B:$B)</f>
        <v>11Cl-PF3OUdS</v>
      </c>
      <c r="G635" t="s">
        <v>142</v>
      </c>
      <c r="H635" s="2">
        <f>_xlfn.XLOOKUP(Table1_1[[#This Row],[CAS_rn]],[1]analyte_order!$C:$C,[1]analyte_order!$E:$E)</f>
        <v>37</v>
      </c>
      <c r="I635">
        <v>0.2</v>
      </c>
    </row>
    <row r="636" spans="1:9" x14ac:dyDescent="0.3">
      <c r="A636" s="2" t="s">
        <v>64</v>
      </c>
      <c r="B636" s="1">
        <v>44285</v>
      </c>
      <c r="C636" s="1" t="str">
        <f t="shared" si="9"/>
        <v>21089</v>
      </c>
      <c r="D636" t="s">
        <v>29</v>
      </c>
      <c r="E636" s="2" t="s">
        <v>27</v>
      </c>
      <c r="F636" s="2" t="str">
        <f>_xlfn.XLOOKUP(Table1_1[[#This Row],[CAS_rn]],[1]analyte_order!$C:$C,[1]analyte_order!$B:$B)</f>
        <v>PFEESA</v>
      </c>
      <c r="G636" t="s">
        <v>143</v>
      </c>
      <c r="H636" s="2">
        <f>_xlfn.XLOOKUP(Table1_1[[#This Row],[CAS_rn]],[1]analyte_order!$C:$C,[1]analyte_order!$E:$E)</f>
        <v>47</v>
      </c>
      <c r="I636">
        <v>0.1</v>
      </c>
    </row>
    <row r="637" spans="1:9" x14ac:dyDescent="0.3">
      <c r="A637" s="2" t="s">
        <v>64</v>
      </c>
      <c r="B637" s="1">
        <v>44285</v>
      </c>
      <c r="C637" s="1" t="str">
        <f t="shared" si="9"/>
        <v>21089</v>
      </c>
      <c r="D637" t="s">
        <v>29</v>
      </c>
      <c r="E637" s="2" t="s">
        <v>27</v>
      </c>
      <c r="F637" s="2" t="str">
        <f>_xlfn.XLOOKUP(Table1_1[[#This Row],[CAS_rn]],[1]analyte_order!$C:$C,[1]analyte_order!$B:$B)</f>
        <v>3:3 FTCA</v>
      </c>
      <c r="G637" t="s">
        <v>144</v>
      </c>
      <c r="H637" s="2">
        <f>_xlfn.XLOOKUP(Table1_1[[#This Row],[CAS_rn]],[1]analyte_order!$C:$C,[1]analyte_order!$E:$E)</f>
        <v>38</v>
      </c>
      <c r="I637">
        <v>0.25</v>
      </c>
    </row>
    <row r="638" spans="1:9" x14ac:dyDescent="0.3">
      <c r="A638" s="2" t="s">
        <v>64</v>
      </c>
      <c r="B638" s="1">
        <v>44285</v>
      </c>
      <c r="C638" s="1" t="str">
        <f t="shared" si="9"/>
        <v>21089</v>
      </c>
      <c r="D638" t="s">
        <v>29</v>
      </c>
      <c r="E638" s="2" t="s">
        <v>27</v>
      </c>
      <c r="F638" s="2" t="str">
        <f>_xlfn.XLOOKUP(Table1_1[[#This Row],[CAS_rn]],[1]analyte_order!$C:$C,[1]analyte_order!$B:$B)</f>
        <v>5:3 FTCA</v>
      </c>
      <c r="G638" t="s">
        <v>145</v>
      </c>
      <c r="H638" s="2">
        <f>_xlfn.XLOOKUP(Table1_1[[#This Row],[CAS_rn]],[1]analyte_order!$C:$C,[1]analyte_order!$E:$E)</f>
        <v>39</v>
      </c>
      <c r="I638">
        <v>1.25</v>
      </c>
    </row>
    <row r="639" spans="1:9" x14ac:dyDescent="0.3">
      <c r="A639" s="2" t="s">
        <v>64</v>
      </c>
      <c r="B639" s="1">
        <v>44285</v>
      </c>
      <c r="C639" s="1" t="str">
        <f t="shared" si="9"/>
        <v>21089</v>
      </c>
      <c r="D639" t="s">
        <v>29</v>
      </c>
      <c r="E639" s="2" t="s">
        <v>27</v>
      </c>
      <c r="F639" s="2" t="str">
        <f>_xlfn.XLOOKUP(Table1_1[[#This Row],[CAS_rn]],[1]analyte_order!$C:$C,[1]analyte_order!$B:$B)</f>
        <v>7:3 FTCA</v>
      </c>
      <c r="G639" t="s">
        <v>146</v>
      </c>
      <c r="H639" s="2">
        <f>_xlfn.XLOOKUP(Table1_1[[#This Row],[CAS_rn]],[1]analyte_order!$C:$C,[1]analyte_order!$E:$E)</f>
        <v>40</v>
      </c>
      <c r="I639">
        <v>1.25</v>
      </c>
    </row>
    <row r="640" spans="1:9" x14ac:dyDescent="0.3">
      <c r="A640" s="2" t="s">
        <v>64</v>
      </c>
      <c r="B640" s="1">
        <v>44285</v>
      </c>
      <c r="C640" s="1" t="str">
        <f t="shared" si="9"/>
        <v>21089</v>
      </c>
      <c r="D640" t="s">
        <v>29</v>
      </c>
      <c r="E640" s="2" t="s">
        <v>27</v>
      </c>
      <c r="F640" s="2" t="str">
        <f>_xlfn.XLOOKUP(Table1_1[[#This Row],[CAS_rn]],[1]analyte_order!$C:$C,[1]analyte_order!$B:$B)</f>
        <v>PFDS</v>
      </c>
      <c r="G640" t="s">
        <v>147</v>
      </c>
      <c r="H640" s="2">
        <f>_xlfn.XLOOKUP(Table1_1[[#This Row],[CAS_rn]],[1]analyte_order!$C:$C,[1]analyte_order!$E:$E)</f>
        <v>20</v>
      </c>
      <c r="I640">
        <v>0.05</v>
      </c>
    </row>
    <row r="641" spans="1:9" x14ac:dyDescent="0.3">
      <c r="A641" s="2" t="s">
        <v>64</v>
      </c>
      <c r="B641" s="1">
        <v>44285</v>
      </c>
      <c r="C641" s="1" t="str">
        <f t="shared" si="9"/>
        <v>21089</v>
      </c>
      <c r="D641" t="s">
        <v>29</v>
      </c>
      <c r="E641" s="2" t="s">
        <v>27</v>
      </c>
      <c r="F641" s="2" t="str">
        <f>_xlfn.XLOOKUP(Table1_1[[#This Row],[CAS_rn]],[1]analyte_order!$C:$C,[1]analyte_order!$B:$B)</f>
        <v>PFMPA</v>
      </c>
      <c r="G641" t="s">
        <v>148</v>
      </c>
      <c r="H641" s="2">
        <f>_xlfn.XLOOKUP(Table1_1[[#This Row],[CAS_rn]],[1]analyte_order!$C:$C,[1]analyte_order!$E:$E)</f>
        <v>49</v>
      </c>
      <c r="I641">
        <v>0.1</v>
      </c>
    </row>
    <row r="642" spans="1:9" x14ac:dyDescent="0.3">
      <c r="A642" s="2" t="s">
        <v>65</v>
      </c>
      <c r="B642" s="3">
        <v>44293.5</v>
      </c>
      <c r="C642" s="1" t="str">
        <f t="shared" si="9"/>
        <v>21098</v>
      </c>
      <c r="D642" t="s">
        <v>26</v>
      </c>
      <c r="E642" s="2" t="s">
        <v>27</v>
      </c>
      <c r="F642" s="2" t="str">
        <f>_xlfn.XLOOKUP(Table1_1[[#This Row],[CAS_rn]],[1]analyte_order!$C:$C,[1]analyte_order!$B:$B)</f>
        <v>PFBA</v>
      </c>
      <c r="G642" t="s">
        <v>109</v>
      </c>
      <c r="H642" s="2">
        <f>_xlfn.XLOOKUP(Table1_1[[#This Row],[CAS_rn]],[1]analyte_order!$C:$C,[1]analyte_order!$E:$E)</f>
        <v>1</v>
      </c>
      <c r="I642">
        <v>0.19500000000000001</v>
      </c>
    </row>
    <row r="643" spans="1:9" x14ac:dyDescent="0.3">
      <c r="A643" s="2" t="s">
        <v>65</v>
      </c>
      <c r="B643" s="3">
        <v>44293.5</v>
      </c>
      <c r="C643" s="1" t="str">
        <f t="shared" ref="C643:C706" si="10">TEXT(B643,"yy")&amp;TEXT((B643-DATEVALUE("1/1/"&amp;TEXT(B643,"yy"))+1),"000")</f>
        <v>21098</v>
      </c>
      <c r="D643" t="s">
        <v>26</v>
      </c>
      <c r="E643" s="2" t="s">
        <v>27</v>
      </c>
      <c r="F643" s="2" t="str">
        <f>_xlfn.XLOOKUP(Table1_1[[#This Row],[CAS_rn]],[1]analyte_order!$C:$C,[1]analyte_order!$B:$B)</f>
        <v>PFPeA</v>
      </c>
      <c r="G643" t="s">
        <v>110</v>
      </c>
      <c r="H643" s="2">
        <f>_xlfn.XLOOKUP(Table1_1[[#This Row],[CAS_rn]],[1]analyte_order!$C:$C,[1]analyte_order!$E:$E)</f>
        <v>2</v>
      </c>
      <c r="I643">
        <v>0.1</v>
      </c>
    </row>
    <row r="644" spans="1:9" x14ac:dyDescent="0.3">
      <c r="A644" s="2" t="s">
        <v>65</v>
      </c>
      <c r="B644" s="3">
        <v>44293.5</v>
      </c>
      <c r="C644" s="1" t="str">
        <f t="shared" si="10"/>
        <v>21098</v>
      </c>
      <c r="D644" t="s">
        <v>26</v>
      </c>
      <c r="E644" s="2" t="s">
        <v>27</v>
      </c>
      <c r="F644" s="2" t="str">
        <f>_xlfn.XLOOKUP(Table1_1[[#This Row],[CAS_rn]],[1]analyte_order!$C:$C,[1]analyte_order!$B:$B)</f>
        <v>PFHxA</v>
      </c>
      <c r="G644" t="s">
        <v>111</v>
      </c>
      <c r="H644" s="2">
        <f>_xlfn.XLOOKUP(Table1_1[[#This Row],[CAS_rn]],[1]analyte_order!$C:$C,[1]analyte_order!$E:$E)</f>
        <v>3</v>
      </c>
      <c r="I644">
        <v>0.17</v>
      </c>
    </row>
    <row r="645" spans="1:9" x14ac:dyDescent="0.3">
      <c r="A645" s="2" t="s">
        <v>65</v>
      </c>
      <c r="B645" s="3">
        <v>44293.5</v>
      </c>
      <c r="C645" s="1" t="str">
        <f t="shared" si="10"/>
        <v>21098</v>
      </c>
      <c r="D645" t="s">
        <v>26</v>
      </c>
      <c r="E645" s="2" t="s">
        <v>27</v>
      </c>
      <c r="F645" s="2" t="str">
        <f>_xlfn.XLOOKUP(Table1_1[[#This Row],[CAS_rn]],[1]analyte_order!$C:$C,[1]analyte_order!$B:$B)</f>
        <v>PFHpA</v>
      </c>
      <c r="G645" t="s">
        <v>112</v>
      </c>
      <c r="H645" s="2">
        <f>_xlfn.XLOOKUP(Table1_1[[#This Row],[CAS_rn]],[1]analyte_order!$C:$C,[1]analyte_order!$E:$E)</f>
        <v>4</v>
      </c>
      <c r="I645">
        <v>0.09</v>
      </c>
    </row>
    <row r="646" spans="1:9" x14ac:dyDescent="0.3">
      <c r="A646" s="2" t="s">
        <v>65</v>
      </c>
      <c r="B646" s="3">
        <v>44293.5</v>
      </c>
      <c r="C646" s="1" t="str">
        <f t="shared" si="10"/>
        <v>21098</v>
      </c>
      <c r="D646" t="s">
        <v>26</v>
      </c>
      <c r="E646" s="2" t="s">
        <v>27</v>
      </c>
      <c r="F646" s="2" t="str">
        <f>_xlfn.XLOOKUP(Table1_1[[#This Row],[CAS_rn]],[1]analyte_order!$C:$C,[1]analyte_order!$B:$B)</f>
        <v>PFOA</v>
      </c>
      <c r="G646" t="s">
        <v>113</v>
      </c>
      <c r="H646" s="2">
        <f>_xlfn.XLOOKUP(Table1_1[[#This Row],[CAS_rn]],[1]analyte_order!$C:$C,[1]analyte_order!$E:$E)</f>
        <v>5</v>
      </c>
      <c r="I646">
        <v>0.41</v>
      </c>
    </row>
    <row r="647" spans="1:9" x14ac:dyDescent="0.3">
      <c r="A647" s="2" t="s">
        <v>65</v>
      </c>
      <c r="B647" s="3">
        <v>44293.5</v>
      </c>
      <c r="C647" s="1" t="str">
        <f t="shared" si="10"/>
        <v>21098</v>
      </c>
      <c r="D647" t="s">
        <v>26</v>
      </c>
      <c r="E647" s="2" t="s">
        <v>27</v>
      </c>
      <c r="F647" s="2" t="str">
        <f>_xlfn.XLOOKUP(Table1_1[[#This Row],[CAS_rn]],[1]analyte_order!$C:$C,[1]analyte_order!$B:$B)</f>
        <v>PFNA</v>
      </c>
      <c r="G647" t="s">
        <v>114</v>
      </c>
      <c r="H647" s="2">
        <f>_xlfn.XLOOKUP(Table1_1[[#This Row],[CAS_rn]],[1]analyte_order!$C:$C,[1]analyte_order!$E:$E)</f>
        <v>6</v>
      </c>
      <c r="I647">
        <v>4.9000000000000002E-2</v>
      </c>
    </row>
    <row r="648" spans="1:9" x14ac:dyDescent="0.3">
      <c r="A648" s="2" t="s">
        <v>65</v>
      </c>
      <c r="B648" s="3">
        <v>44293.5</v>
      </c>
      <c r="C648" s="1" t="str">
        <f t="shared" si="10"/>
        <v>21098</v>
      </c>
      <c r="D648" t="s">
        <v>26</v>
      </c>
      <c r="E648" s="2" t="s">
        <v>27</v>
      </c>
      <c r="F648" s="2" t="str">
        <f>_xlfn.XLOOKUP(Table1_1[[#This Row],[CAS_rn]],[1]analyte_order!$C:$C,[1]analyte_order!$B:$B)</f>
        <v>PFDA</v>
      </c>
      <c r="G648" t="s">
        <v>115</v>
      </c>
      <c r="H648" s="2">
        <f>_xlfn.XLOOKUP(Table1_1[[#This Row],[CAS_rn]],[1]analyte_order!$C:$C,[1]analyte_order!$E:$E)</f>
        <v>7</v>
      </c>
      <c r="I648">
        <v>4.9000000000000002E-2</v>
      </c>
    </row>
    <row r="649" spans="1:9" x14ac:dyDescent="0.3">
      <c r="A649" s="2" t="s">
        <v>65</v>
      </c>
      <c r="B649" s="3">
        <v>44293.5</v>
      </c>
      <c r="C649" s="1" t="str">
        <f t="shared" si="10"/>
        <v>21098</v>
      </c>
      <c r="D649" t="s">
        <v>26</v>
      </c>
      <c r="E649" s="2" t="s">
        <v>27</v>
      </c>
      <c r="F649" s="2" t="str">
        <f>_xlfn.XLOOKUP(Table1_1[[#This Row],[CAS_rn]],[1]analyte_order!$C:$C,[1]analyte_order!$B:$B)</f>
        <v>PFUnA</v>
      </c>
      <c r="G649" t="s">
        <v>116</v>
      </c>
      <c r="H649" s="2">
        <f>_xlfn.XLOOKUP(Table1_1[[#This Row],[CAS_rn]],[1]analyte_order!$C:$C,[1]analyte_order!$E:$E)</f>
        <v>8</v>
      </c>
      <c r="I649">
        <v>4.9000000000000002E-2</v>
      </c>
    </row>
    <row r="650" spans="1:9" x14ac:dyDescent="0.3">
      <c r="A650" s="2" t="s">
        <v>65</v>
      </c>
      <c r="B650" s="3">
        <v>44293.5</v>
      </c>
      <c r="C650" s="1" t="str">
        <f t="shared" si="10"/>
        <v>21098</v>
      </c>
      <c r="D650" t="s">
        <v>26</v>
      </c>
      <c r="E650" s="2" t="s">
        <v>27</v>
      </c>
      <c r="F650" s="2" t="str">
        <f>_xlfn.XLOOKUP(Table1_1[[#This Row],[CAS_rn]],[1]analyte_order!$C:$C,[1]analyte_order!$B:$B)</f>
        <v>PFDoA</v>
      </c>
      <c r="G650" t="s">
        <v>117</v>
      </c>
      <c r="H650" s="2">
        <f>_xlfn.XLOOKUP(Table1_1[[#This Row],[CAS_rn]],[1]analyte_order!$C:$C,[1]analyte_order!$E:$E)</f>
        <v>9</v>
      </c>
      <c r="I650">
        <v>4.9000000000000002E-2</v>
      </c>
    </row>
    <row r="651" spans="1:9" x14ac:dyDescent="0.3">
      <c r="A651" s="2" t="s">
        <v>65</v>
      </c>
      <c r="B651" s="3">
        <v>44293.5</v>
      </c>
      <c r="C651" s="1" t="str">
        <f t="shared" si="10"/>
        <v>21098</v>
      </c>
      <c r="D651" t="s">
        <v>26</v>
      </c>
      <c r="E651" s="2" t="s">
        <v>27</v>
      </c>
      <c r="F651" s="2" t="str">
        <f>_xlfn.XLOOKUP(Table1_1[[#This Row],[CAS_rn]],[1]analyte_order!$C:$C,[1]analyte_order!$B:$B)</f>
        <v>PFTrDA</v>
      </c>
      <c r="G651" t="s">
        <v>118</v>
      </c>
      <c r="H651" s="2">
        <f>_xlfn.XLOOKUP(Table1_1[[#This Row],[CAS_rn]],[1]analyte_order!$C:$C,[1]analyte_order!$E:$E)</f>
        <v>10</v>
      </c>
      <c r="I651">
        <v>4.9000000000000002E-2</v>
      </c>
    </row>
    <row r="652" spans="1:9" x14ac:dyDescent="0.3">
      <c r="A652" s="2" t="s">
        <v>65</v>
      </c>
      <c r="B652" s="3">
        <v>44293.5</v>
      </c>
      <c r="C652" s="1" t="str">
        <f t="shared" si="10"/>
        <v>21098</v>
      </c>
      <c r="D652" t="s">
        <v>26</v>
      </c>
      <c r="E652" s="2" t="s">
        <v>27</v>
      </c>
      <c r="F652" s="2" t="str">
        <f>_xlfn.XLOOKUP(Table1_1[[#This Row],[CAS_rn]],[1]analyte_order!$C:$C,[1]analyte_order!$B:$B)</f>
        <v>PFTeDA</v>
      </c>
      <c r="G652" t="s">
        <v>119</v>
      </c>
      <c r="H652" s="2">
        <f>_xlfn.XLOOKUP(Table1_1[[#This Row],[CAS_rn]],[1]analyte_order!$C:$C,[1]analyte_order!$E:$E)</f>
        <v>11</v>
      </c>
      <c r="I652">
        <v>4.9000000000000002E-2</v>
      </c>
    </row>
    <row r="653" spans="1:9" x14ac:dyDescent="0.3">
      <c r="A653" s="2" t="s">
        <v>65</v>
      </c>
      <c r="B653" s="3">
        <v>44293.5</v>
      </c>
      <c r="C653" s="1" t="str">
        <f t="shared" si="10"/>
        <v>21098</v>
      </c>
      <c r="D653" t="s">
        <v>26</v>
      </c>
      <c r="E653" s="2" t="s">
        <v>27</v>
      </c>
      <c r="F653" s="2" t="str">
        <f>_xlfn.XLOOKUP(Table1_1[[#This Row],[CAS_rn]],[1]analyte_order!$C:$C,[1]analyte_order!$B:$B)</f>
        <v>PFBS</v>
      </c>
      <c r="G653" t="s">
        <v>120</v>
      </c>
      <c r="H653" s="2">
        <f>_xlfn.XLOOKUP(Table1_1[[#This Row],[CAS_rn]],[1]analyte_order!$C:$C,[1]analyte_order!$E:$E)</f>
        <v>14</v>
      </c>
      <c r="I653">
        <v>4.9000000000000002E-2</v>
      </c>
    </row>
    <row r="654" spans="1:9" x14ac:dyDescent="0.3">
      <c r="A654" s="2" t="s">
        <v>65</v>
      </c>
      <c r="B654" s="3">
        <v>44293.5</v>
      </c>
      <c r="C654" s="1" t="str">
        <f t="shared" si="10"/>
        <v>21098</v>
      </c>
      <c r="D654" t="s">
        <v>26</v>
      </c>
      <c r="E654" s="2" t="s">
        <v>27</v>
      </c>
      <c r="F654" s="2" t="str">
        <f>_xlfn.XLOOKUP(Table1_1[[#This Row],[CAS_rn]],[1]analyte_order!$C:$C,[1]analyte_order!$B:$B)</f>
        <v>PFPeS</v>
      </c>
      <c r="G654" t="s">
        <v>121</v>
      </c>
      <c r="H654" s="2">
        <f>_xlfn.XLOOKUP(Table1_1[[#This Row],[CAS_rn]],[1]analyte_order!$C:$C,[1]analyte_order!$E:$E)</f>
        <v>15</v>
      </c>
      <c r="I654">
        <v>4.9000000000000002E-2</v>
      </c>
    </row>
    <row r="655" spans="1:9" x14ac:dyDescent="0.3">
      <c r="A655" s="2" t="s">
        <v>65</v>
      </c>
      <c r="B655" s="3">
        <v>44293.5</v>
      </c>
      <c r="C655" s="1" t="str">
        <f t="shared" si="10"/>
        <v>21098</v>
      </c>
      <c r="D655" t="s">
        <v>26</v>
      </c>
      <c r="E655" s="2" t="s">
        <v>27</v>
      </c>
      <c r="F655" s="2" t="str">
        <f>_xlfn.XLOOKUP(Table1_1[[#This Row],[CAS_rn]],[1]analyte_order!$C:$C,[1]analyte_order!$B:$B)</f>
        <v>PFHxS</v>
      </c>
      <c r="G655" t="s">
        <v>122</v>
      </c>
      <c r="H655" s="2">
        <f>_xlfn.XLOOKUP(Table1_1[[#This Row],[CAS_rn]],[1]analyte_order!$C:$C,[1]analyte_order!$E:$E)</f>
        <v>16</v>
      </c>
      <c r="I655">
        <v>0.43</v>
      </c>
    </row>
    <row r="656" spans="1:9" x14ac:dyDescent="0.3">
      <c r="A656" s="2" t="s">
        <v>65</v>
      </c>
      <c r="B656" s="3">
        <v>44293.5</v>
      </c>
      <c r="C656" s="1" t="str">
        <f t="shared" si="10"/>
        <v>21098</v>
      </c>
      <c r="D656" t="s">
        <v>26</v>
      </c>
      <c r="E656" s="2" t="s">
        <v>27</v>
      </c>
      <c r="F656" s="2" t="str">
        <f>_xlfn.XLOOKUP(Table1_1[[#This Row],[CAS_rn]],[1]analyte_order!$C:$C,[1]analyte_order!$B:$B)</f>
        <v>PFHpS</v>
      </c>
      <c r="G656" t="s">
        <v>123</v>
      </c>
      <c r="H656" s="2">
        <f>_xlfn.XLOOKUP(Table1_1[[#This Row],[CAS_rn]],[1]analyte_order!$C:$C,[1]analyte_order!$E:$E)</f>
        <v>17</v>
      </c>
      <c r="I656">
        <v>4.9000000000000002E-2</v>
      </c>
    </row>
    <row r="657" spans="1:9" x14ac:dyDescent="0.3">
      <c r="A657" s="2" t="s">
        <v>65</v>
      </c>
      <c r="B657" s="3">
        <v>44293.5</v>
      </c>
      <c r="C657" s="1" t="str">
        <f t="shared" si="10"/>
        <v>21098</v>
      </c>
      <c r="D657" t="s">
        <v>26</v>
      </c>
      <c r="E657" s="2" t="s">
        <v>27</v>
      </c>
      <c r="F657" s="2" t="str">
        <f>_xlfn.XLOOKUP(Table1_1[[#This Row],[CAS_rn]],[1]analyte_order!$C:$C,[1]analyte_order!$B:$B)</f>
        <v>PFOS</v>
      </c>
      <c r="G657" t="s">
        <v>124</v>
      </c>
      <c r="H657" s="2">
        <f>_xlfn.XLOOKUP(Table1_1[[#This Row],[CAS_rn]],[1]analyte_order!$C:$C,[1]analyte_order!$E:$E)</f>
        <v>18</v>
      </c>
      <c r="I657">
        <v>1.2</v>
      </c>
    </row>
    <row r="658" spans="1:9" x14ac:dyDescent="0.3">
      <c r="A658" s="2" t="s">
        <v>65</v>
      </c>
      <c r="B658" s="3">
        <v>44293.5</v>
      </c>
      <c r="C658" s="1" t="str">
        <f t="shared" si="10"/>
        <v>21098</v>
      </c>
      <c r="D658" t="s">
        <v>26</v>
      </c>
      <c r="E658" s="2" t="s">
        <v>27</v>
      </c>
      <c r="F658" s="2" t="str">
        <f>_xlfn.XLOOKUP(Table1_1[[#This Row],[CAS_rn]],[1]analyte_order!$C:$C,[1]analyte_order!$B:$B)</f>
        <v>PFNS</v>
      </c>
      <c r="G658" t="s">
        <v>125</v>
      </c>
      <c r="H658" s="2">
        <f>_xlfn.XLOOKUP(Table1_1[[#This Row],[CAS_rn]],[1]analyte_order!$C:$C,[1]analyte_order!$E:$E)</f>
        <v>19</v>
      </c>
      <c r="I658">
        <v>4.9000000000000002E-2</v>
      </c>
    </row>
    <row r="659" spans="1:9" x14ac:dyDescent="0.3">
      <c r="A659" s="2" t="s">
        <v>65</v>
      </c>
      <c r="B659" s="3">
        <v>44293.5</v>
      </c>
      <c r="C659" s="1" t="str">
        <f t="shared" si="10"/>
        <v>21098</v>
      </c>
      <c r="D659" t="s">
        <v>26</v>
      </c>
      <c r="E659" s="2" t="s">
        <v>27</v>
      </c>
      <c r="F659" s="2" t="str">
        <f>_xlfn.XLOOKUP(Table1_1[[#This Row],[CAS_rn]],[1]analyte_order!$C:$C,[1]analyte_order!$B:$B)</f>
        <v>PFDoS</v>
      </c>
      <c r="G659" t="s">
        <v>126</v>
      </c>
      <c r="H659" s="2">
        <f>_xlfn.XLOOKUP(Table1_1[[#This Row],[CAS_rn]],[1]analyte_order!$C:$C,[1]analyte_order!$E:$E)</f>
        <v>21</v>
      </c>
      <c r="I659">
        <v>4.9000000000000002E-2</v>
      </c>
    </row>
    <row r="660" spans="1:9" x14ac:dyDescent="0.3">
      <c r="A660" s="2" t="s">
        <v>65</v>
      </c>
      <c r="B660" s="3">
        <v>44293.5</v>
      </c>
      <c r="C660" s="1" t="str">
        <f t="shared" si="10"/>
        <v>21098</v>
      </c>
      <c r="D660" t="s">
        <v>26</v>
      </c>
      <c r="E660" s="2" t="s">
        <v>27</v>
      </c>
      <c r="F660" s="2" t="str">
        <f>_xlfn.XLOOKUP(Table1_1[[#This Row],[CAS_rn]],[1]analyte_order!$C:$C,[1]analyte_order!$B:$B)</f>
        <v>4:2 FTS</v>
      </c>
      <c r="G660" t="s">
        <v>127</v>
      </c>
      <c r="H660" s="2">
        <f>_xlfn.XLOOKUP(Table1_1[[#This Row],[CAS_rn]],[1]analyte_order!$C:$C,[1]analyte_order!$E:$E)</f>
        <v>22</v>
      </c>
      <c r="I660">
        <v>0.19500000000000001</v>
      </c>
    </row>
    <row r="661" spans="1:9" x14ac:dyDescent="0.3">
      <c r="A661" s="2" t="s">
        <v>65</v>
      </c>
      <c r="B661" s="3">
        <v>44293.5</v>
      </c>
      <c r="C661" s="1" t="str">
        <f t="shared" si="10"/>
        <v>21098</v>
      </c>
      <c r="D661" t="s">
        <v>26</v>
      </c>
      <c r="E661" s="2" t="s">
        <v>27</v>
      </c>
      <c r="F661" s="2" t="str">
        <f>_xlfn.XLOOKUP(Table1_1[[#This Row],[CAS_rn]],[1]analyte_order!$C:$C,[1]analyte_order!$B:$B)</f>
        <v>6:2 FTS</v>
      </c>
      <c r="G661" t="s">
        <v>128</v>
      </c>
      <c r="H661" s="2">
        <f>_xlfn.XLOOKUP(Table1_1[[#This Row],[CAS_rn]],[1]analyte_order!$C:$C,[1]analyte_order!$E:$E)</f>
        <v>23</v>
      </c>
      <c r="I661">
        <v>0.39500000000000002</v>
      </c>
    </row>
    <row r="662" spans="1:9" x14ac:dyDescent="0.3">
      <c r="A662" s="2" t="s">
        <v>65</v>
      </c>
      <c r="B662" s="3">
        <v>44293.5</v>
      </c>
      <c r="C662" s="1" t="str">
        <f t="shared" si="10"/>
        <v>21098</v>
      </c>
      <c r="D662" t="s">
        <v>26</v>
      </c>
      <c r="E662" s="2" t="s">
        <v>27</v>
      </c>
      <c r="F662" s="2" t="str">
        <f>_xlfn.XLOOKUP(Table1_1[[#This Row],[CAS_rn]],[1]analyte_order!$C:$C,[1]analyte_order!$B:$B)</f>
        <v>8:2 FTS</v>
      </c>
      <c r="G662" t="s">
        <v>129</v>
      </c>
      <c r="H662" s="2">
        <f>_xlfn.XLOOKUP(Table1_1[[#This Row],[CAS_rn]],[1]analyte_order!$C:$C,[1]analyte_order!$E:$E)</f>
        <v>24</v>
      </c>
      <c r="I662">
        <v>0.39500000000000002</v>
      </c>
    </row>
    <row r="663" spans="1:9" x14ac:dyDescent="0.3">
      <c r="A663" s="2" t="s">
        <v>65</v>
      </c>
      <c r="B663" s="3">
        <v>44293.5</v>
      </c>
      <c r="C663" s="1" t="str">
        <f t="shared" si="10"/>
        <v>21098</v>
      </c>
      <c r="D663" t="s">
        <v>26</v>
      </c>
      <c r="E663" s="2" t="s">
        <v>27</v>
      </c>
      <c r="F663" s="2" t="str">
        <f>_xlfn.XLOOKUP(Table1_1[[#This Row],[CAS_rn]],[1]analyte_order!$C:$C,[1]analyte_order!$B:$B)</f>
        <v>FOSA</v>
      </c>
      <c r="G663" t="s">
        <v>130</v>
      </c>
      <c r="H663" s="2">
        <f>_xlfn.XLOOKUP(Table1_1[[#This Row],[CAS_rn]],[1]analyte_order!$C:$C,[1]analyte_order!$E:$E)</f>
        <v>28</v>
      </c>
      <c r="I663">
        <v>0.09</v>
      </c>
    </row>
    <row r="664" spans="1:9" x14ac:dyDescent="0.3">
      <c r="A664" s="2" t="s">
        <v>65</v>
      </c>
      <c r="B664" s="3">
        <v>44293.5</v>
      </c>
      <c r="C664" s="1" t="str">
        <f t="shared" si="10"/>
        <v>21098</v>
      </c>
      <c r="D664" t="s">
        <v>26</v>
      </c>
      <c r="E664" s="2" t="s">
        <v>27</v>
      </c>
      <c r="F664" s="2" t="str">
        <f>_xlfn.XLOOKUP(Table1_1[[#This Row],[CAS_rn]],[1]analyte_order!$C:$C,[1]analyte_order!$B:$B)</f>
        <v>N-MeFOSA</v>
      </c>
      <c r="G664" t="s">
        <v>131</v>
      </c>
      <c r="H664" s="2">
        <f>_xlfn.XLOOKUP(Table1_1[[#This Row],[CAS_rn]],[1]analyte_order!$C:$C,[1]analyte_order!$E:$E)</f>
        <v>30</v>
      </c>
      <c r="I664">
        <v>4.9000000000000002E-2</v>
      </c>
    </row>
    <row r="665" spans="1:9" x14ac:dyDescent="0.3">
      <c r="A665" s="2" t="s">
        <v>65</v>
      </c>
      <c r="B665" s="3">
        <v>44293.5</v>
      </c>
      <c r="C665" s="1" t="str">
        <f t="shared" si="10"/>
        <v>21098</v>
      </c>
      <c r="D665" t="s">
        <v>26</v>
      </c>
      <c r="E665" s="2" t="s">
        <v>27</v>
      </c>
      <c r="F665" s="2" t="str">
        <f>_xlfn.XLOOKUP(Table1_1[[#This Row],[CAS_rn]],[1]analyte_order!$C:$C,[1]analyte_order!$B:$B)</f>
        <v>N-MeFOSAA</v>
      </c>
      <c r="G665" t="s">
        <v>132</v>
      </c>
      <c r="H665" s="2">
        <f>_xlfn.XLOOKUP(Table1_1[[#This Row],[CAS_rn]],[1]analyte_order!$C:$C,[1]analyte_order!$E:$E)</f>
        <v>26</v>
      </c>
      <c r="I665">
        <v>4.9000000000000002E-2</v>
      </c>
    </row>
    <row r="666" spans="1:9" x14ac:dyDescent="0.3">
      <c r="A666" s="2" t="s">
        <v>65</v>
      </c>
      <c r="B666" s="3">
        <v>44293.5</v>
      </c>
      <c r="C666" s="1" t="str">
        <f t="shared" si="10"/>
        <v>21098</v>
      </c>
      <c r="D666" t="s">
        <v>26</v>
      </c>
      <c r="E666" s="2" t="s">
        <v>27</v>
      </c>
      <c r="F666" s="2" t="str">
        <f>_xlfn.XLOOKUP(Table1_1[[#This Row],[CAS_rn]],[1]analyte_order!$C:$C,[1]analyte_order!$B:$B)</f>
        <v>N-EtFOSA</v>
      </c>
      <c r="G666" t="s">
        <v>133</v>
      </c>
      <c r="H666" s="2">
        <f>_xlfn.XLOOKUP(Table1_1[[#This Row],[CAS_rn]],[1]analyte_order!$C:$C,[1]analyte_order!$E:$E)</f>
        <v>31</v>
      </c>
      <c r="I666">
        <v>4.9000000000000002E-2</v>
      </c>
    </row>
    <row r="667" spans="1:9" x14ac:dyDescent="0.3">
      <c r="A667" s="2" t="s">
        <v>65</v>
      </c>
      <c r="B667" s="3">
        <v>44293.5</v>
      </c>
      <c r="C667" s="1" t="str">
        <f t="shared" si="10"/>
        <v>21098</v>
      </c>
      <c r="D667" t="s">
        <v>26</v>
      </c>
      <c r="E667" s="2" t="s">
        <v>27</v>
      </c>
      <c r="F667" s="2" t="str">
        <f>_xlfn.XLOOKUP(Table1_1[[#This Row],[CAS_rn]],[1]analyte_order!$C:$C,[1]analyte_order!$B:$B)</f>
        <v>N-EtFOSAA</v>
      </c>
      <c r="G667" t="s">
        <v>134</v>
      </c>
      <c r="H667" s="2">
        <f>_xlfn.XLOOKUP(Table1_1[[#This Row],[CAS_rn]],[1]analyte_order!$C:$C,[1]analyte_order!$E:$E)</f>
        <v>27</v>
      </c>
      <c r="I667">
        <v>4.9000000000000002E-2</v>
      </c>
    </row>
    <row r="668" spans="1:9" x14ac:dyDescent="0.3">
      <c r="A668" s="2" t="s">
        <v>65</v>
      </c>
      <c r="B668" s="3">
        <v>44293.5</v>
      </c>
      <c r="C668" s="1" t="str">
        <f t="shared" si="10"/>
        <v>21098</v>
      </c>
      <c r="D668" t="s">
        <v>26</v>
      </c>
      <c r="E668" s="2" t="s">
        <v>27</v>
      </c>
      <c r="F668" s="2" t="str">
        <f>_xlfn.XLOOKUP(Table1_1[[#This Row],[CAS_rn]],[1]analyte_order!$C:$C,[1]analyte_order!$B:$B)</f>
        <v>N-MeFOSE</v>
      </c>
      <c r="G668" t="s">
        <v>135</v>
      </c>
      <c r="H668" s="2">
        <f>_xlfn.XLOOKUP(Table1_1[[#This Row],[CAS_rn]],[1]analyte_order!$C:$C,[1]analyte_order!$E:$E)</f>
        <v>32</v>
      </c>
      <c r="I668">
        <v>0.49</v>
      </c>
    </row>
    <row r="669" spans="1:9" x14ac:dyDescent="0.3">
      <c r="A669" s="2" t="s">
        <v>65</v>
      </c>
      <c r="B669" s="3">
        <v>44293.5</v>
      </c>
      <c r="C669" s="1" t="str">
        <f t="shared" si="10"/>
        <v>21098</v>
      </c>
      <c r="D669" t="s">
        <v>26</v>
      </c>
      <c r="E669" s="2" t="s">
        <v>27</v>
      </c>
      <c r="F669" s="2" t="str">
        <f>_xlfn.XLOOKUP(Table1_1[[#This Row],[CAS_rn]],[1]analyte_order!$C:$C,[1]analyte_order!$B:$B)</f>
        <v>N-EtFOSE</v>
      </c>
      <c r="G669" t="s">
        <v>136</v>
      </c>
      <c r="H669" s="2">
        <f>_xlfn.XLOOKUP(Table1_1[[#This Row],[CAS_rn]],[1]analyte_order!$C:$C,[1]analyte_order!$E:$E)</f>
        <v>33</v>
      </c>
      <c r="I669">
        <v>0.49</v>
      </c>
    </row>
    <row r="670" spans="1:9" x14ac:dyDescent="0.3">
      <c r="A670" s="2" t="s">
        <v>65</v>
      </c>
      <c r="B670" s="3">
        <v>44293.5</v>
      </c>
      <c r="C670" s="1" t="str">
        <f t="shared" si="10"/>
        <v>21098</v>
      </c>
      <c r="D670" t="s">
        <v>26</v>
      </c>
      <c r="E670" s="2" t="s">
        <v>27</v>
      </c>
      <c r="F670" s="2" t="str">
        <f>_xlfn.XLOOKUP(Table1_1[[#This Row],[CAS_rn]],[1]analyte_order!$C:$C,[1]analyte_order!$B:$B)</f>
        <v>HFPO-DA</v>
      </c>
      <c r="G670" t="s">
        <v>137</v>
      </c>
      <c r="H670" s="2">
        <f>_xlfn.XLOOKUP(Table1_1[[#This Row],[CAS_rn]],[1]analyte_order!$C:$C,[1]analyte_order!$E:$E)</f>
        <v>34</v>
      </c>
      <c r="I670">
        <v>0.29499999999999998</v>
      </c>
    </row>
    <row r="671" spans="1:9" x14ac:dyDescent="0.3">
      <c r="A671" s="2" t="s">
        <v>65</v>
      </c>
      <c r="B671" s="3">
        <v>44293.5</v>
      </c>
      <c r="C671" s="1" t="str">
        <f t="shared" si="10"/>
        <v>21098</v>
      </c>
      <c r="D671" t="s">
        <v>26</v>
      </c>
      <c r="E671" s="2" t="s">
        <v>27</v>
      </c>
      <c r="F671" s="2" t="str">
        <f>_xlfn.XLOOKUP(Table1_1[[#This Row],[CAS_rn]],[1]analyte_order!$C:$C,[1]analyte_order!$B:$B)</f>
        <v>ADONA</v>
      </c>
      <c r="G671" t="s">
        <v>138</v>
      </c>
      <c r="H671" s="2">
        <f>_xlfn.XLOOKUP(Table1_1[[#This Row],[CAS_rn]],[1]analyte_order!$C:$C,[1]analyte_order!$E:$E)</f>
        <v>35</v>
      </c>
      <c r="I671">
        <v>0.19500000000000001</v>
      </c>
    </row>
    <row r="672" spans="1:9" x14ac:dyDescent="0.3">
      <c r="A672" s="2" t="s">
        <v>65</v>
      </c>
      <c r="B672" s="3">
        <v>44293.5</v>
      </c>
      <c r="C672" s="1" t="str">
        <f t="shared" si="10"/>
        <v>21098</v>
      </c>
      <c r="D672" t="s">
        <v>26</v>
      </c>
      <c r="E672" s="2" t="s">
        <v>27</v>
      </c>
      <c r="F672" s="2" t="str">
        <f>_xlfn.XLOOKUP(Table1_1[[#This Row],[CAS_rn]],[1]analyte_order!$C:$C,[1]analyte_order!$B:$B)</f>
        <v>PFMBA</v>
      </c>
      <c r="G672" t="s">
        <v>139</v>
      </c>
      <c r="H672" s="2">
        <f>_xlfn.XLOOKUP(Table1_1[[#This Row],[CAS_rn]],[1]analyte_order!$C:$C,[1]analyte_order!$E:$E)</f>
        <v>48</v>
      </c>
      <c r="I672">
        <v>0.1</v>
      </c>
    </row>
    <row r="673" spans="1:9" x14ac:dyDescent="0.3">
      <c r="A673" s="2" t="s">
        <v>65</v>
      </c>
      <c r="B673" s="3">
        <v>44293.5</v>
      </c>
      <c r="C673" s="1" t="str">
        <f t="shared" si="10"/>
        <v>21098</v>
      </c>
      <c r="D673" t="s">
        <v>26</v>
      </c>
      <c r="E673" s="2" t="s">
        <v>27</v>
      </c>
      <c r="F673" s="2" t="str">
        <f>_xlfn.XLOOKUP(Table1_1[[#This Row],[CAS_rn]],[1]analyte_order!$C:$C,[1]analyte_order!$B:$B)</f>
        <v>NFDHA</v>
      </c>
      <c r="G673" t="s">
        <v>140</v>
      </c>
      <c r="H673" s="2">
        <f>_xlfn.XLOOKUP(Table1_1[[#This Row],[CAS_rn]],[1]analyte_order!$C:$C,[1]analyte_order!$E:$E)</f>
        <v>50</v>
      </c>
      <c r="I673">
        <v>0.1</v>
      </c>
    </row>
    <row r="674" spans="1:9" x14ac:dyDescent="0.3">
      <c r="A674" s="2" t="s">
        <v>65</v>
      </c>
      <c r="B674" s="3">
        <v>44293.5</v>
      </c>
      <c r="C674" s="1" t="str">
        <f t="shared" si="10"/>
        <v>21098</v>
      </c>
      <c r="D674" t="s">
        <v>26</v>
      </c>
      <c r="E674" s="2" t="s">
        <v>27</v>
      </c>
      <c r="F674" s="2" t="str">
        <f>_xlfn.XLOOKUP(Table1_1[[#This Row],[CAS_rn]],[1]analyte_order!$C:$C,[1]analyte_order!$B:$B)</f>
        <v>9Cl-PF3ONS</v>
      </c>
      <c r="G674" t="s">
        <v>141</v>
      </c>
      <c r="H674" s="2">
        <f>_xlfn.XLOOKUP(Table1_1[[#This Row],[CAS_rn]],[1]analyte_order!$C:$C,[1]analyte_order!$E:$E)</f>
        <v>36</v>
      </c>
      <c r="I674">
        <v>0.19500000000000001</v>
      </c>
    </row>
    <row r="675" spans="1:9" x14ac:dyDescent="0.3">
      <c r="A675" s="2" t="s">
        <v>65</v>
      </c>
      <c r="B675" s="3">
        <v>44293.5</v>
      </c>
      <c r="C675" s="1" t="str">
        <f t="shared" si="10"/>
        <v>21098</v>
      </c>
      <c r="D675" t="s">
        <v>26</v>
      </c>
      <c r="E675" s="2" t="s">
        <v>27</v>
      </c>
      <c r="F675" s="2" t="str">
        <f>_xlfn.XLOOKUP(Table1_1[[#This Row],[CAS_rn]],[1]analyte_order!$C:$C,[1]analyte_order!$B:$B)</f>
        <v>11Cl-PF3OUdS</v>
      </c>
      <c r="G675" t="s">
        <v>142</v>
      </c>
      <c r="H675" s="2">
        <f>_xlfn.XLOOKUP(Table1_1[[#This Row],[CAS_rn]],[1]analyte_order!$C:$C,[1]analyte_order!$E:$E)</f>
        <v>37</v>
      </c>
      <c r="I675">
        <v>0.19500000000000001</v>
      </c>
    </row>
    <row r="676" spans="1:9" x14ac:dyDescent="0.3">
      <c r="A676" s="2" t="s">
        <v>65</v>
      </c>
      <c r="B676" s="3">
        <v>44293.5</v>
      </c>
      <c r="C676" s="1" t="str">
        <f t="shared" si="10"/>
        <v>21098</v>
      </c>
      <c r="D676" t="s">
        <v>26</v>
      </c>
      <c r="E676" s="2" t="s">
        <v>27</v>
      </c>
      <c r="F676" s="2" t="str">
        <f>_xlfn.XLOOKUP(Table1_1[[#This Row],[CAS_rn]],[1]analyte_order!$C:$C,[1]analyte_order!$B:$B)</f>
        <v>PFEESA</v>
      </c>
      <c r="G676" t="s">
        <v>143</v>
      </c>
      <c r="H676" s="2">
        <f>_xlfn.XLOOKUP(Table1_1[[#This Row],[CAS_rn]],[1]analyte_order!$C:$C,[1]analyte_order!$E:$E)</f>
        <v>47</v>
      </c>
      <c r="I676">
        <v>0.1</v>
      </c>
    </row>
    <row r="677" spans="1:9" x14ac:dyDescent="0.3">
      <c r="A677" s="2" t="s">
        <v>65</v>
      </c>
      <c r="B677" s="3">
        <v>44293.5</v>
      </c>
      <c r="C677" s="1" t="str">
        <f t="shared" si="10"/>
        <v>21098</v>
      </c>
      <c r="D677" t="s">
        <v>26</v>
      </c>
      <c r="E677" s="2" t="s">
        <v>27</v>
      </c>
      <c r="F677" s="2" t="str">
        <f>_xlfn.XLOOKUP(Table1_1[[#This Row],[CAS_rn]],[1]analyte_order!$C:$C,[1]analyte_order!$B:$B)</f>
        <v>3:3 FTCA</v>
      </c>
      <c r="G677" t="s">
        <v>144</v>
      </c>
      <c r="H677" s="2">
        <f>_xlfn.XLOOKUP(Table1_1[[#This Row],[CAS_rn]],[1]analyte_order!$C:$C,[1]analyte_order!$E:$E)</f>
        <v>38</v>
      </c>
      <c r="I677">
        <v>0.245</v>
      </c>
    </row>
    <row r="678" spans="1:9" x14ac:dyDescent="0.3">
      <c r="A678" s="2" t="s">
        <v>65</v>
      </c>
      <c r="B678" s="3">
        <v>44293.5</v>
      </c>
      <c r="C678" s="1" t="str">
        <f t="shared" si="10"/>
        <v>21098</v>
      </c>
      <c r="D678" t="s">
        <v>26</v>
      </c>
      <c r="E678" s="2" t="s">
        <v>27</v>
      </c>
      <c r="F678" s="2" t="str">
        <f>_xlfn.XLOOKUP(Table1_1[[#This Row],[CAS_rn]],[1]analyte_order!$C:$C,[1]analyte_order!$B:$B)</f>
        <v>5:3 FTCA</v>
      </c>
      <c r="G678" t="s">
        <v>145</v>
      </c>
      <c r="H678" s="2">
        <f>_xlfn.XLOOKUP(Table1_1[[#This Row],[CAS_rn]],[1]analyte_order!$C:$C,[1]analyte_order!$E:$E)</f>
        <v>39</v>
      </c>
      <c r="I678">
        <v>1.25</v>
      </c>
    </row>
    <row r="679" spans="1:9" x14ac:dyDescent="0.3">
      <c r="A679" s="2" t="s">
        <v>65</v>
      </c>
      <c r="B679" s="3">
        <v>44293.5</v>
      </c>
      <c r="C679" s="1" t="str">
        <f t="shared" si="10"/>
        <v>21098</v>
      </c>
      <c r="D679" t="s">
        <v>26</v>
      </c>
      <c r="E679" s="2" t="s">
        <v>27</v>
      </c>
      <c r="F679" s="2" t="str">
        <f>_xlfn.XLOOKUP(Table1_1[[#This Row],[CAS_rn]],[1]analyte_order!$C:$C,[1]analyte_order!$B:$B)</f>
        <v>7:3 FTCA</v>
      </c>
      <c r="G679" t="s">
        <v>146</v>
      </c>
      <c r="H679" s="2">
        <f>_xlfn.XLOOKUP(Table1_1[[#This Row],[CAS_rn]],[1]analyte_order!$C:$C,[1]analyte_order!$E:$E)</f>
        <v>40</v>
      </c>
      <c r="I679">
        <v>1.25</v>
      </c>
    </row>
    <row r="680" spans="1:9" x14ac:dyDescent="0.3">
      <c r="A680" s="2" t="s">
        <v>65</v>
      </c>
      <c r="B680" s="3">
        <v>44293.5</v>
      </c>
      <c r="C680" s="1" t="str">
        <f t="shared" si="10"/>
        <v>21098</v>
      </c>
      <c r="D680" t="s">
        <v>26</v>
      </c>
      <c r="E680" s="2" t="s">
        <v>27</v>
      </c>
      <c r="F680" s="2" t="str">
        <f>_xlfn.XLOOKUP(Table1_1[[#This Row],[CAS_rn]],[1]analyte_order!$C:$C,[1]analyte_order!$B:$B)</f>
        <v>PFDS</v>
      </c>
      <c r="G680" t="s">
        <v>147</v>
      </c>
      <c r="H680" s="2">
        <f>_xlfn.XLOOKUP(Table1_1[[#This Row],[CAS_rn]],[1]analyte_order!$C:$C,[1]analyte_order!$E:$E)</f>
        <v>20</v>
      </c>
      <c r="I680">
        <v>4.9000000000000002E-2</v>
      </c>
    </row>
    <row r="681" spans="1:9" x14ac:dyDescent="0.3">
      <c r="A681" s="2" t="s">
        <v>65</v>
      </c>
      <c r="B681" s="3">
        <v>44293.5</v>
      </c>
      <c r="C681" s="1" t="str">
        <f t="shared" si="10"/>
        <v>21098</v>
      </c>
      <c r="D681" t="s">
        <v>26</v>
      </c>
      <c r="E681" s="2" t="s">
        <v>27</v>
      </c>
      <c r="F681" s="2" t="str">
        <f>_xlfn.XLOOKUP(Table1_1[[#This Row],[CAS_rn]],[1]analyte_order!$C:$C,[1]analyte_order!$B:$B)</f>
        <v>PFMPA</v>
      </c>
      <c r="G681" t="s">
        <v>148</v>
      </c>
      <c r="H681" s="2">
        <f>_xlfn.XLOOKUP(Table1_1[[#This Row],[CAS_rn]],[1]analyte_order!$C:$C,[1]analyte_order!$E:$E)</f>
        <v>49</v>
      </c>
      <c r="I681">
        <v>0.1</v>
      </c>
    </row>
    <row r="682" spans="1:9" x14ac:dyDescent="0.3">
      <c r="A682" s="2" t="s">
        <v>66</v>
      </c>
      <c r="B682" s="3">
        <v>44293.5</v>
      </c>
      <c r="C682" s="1" t="str">
        <f t="shared" si="10"/>
        <v>21098</v>
      </c>
      <c r="D682" t="s">
        <v>31</v>
      </c>
      <c r="E682" s="2" t="s">
        <v>27</v>
      </c>
      <c r="F682" s="2" t="str">
        <f>_xlfn.XLOOKUP(Table1_1[[#This Row],[CAS_rn]],[1]analyte_order!$C:$C,[1]analyte_order!$B:$B)</f>
        <v>PFBA</v>
      </c>
      <c r="G682" t="s">
        <v>109</v>
      </c>
      <c r="H682" s="2">
        <f>_xlfn.XLOOKUP(Table1_1[[#This Row],[CAS_rn]],[1]analyte_order!$C:$C,[1]analyte_order!$E:$E)</f>
        <v>1</v>
      </c>
      <c r="I682">
        <v>0.2</v>
      </c>
    </row>
    <row r="683" spans="1:9" x14ac:dyDescent="0.3">
      <c r="A683" s="2" t="s">
        <v>66</v>
      </c>
      <c r="B683" s="3">
        <v>44293.5</v>
      </c>
      <c r="C683" s="1" t="str">
        <f t="shared" si="10"/>
        <v>21098</v>
      </c>
      <c r="D683" t="s">
        <v>31</v>
      </c>
      <c r="E683" s="2" t="s">
        <v>27</v>
      </c>
      <c r="F683" s="2" t="str">
        <f>_xlfn.XLOOKUP(Table1_1[[#This Row],[CAS_rn]],[1]analyte_order!$C:$C,[1]analyte_order!$B:$B)</f>
        <v>PFPeA</v>
      </c>
      <c r="G683" t="s">
        <v>110</v>
      </c>
      <c r="H683" s="2">
        <f>_xlfn.XLOOKUP(Table1_1[[#This Row],[CAS_rn]],[1]analyte_order!$C:$C,[1]analyte_order!$E:$E)</f>
        <v>2</v>
      </c>
      <c r="I683">
        <v>0.1</v>
      </c>
    </row>
    <row r="684" spans="1:9" x14ac:dyDescent="0.3">
      <c r="A684" s="2" t="s">
        <v>66</v>
      </c>
      <c r="B684" s="3">
        <v>44293.5</v>
      </c>
      <c r="C684" s="1" t="str">
        <f t="shared" si="10"/>
        <v>21098</v>
      </c>
      <c r="D684" t="s">
        <v>31</v>
      </c>
      <c r="E684" s="2" t="s">
        <v>27</v>
      </c>
      <c r="F684" s="2" t="str">
        <f>_xlfn.XLOOKUP(Table1_1[[#This Row],[CAS_rn]],[1]analyte_order!$C:$C,[1]analyte_order!$B:$B)</f>
        <v>PFHxA</v>
      </c>
      <c r="G684" t="s">
        <v>111</v>
      </c>
      <c r="H684" s="2">
        <f>_xlfn.XLOOKUP(Table1_1[[#This Row],[CAS_rn]],[1]analyte_order!$C:$C,[1]analyte_order!$E:$E)</f>
        <v>3</v>
      </c>
      <c r="I684">
        <v>0.09</v>
      </c>
    </row>
    <row r="685" spans="1:9" x14ac:dyDescent="0.3">
      <c r="A685" s="2" t="s">
        <v>66</v>
      </c>
      <c r="B685" s="3">
        <v>44293.5</v>
      </c>
      <c r="C685" s="1" t="str">
        <f t="shared" si="10"/>
        <v>21098</v>
      </c>
      <c r="D685" t="s">
        <v>31</v>
      </c>
      <c r="E685" s="2" t="s">
        <v>27</v>
      </c>
      <c r="F685" s="2" t="str">
        <f>_xlfn.XLOOKUP(Table1_1[[#This Row],[CAS_rn]],[1]analyte_order!$C:$C,[1]analyte_order!$B:$B)</f>
        <v>PFHpA</v>
      </c>
      <c r="G685" t="s">
        <v>112</v>
      </c>
      <c r="H685" s="2">
        <f>_xlfn.XLOOKUP(Table1_1[[#This Row],[CAS_rn]],[1]analyte_order!$C:$C,[1]analyte_order!$E:$E)</f>
        <v>4</v>
      </c>
      <c r="I685">
        <v>0.09</v>
      </c>
    </row>
    <row r="686" spans="1:9" x14ac:dyDescent="0.3">
      <c r="A686" s="2" t="s">
        <v>66</v>
      </c>
      <c r="B686" s="3">
        <v>44293.5</v>
      </c>
      <c r="C686" s="1" t="str">
        <f t="shared" si="10"/>
        <v>21098</v>
      </c>
      <c r="D686" t="s">
        <v>31</v>
      </c>
      <c r="E686" s="2" t="s">
        <v>27</v>
      </c>
      <c r="F686" s="2" t="str">
        <f>_xlfn.XLOOKUP(Table1_1[[#This Row],[CAS_rn]],[1]analyte_order!$C:$C,[1]analyte_order!$B:$B)</f>
        <v>PFOA</v>
      </c>
      <c r="G686" t="s">
        <v>113</v>
      </c>
      <c r="H686" s="2">
        <f>_xlfn.XLOOKUP(Table1_1[[#This Row],[CAS_rn]],[1]analyte_order!$C:$C,[1]analyte_order!$E:$E)</f>
        <v>5</v>
      </c>
      <c r="I686">
        <v>0.11</v>
      </c>
    </row>
    <row r="687" spans="1:9" x14ac:dyDescent="0.3">
      <c r="A687" s="2" t="s">
        <v>66</v>
      </c>
      <c r="B687" s="3">
        <v>44293.5</v>
      </c>
      <c r="C687" s="1" t="str">
        <f t="shared" si="10"/>
        <v>21098</v>
      </c>
      <c r="D687" t="s">
        <v>31</v>
      </c>
      <c r="E687" s="2" t="s">
        <v>27</v>
      </c>
      <c r="F687" s="2" t="str">
        <f>_xlfn.XLOOKUP(Table1_1[[#This Row],[CAS_rn]],[1]analyte_order!$C:$C,[1]analyte_order!$B:$B)</f>
        <v>PFNA</v>
      </c>
      <c r="G687" t="s">
        <v>114</v>
      </c>
      <c r="H687" s="2">
        <f>_xlfn.XLOOKUP(Table1_1[[#This Row],[CAS_rn]],[1]analyte_order!$C:$C,[1]analyte_order!$E:$E)</f>
        <v>6</v>
      </c>
      <c r="I687">
        <v>0.05</v>
      </c>
    </row>
    <row r="688" spans="1:9" x14ac:dyDescent="0.3">
      <c r="A688" s="2" t="s">
        <v>66</v>
      </c>
      <c r="B688" s="3">
        <v>44293.5</v>
      </c>
      <c r="C688" s="1" t="str">
        <f t="shared" si="10"/>
        <v>21098</v>
      </c>
      <c r="D688" t="s">
        <v>31</v>
      </c>
      <c r="E688" s="2" t="s">
        <v>27</v>
      </c>
      <c r="F688" s="2" t="str">
        <f>_xlfn.XLOOKUP(Table1_1[[#This Row],[CAS_rn]],[1]analyte_order!$C:$C,[1]analyte_order!$B:$B)</f>
        <v>PFDA</v>
      </c>
      <c r="G688" t="s">
        <v>115</v>
      </c>
      <c r="H688" s="2">
        <f>_xlfn.XLOOKUP(Table1_1[[#This Row],[CAS_rn]],[1]analyte_order!$C:$C,[1]analyte_order!$E:$E)</f>
        <v>7</v>
      </c>
      <c r="I688">
        <v>0.05</v>
      </c>
    </row>
    <row r="689" spans="1:9" x14ac:dyDescent="0.3">
      <c r="A689" s="2" t="s">
        <v>66</v>
      </c>
      <c r="B689" s="3">
        <v>44293.5</v>
      </c>
      <c r="C689" s="1" t="str">
        <f t="shared" si="10"/>
        <v>21098</v>
      </c>
      <c r="D689" t="s">
        <v>31</v>
      </c>
      <c r="E689" s="2" t="s">
        <v>27</v>
      </c>
      <c r="F689" s="2" t="str">
        <f>_xlfn.XLOOKUP(Table1_1[[#This Row],[CAS_rn]],[1]analyte_order!$C:$C,[1]analyte_order!$B:$B)</f>
        <v>PFUnA</v>
      </c>
      <c r="G689" t="s">
        <v>116</v>
      </c>
      <c r="H689" s="2">
        <f>_xlfn.XLOOKUP(Table1_1[[#This Row],[CAS_rn]],[1]analyte_order!$C:$C,[1]analyte_order!$E:$E)</f>
        <v>8</v>
      </c>
      <c r="I689">
        <v>0.05</v>
      </c>
    </row>
    <row r="690" spans="1:9" x14ac:dyDescent="0.3">
      <c r="A690" s="2" t="s">
        <v>66</v>
      </c>
      <c r="B690" s="3">
        <v>44293.5</v>
      </c>
      <c r="C690" s="1" t="str">
        <f t="shared" si="10"/>
        <v>21098</v>
      </c>
      <c r="D690" t="s">
        <v>31</v>
      </c>
      <c r="E690" s="2" t="s">
        <v>27</v>
      </c>
      <c r="F690" s="2" t="str">
        <f>_xlfn.XLOOKUP(Table1_1[[#This Row],[CAS_rn]],[1]analyte_order!$C:$C,[1]analyte_order!$B:$B)</f>
        <v>PFDoA</v>
      </c>
      <c r="G690" t="s">
        <v>117</v>
      </c>
      <c r="H690" s="2">
        <f>_xlfn.XLOOKUP(Table1_1[[#This Row],[CAS_rn]],[1]analyte_order!$C:$C,[1]analyte_order!$E:$E)</f>
        <v>9</v>
      </c>
      <c r="I690">
        <v>0.05</v>
      </c>
    </row>
    <row r="691" spans="1:9" x14ac:dyDescent="0.3">
      <c r="A691" s="2" t="s">
        <v>66</v>
      </c>
      <c r="B691" s="3">
        <v>44293.5</v>
      </c>
      <c r="C691" s="1" t="str">
        <f t="shared" si="10"/>
        <v>21098</v>
      </c>
      <c r="D691" t="s">
        <v>31</v>
      </c>
      <c r="E691" s="2" t="s">
        <v>27</v>
      </c>
      <c r="F691" s="2" t="str">
        <f>_xlfn.XLOOKUP(Table1_1[[#This Row],[CAS_rn]],[1]analyte_order!$C:$C,[1]analyte_order!$B:$B)</f>
        <v>PFTrDA</v>
      </c>
      <c r="G691" t="s">
        <v>118</v>
      </c>
      <c r="H691" s="2">
        <f>_xlfn.XLOOKUP(Table1_1[[#This Row],[CAS_rn]],[1]analyte_order!$C:$C,[1]analyte_order!$E:$E)</f>
        <v>10</v>
      </c>
      <c r="I691">
        <v>0.05</v>
      </c>
    </row>
    <row r="692" spans="1:9" x14ac:dyDescent="0.3">
      <c r="A692" s="2" t="s">
        <v>66</v>
      </c>
      <c r="B692" s="3">
        <v>44293.5</v>
      </c>
      <c r="C692" s="1" t="str">
        <f t="shared" si="10"/>
        <v>21098</v>
      </c>
      <c r="D692" t="s">
        <v>31</v>
      </c>
      <c r="E692" s="2" t="s">
        <v>27</v>
      </c>
      <c r="F692" s="2" t="str">
        <f>_xlfn.XLOOKUP(Table1_1[[#This Row],[CAS_rn]],[1]analyte_order!$C:$C,[1]analyte_order!$B:$B)</f>
        <v>PFTeDA</v>
      </c>
      <c r="G692" t="s">
        <v>119</v>
      </c>
      <c r="H692" s="2">
        <f>_xlfn.XLOOKUP(Table1_1[[#This Row],[CAS_rn]],[1]analyte_order!$C:$C,[1]analyte_order!$E:$E)</f>
        <v>11</v>
      </c>
      <c r="I692">
        <v>0.05</v>
      </c>
    </row>
    <row r="693" spans="1:9" x14ac:dyDescent="0.3">
      <c r="A693" s="2" t="s">
        <v>66</v>
      </c>
      <c r="B693" s="3">
        <v>44293.5</v>
      </c>
      <c r="C693" s="1" t="str">
        <f t="shared" si="10"/>
        <v>21098</v>
      </c>
      <c r="D693" t="s">
        <v>31</v>
      </c>
      <c r="E693" s="2" t="s">
        <v>27</v>
      </c>
      <c r="F693" s="2" t="str">
        <f>_xlfn.XLOOKUP(Table1_1[[#This Row],[CAS_rn]],[1]analyte_order!$C:$C,[1]analyte_order!$B:$B)</f>
        <v>PFBS</v>
      </c>
      <c r="G693" t="s">
        <v>120</v>
      </c>
      <c r="H693" s="2">
        <f>_xlfn.XLOOKUP(Table1_1[[#This Row],[CAS_rn]],[1]analyte_order!$C:$C,[1]analyte_order!$E:$E)</f>
        <v>14</v>
      </c>
      <c r="I693">
        <v>0.05</v>
      </c>
    </row>
    <row r="694" spans="1:9" x14ac:dyDescent="0.3">
      <c r="A694" s="2" t="s">
        <v>66</v>
      </c>
      <c r="B694" s="3">
        <v>44293.5</v>
      </c>
      <c r="C694" s="1" t="str">
        <f t="shared" si="10"/>
        <v>21098</v>
      </c>
      <c r="D694" t="s">
        <v>31</v>
      </c>
      <c r="E694" s="2" t="s">
        <v>27</v>
      </c>
      <c r="F694" s="2" t="str">
        <f>_xlfn.XLOOKUP(Table1_1[[#This Row],[CAS_rn]],[1]analyte_order!$C:$C,[1]analyte_order!$B:$B)</f>
        <v>PFPeS</v>
      </c>
      <c r="G694" t="s">
        <v>121</v>
      </c>
      <c r="H694" s="2">
        <f>_xlfn.XLOOKUP(Table1_1[[#This Row],[CAS_rn]],[1]analyte_order!$C:$C,[1]analyte_order!$E:$E)</f>
        <v>15</v>
      </c>
      <c r="I694">
        <v>0.05</v>
      </c>
    </row>
    <row r="695" spans="1:9" x14ac:dyDescent="0.3">
      <c r="A695" s="2" t="s">
        <v>66</v>
      </c>
      <c r="B695" s="3">
        <v>44293.5</v>
      </c>
      <c r="C695" s="1" t="str">
        <f t="shared" si="10"/>
        <v>21098</v>
      </c>
      <c r="D695" t="s">
        <v>31</v>
      </c>
      <c r="E695" s="2" t="s">
        <v>27</v>
      </c>
      <c r="F695" s="2" t="str">
        <f>_xlfn.XLOOKUP(Table1_1[[#This Row],[CAS_rn]],[1]analyte_order!$C:$C,[1]analyte_order!$B:$B)</f>
        <v>PFHxS</v>
      </c>
      <c r="G695" t="s">
        <v>122</v>
      </c>
      <c r="H695" s="2">
        <f>_xlfn.XLOOKUP(Table1_1[[#This Row],[CAS_rn]],[1]analyte_order!$C:$C,[1]analyte_order!$E:$E)</f>
        <v>16</v>
      </c>
      <c r="I695">
        <v>0.22</v>
      </c>
    </row>
    <row r="696" spans="1:9" x14ac:dyDescent="0.3">
      <c r="A696" s="2" t="s">
        <v>66</v>
      </c>
      <c r="B696" s="3">
        <v>44293.5</v>
      </c>
      <c r="C696" s="1" t="str">
        <f t="shared" si="10"/>
        <v>21098</v>
      </c>
      <c r="D696" t="s">
        <v>31</v>
      </c>
      <c r="E696" s="2" t="s">
        <v>27</v>
      </c>
      <c r="F696" s="2" t="str">
        <f>_xlfn.XLOOKUP(Table1_1[[#This Row],[CAS_rn]],[1]analyte_order!$C:$C,[1]analyte_order!$B:$B)</f>
        <v>PFHpS</v>
      </c>
      <c r="G696" t="s">
        <v>123</v>
      </c>
      <c r="H696" s="2">
        <f>_xlfn.XLOOKUP(Table1_1[[#This Row],[CAS_rn]],[1]analyte_order!$C:$C,[1]analyte_order!$E:$E)</f>
        <v>17</v>
      </c>
      <c r="I696">
        <v>0.05</v>
      </c>
    </row>
    <row r="697" spans="1:9" x14ac:dyDescent="0.3">
      <c r="A697" s="2" t="s">
        <v>66</v>
      </c>
      <c r="B697" s="3">
        <v>44293.5</v>
      </c>
      <c r="C697" s="1" t="str">
        <f t="shared" si="10"/>
        <v>21098</v>
      </c>
      <c r="D697" t="s">
        <v>31</v>
      </c>
      <c r="E697" s="2" t="s">
        <v>27</v>
      </c>
      <c r="F697" s="2" t="str">
        <f>_xlfn.XLOOKUP(Table1_1[[#This Row],[CAS_rn]],[1]analyte_order!$C:$C,[1]analyte_order!$B:$B)</f>
        <v>PFOS</v>
      </c>
      <c r="G697" t="s">
        <v>124</v>
      </c>
      <c r="H697" s="2">
        <f>_xlfn.XLOOKUP(Table1_1[[#This Row],[CAS_rn]],[1]analyte_order!$C:$C,[1]analyte_order!$E:$E)</f>
        <v>18</v>
      </c>
      <c r="I697">
        <v>1.3</v>
      </c>
    </row>
    <row r="698" spans="1:9" x14ac:dyDescent="0.3">
      <c r="A698" s="2" t="s">
        <v>66</v>
      </c>
      <c r="B698" s="3">
        <v>44293.5</v>
      </c>
      <c r="C698" s="1" t="str">
        <f t="shared" si="10"/>
        <v>21098</v>
      </c>
      <c r="D698" t="s">
        <v>31</v>
      </c>
      <c r="E698" s="2" t="s">
        <v>27</v>
      </c>
      <c r="F698" s="2" t="str">
        <f>_xlfn.XLOOKUP(Table1_1[[#This Row],[CAS_rn]],[1]analyte_order!$C:$C,[1]analyte_order!$B:$B)</f>
        <v>PFNS</v>
      </c>
      <c r="G698" t="s">
        <v>125</v>
      </c>
      <c r="H698" s="2">
        <f>_xlfn.XLOOKUP(Table1_1[[#This Row],[CAS_rn]],[1]analyte_order!$C:$C,[1]analyte_order!$E:$E)</f>
        <v>19</v>
      </c>
      <c r="I698">
        <v>0.05</v>
      </c>
    </row>
    <row r="699" spans="1:9" x14ac:dyDescent="0.3">
      <c r="A699" s="2" t="s">
        <v>66</v>
      </c>
      <c r="B699" s="3">
        <v>44293.5</v>
      </c>
      <c r="C699" s="1" t="str">
        <f t="shared" si="10"/>
        <v>21098</v>
      </c>
      <c r="D699" t="s">
        <v>31</v>
      </c>
      <c r="E699" s="2" t="s">
        <v>27</v>
      </c>
      <c r="F699" s="2" t="str">
        <f>_xlfn.XLOOKUP(Table1_1[[#This Row],[CAS_rn]],[1]analyte_order!$C:$C,[1]analyte_order!$B:$B)</f>
        <v>PFDoS</v>
      </c>
      <c r="G699" t="s">
        <v>126</v>
      </c>
      <c r="H699" s="2">
        <f>_xlfn.XLOOKUP(Table1_1[[#This Row],[CAS_rn]],[1]analyte_order!$C:$C,[1]analyte_order!$E:$E)</f>
        <v>21</v>
      </c>
      <c r="I699">
        <v>0.05</v>
      </c>
    </row>
    <row r="700" spans="1:9" x14ac:dyDescent="0.3">
      <c r="A700" s="2" t="s">
        <v>66</v>
      </c>
      <c r="B700" s="3">
        <v>44293.5</v>
      </c>
      <c r="C700" s="1" t="str">
        <f t="shared" si="10"/>
        <v>21098</v>
      </c>
      <c r="D700" t="s">
        <v>31</v>
      </c>
      <c r="E700" s="2" t="s">
        <v>27</v>
      </c>
      <c r="F700" s="2" t="str">
        <f>_xlfn.XLOOKUP(Table1_1[[#This Row],[CAS_rn]],[1]analyte_order!$C:$C,[1]analyte_order!$B:$B)</f>
        <v>4:2 FTS</v>
      </c>
      <c r="G700" t="s">
        <v>127</v>
      </c>
      <c r="H700" s="2">
        <f>_xlfn.XLOOKUP(Table1_1[[#This Row],[CAS_rn]],[1]analyte_order!$C:$C,[1]analyte_order!$E:$E)</f>
        <v>22</v>
      </c>
      <c r="I700">
        <v>0.2</v>
      </c>
    </row>
    <row r="701" spans="1:9" x14ac:dyDescent="0.3">
      <c r="A701" s="2" t="s">
        <v>66</v>
      </c>
      <c r="B701" s="3">
        <v>44293.5</v>
      </c>
      <c r="C701" s="1" t="str">
        <f t="shared" si="10"/>
        <v>21098</v>
      </c>
      <c r="D701" t="s">
        <v>31</v>
      </c>
      <c r="E701" s="2" t="s">
        <v>27</v>
      </c>
      <c r="F701" s="2" t="str">
        <f>_xlfn.XLOOKUP(Table1_1[[#This Row],[CAS_rn]],[1]analyte_order!$C:$C,[1]analyte_order!$B:$B)</f>
        <v>6:2 FTS</v>
      </c>
      <c r="G701" t="s">
        <v>128</v>
      </c>
      <c r="H701" s="2">
        <f>_xlfn.XLOOKUP(Table1_1[[#This Row],[CAS_rn]],[1]analyte_order!$C:$C,[1]analyte_order!$E:$E)</f>
        <v>23</v>
      </c>
      <c r="I701">
        <v>0.4</v>
      </c>
    </row>
    <row r="702" spans="1:9" x14ac:dyDescent="0.3">
      <c r="A702" s="2" t="s">
        <v>66</v>
      </c>
      <c r="B702" s="3">
        <v>44293.5</v>
      </c>
      <c r="C702" s="1" t="str">
        <f t="shared" si="10"/>
        <v>21098</v>
      </c>
      <c r="D702" t="s">
        <v>31</v>
      </c>
      <c r="E702" s="2" t="s">
        <v>27</v>
      </c>
      <c r="F702" s="2" t="str">
        <f>_xlfn.XLOOKUP(Table1_1[[#This Row],[CAS_rn]],[1]analyte_order!$C:$C,[1]analyte_order!$B:$B)</f>
        <v>8:2 FTS</v>
      </c>
      <c r="G702" t="s">
        <v>129</v>
      </c>
      <c r="H702" s="2">
        <f>_xlfn.XLOOKUP(Table1_1[[#This Row],[CAS_rn]],[1]analyte_order!$C:$C,[1]analyte_order!$E:$E)</f>
        <v>24</v>
      </c>
      <c r="I702">
        <v>0.4</v>
      </c>
    </row>
    <row r="703" spans="1:9" x14ac:dyDescent="0.3">
      <c r="A703" s="2" t="s">
        <v>66</v>
      </c>
      <c r="B703" s="3">
        <v>44293.5</v>
      </c>
      <c r="C703" s="1" t="str">
        <f t="shared" si="10"/>
        <v>21098</v>
      </c>
      <c r="D703" t="s">
        <v>31</v>
      </c>
      <c r="E703" s="2" t="s">
        <v>27</v>
      </c>
      <c r="F703" s="2" t="str">
        <f>_xlfn.XLOOKUP(Table1_1[[#This Row],[CAS_rn]],[1]analyte_order!$C:$C,[1]analyte_order!$B:$B)</f>
        <v>FOSA</v>
      </c>
      <c r="G703" t="s">
        <v>130</v>
      </c>
      <c r="H703" s="2">
        <f>_xlfn.XLOOKUP(Table1_1[[#This Row],[CAS_rn]],[1]analyte_order!$C:$C,[1]analyte_order!$E:$E)</f>
        <v>28</v>
      </c>
      <c r="I703">
        <v>0.09</v>
      </c>
    </row>
    <row r="704" spans="1:9" x14ac:dyDescent="0.3">
      <c r="A704" s="2" t="s">
        <v>66</v>
      </c>
      <c r="B704" s="3">
        <v>44293.5</v>
      </c>
      <c r="C704" s="1" t="str">
        <f t="shared" si="10"/>
        <v>21098</v>
      </c>
      <c r="D704" t="s">
        <v>31</v>
      </c>
      <c r="E704" s="2" t="s">
        <v>27</v>
      </c>
      <c r="F704" s="2" t="str">
        <f>_xlfn.XLOOKUP(Table1_1[[#This Row],[CAS_rn]],[1]analyte_order!$C:$C,[1]analyte_order!$B:$B)</f>
        <v>N-MeFOSA</v>
      </c>
      <c r="G704" t="s">
        <v>131</v>
      </c>
      <c r="H704" s="2">
        <f>_xlfn.XLOOKUP(Table1_1[[#This Row],[CAS_rn]],[1]analyte_order!$C:$C,[1]analyte_order!$E:$E)</f>
        <v>30</v>
      </c>
      <c r="I704">
        <v>0.05</v>
      </c>
    </row>
    <row r="705" spans="1:9" x14ac:dyDescent="0.3">
      <c r="A705" s="2" t="s">
        <v>66</v>
      </c>
      <c r="B705" s="3">
        <v>44293.5</v>
      </c>
      <c r="C705" s="1" t="str">
        <f t="shared" si="10"/>
        <v>21098</v>
      </c>
      <c r="D705" t="s">
        <v>31</v>
      </c>
      <c r="E705" s="2" t="s">
        <v>27</v>
      </c>
      <c r="F705" s="2" t="str">
        <f>_xlfn.XLOOKUP(Table1_1[[#This Row],[CAS_rn]],[1]analyte_order!$C:$C,[1]analyte_order!$B:$B)</f>
        <v>N-MeFOSAA</v>
      </c>
      <c r="G705" t="s">
        <v>132</v>
      </c>
      <c r="H705" s="2">
        <f>_xlfn.XLOOKUP(Table1_1[[#This Row],[CAS_rn]],[1]analyte_order!$C:$C,[1]analyte_order!$E:$E)</f>
        <v>26</v>
      </c>
      <c r="I705">
        <v>0.05</v>
      </c>
    </row>
    <row r="706" spans="1:9" x14ac:dyDescent="0.3">
      <c r="A706" s="2" t="s">
        <v>66</v>
      </c>
      <c r="B706" s="3">
        <v>44293.5</v>
      </c>
      <c r="C706" s="1" t="str">
        <f t="shared" si="10"/>
        <v>21098</v>
      </c>
      <c r="D706" t="s">
        <v>31</v>
      </c>
      <c r="E706" s="2" t="s">
        <v>27</v>
      </c>
      <c r="F706" s="2" t="str">
        <f>_xlfn.XLOOKUP(Table1_1[[#This Row],[CAS_rn]],[1]analyte_order!$C:$C,[1]analyte_order!$B:$B)</f>
        <v>N-EtFOSA</v>
      </c>
      <c r="G706" t="s">
        <v>133</v>
      </c>
      <c r="H706" s="2">
        <f>_xlfn.XLOOKUP(Table1_1[[#This Row],[CAS_rn]],[1]analyte_order!$C:$C,[1]analyte_order!$E:$E)</f>
        <v>31</v>
      </c>
      <c r="I706">
        <v>0.05</v>
      </c>
    </row>
    <row r="707" spans="1:9" x14ac:dyDescent="0.3">
      <c r="A707" s="2" t="s">
        <v>66</v>
      </c>
      <c r="B707" s="3">
        <v>44293.5</v>
      </c>
      <c r="C707" s="1" t="str">
        <f t="shared" ref="C707:C770" si="11">TEXT(B707,"yy")&amp;TEXT((B707-DATEVALUE("1/1/"&amp;TEXT(B707,"yy"))+1),"000")</f>
        <v>21098</v>
      </c>
      <c r="D707" t="s">
        <v>31</v>
      </c>
      <c r="E707" s="2" t="s">
        <v>27</v>
      </c>
      <c r="F707" s="2" t="str">
        <f>_xlfn.XLOOKUP(Table1_1[[#This Row],[CAS_rn]],[1]analyte_order!$C:$C,[1]analyte_order!$B:$B)</f>
        <v>N-EtFOSAA</v>
      </c>
      <c r="G707" t="s">
        <v>134</v>
      </c>
      <c r="H707" s="2">
        <f>_xlfn.XLOOKUP(Table1_1[[#This Row],[CAS_rn]],[1]analyte_order!$C:$C,[1]analyte_order!$E:$E)</f>
        <v>27</v>
      </c>
      <c r="I707">
        <v>0.05</v>
      </c>
    </row>
    <row r="708" spans="1:9" x14ac:dyDescent="0.3">
      <c r="A708" s="2" t="s">
        <v>66</v>
      </c>
      <c r="B708" s="3">
        <v>44293.5</v>
      </c>
      <c r="C708" s="1" t="str">
        <f t="shared" si="11"/>
        <v>21098</v>
      </c>
      <c r="D708" t="s">
        <v>31</v>
      </c>
      <c r="E708" s="2" t="s">
        <v>27</v>
      </c>
      <c r="F708" s="2" t="str">
        <f>_xlfn.XLOOKUP(Table1_1[[#This Row],[CAS_rn]],[1]analyte_order!$C:$C,[1]analyte_order!$B:$B)</f>
        <v>N-MeFOSE</v>
      </c>
      <c r="G708" t="s">
        <v>135</v>
      </c>
      <c r="H708" s="2">
        <f>_xlfn.XLOOKUP(Table1_1[[#This Row],[CAS_rn]],[1]analyte_order!$C:$C,[1]analyte_order!$E:$E)</f>
        <v>32</v>
      </c>
      <c r="I708">
        <v>0.5</v>
      </c>
    </row>
    <row r="709" spans="1:9" x14ac:dyDescent="0.3">
      <c r="A709" s="2" t="s">
        <v>66</v>
      </c>
      <c r="B709" s="3">
        <v>44293.5</v>
      </c>
      <c r="C709" s="1" t="str">
        <f t="shared" si="11"/>
        <v>21098</v>
      </c>
      <c r="D709" t="s">
        <v>31</v>
      </c>
      <c r="E709" s="2" t="s">
        <v>27</v>
      </c>
      <c r="F709" s="2" t="str">
        <f>_xlfn.XLOOKUP(Table1_1[[#This Row],[CAS_rn]],[1]analyte_order!$C:$C,[1]analyte_order!$B:$B)</f>
        <v>N-EtFOSE</v>
      </c>
      <c r="G709" t="s">
        <v>136</v>
      </c>
      <c r="H709" s="2">
        <f>_xlfn.XLOOKUP(Table1_1[[#This Row],[CAS_rn]],[1]analyte_order!$C:$C,[1]analyte_order!$E:$E)</f>
        <v>33</v>
      </c>
      <c r="I709">
        <v>0.5</v>
      </c>
    </row>
    <row r="710" spans="1:9" x14ac:dyDescent="0.3">
      <c r="A710" s="2" t="s">
        <v>66</v>
      </c>
      <c r="B710" s="3">
        <v>44293.5</v>
      </c>
      <c r="C710" s="1" t="str">
        <f t="shared" si="11"/>
        <v>21098</v>
      </c>
      <c r="D710" t="s">
        <v>31</v>
      </c>
      <c r="E710" s="2" t="s">
        <v>27</v>
      </c>
      <c r="F710" s="2" t="str">
        <f>_xlfn.XLOOKUP(Table1_1[[#This Row],[CAS_rn]],[1]analyte_order!$C:$C,[1]analyte_order!$B:$B)</f>
        <v>HFPO-DA</v>
      </c>
      <c r="G710" t="s">
        <v>137</v>
      </c>
      <c r="H710" s="2">
        <f>_xlfn.XLOOKUP(Table1_1[[#This Row],[CAS_rn]],[1]analyte_order!$C:$C,[1]analyte_order!$E:$E)</f>
        <v>34</v>
      </c>
      <c r="I710">
        <v>0.3</v>
      </c>
    </row>
    <row r="711" spans="1:9" x14ac:dyDescent="0.3">
      <c r="A711" s="2" t="s">
        <v>66</v>
      </c>
      <c r="B711" s="3">
        <v>44293.5</v>
      </c>
      <c r="C711" s="1" t="str">
        <f t="shared" si="11"/>
        <v>21098</v>
      </c>
      <c r="D711" t="s">
        <v>31</v>
      </c>
      <c r="E711" s="2" t="s">
        <v>27</v>
      </c>
      <c r="F711" s="2" t="str">
        <f>_xlfn.XLOOKUP(Table1_1[[#This Row],[CAS_rn]],[1]analyte_order!$C:$C,[1]analyte_order!$B:$B)</f>
        <v>ADONA</v>
      </c>
      <c r="G711" t="s">
        <v>138</v>
      </c>
      <c r="H711" s="2">
        <f>_xlfn.XLOOKUP(Table1_1[[#This Row],[CAS_rn]],[1]analyte_order!$C:$C,[1]analyte_order!$E:$E)</f>
        <v>35</v>
      </c>
      <c r="I711">
        <v>0.2</v>
      </c>
    </row>
    <row r="712" spans="1:9" x14ac:dyDescent="0.3">
      <c r="A712" s="2" t="s">
        <v>66</v>
      </c>
      <c r="B712" s="3">
        <v>44293.5</v>
      </c>
      <c r="C712" s="1" t="str">
        <f t="shared" si="11"/>
        <v>21098</v>
      </c>
      <c r="D712" t="s">
        <v>31</v>
      </c>
      <c r="E712" s="2" t="s">
        <v>27</v>
      </c>
      <c r="F712" s="2" t="str">
        <f>_xlfn.XLOOKUP(Table1_1[[#This Row],[CAS_rn]],[1]analyte_order!$C:$C,[1]analyte_order!$B:$B)</f>
        <v>PFMBA</v>
      </c>
      <c r="G712" t="s">
        <v>139</v>
      </c>
      <c r="H712" s="2">
        <f>_xlfn.XLOOKUP(Table1_1[[#This Row],[CAS_rn]],[1]analyte_order!$C:$C,[1]analyte_order!$E:$E)</f>
        <v>48</v>
      </c>
      <c r="I712">
        <v>0.1</v>
      </c>
    </row>
    <row r="713" spans="1:9" x14ac:dyDescent="0.3">
      <c r="A713" s="2" t="s">
        <v>66</v>
      </c>
      <c r="B713" s="3">
        <v>44293.5</v>
      </c>
      <c r="C713" s="1" t="str">
        <f t="shared" si="11"/>
        <v>21098</v>
      </c>
      <c r="D713" t="s">
        <v>31</v>
      </c>
      <c r="E713" s="2" t="s">
        <v>27</v>
      </c>
      <c r="F713" s="2" t="str">
        <f>_xlfn.XLOOKUP(Table1_1[[#This Row],[CAS_rn]],[1]analyte_order!$C:$C,[1]analyte_order!$B:$B)</f>
        <v>NFDHA</v>
      </c>
      <c r="G713" t="s">
        <v>140</v>
      </c>
      <c r="H713" s="2">
        <f>_xlfn.XLOOKUP(Table1_1[[#This Row],[CAS_rn]],[1]analyte_order!$C:$C,[1]analyte_order!$E:$E)</f>
        <v>50</v>
      </c>
      <c r="I713">
        <v>0.1</v>
      </c>
    </row>
    <row r="714" spans="1:9" x14ac:dyDescent="0.3">
      <c r="A714" s="2" t="s">
        <v>66</v>
      </c>
      <c r="B714" s="3">
        <v>44293.5</v>
      </c>
      <c r="C714" s="1" t="str">
        <f t="shared" si="11"/>
        <v>21098</v>
      </c>
      <c r="D714" t="s">
        <v>31</v>
      </c>
      <c r="E714" s="2" t="s">
        <v>27</v>
      </c>
      <c r="F714" s="2" t="str">
        <f>_xlfn.XLOOKUP(Table1_1[[#This Row],[CAS_rn]],[1]analyte_order!$C:$C,[1]analyte_order!$B:$B)</f>
        <v>9Cl-PF3ONS</v>
      </c>
      <c r="G714" t="s">
        <v>141</v>
      </c>
      <c r="H714" s="2">
        <f>_xlfn.XLOOKUP(Table1_1[[#This Row],[CAS_rn]],[1]analyte_order!$C:$C,[1]analyte_order!$E:$E)</f>
        <v>36</v>
      </c>
      <c r="I714">
        <v>0.2</v>
      </c>
    </row>
    <row r="715" spans="1:9" x14ac:dyDescent="0.3">
      <c r="A715" s="2" t="s">
        <v>66</v>
      </c>
      <c r="B715" s="3">
        <v>44293.5</v>
      </c>
      <c r="C715" s="1" t="str">
        <f t="shared" si="11"/>
        <v>21098</v>
      </c>
      <c r="D715" t="s">
        <v>31</v>
      </c>
      <c r="E715" s="2" t="s">
        <v>27</v>
      </c>
      <c r="F715" s="2" t="str">
        <f>_xlfn.XLOOKUP(Table1_1[[#This Row],[CAS_rn]],[1]analyte_order!$C:$C,[1]analyte_order!$B:$B)</f>
        <v>11Cl-PF3OUdS</v>
      </c>
      <c r="G715" t="s">
        <v>142</v>
      </c>
      <c r="H715" s="2">
        <f>_xlfn.XLOOKUP(Table1_1[[#This Row],[CAS_rn]],[1]analyte_order!$C:$C,[1]analyte_order!$E:$E)</f>
        <v>37</v>
      </c>
      <c r="I715">
        <v>0.2</v>
      </c>
    </row>
    <row r="716" spans="1:9" x14ac:dyDescent="0.3">
      <c r="A716" s="2" t="s">
        <v>66</v>
      </c>
      <c r="B716" s="3">
        <v>44293.5</v>
      </c>
      <c r="C716" s="1" t="str">
        <f t="shared" si="11"/>
        <v>21098</v>
      </c>
      <c r="D716" t="s">
        <v>31</v>
      </c>
      <c r="E716" s="2" t="s">
        <v>27</v>
      </c>
      <c r="F716" s="2" t="str">
        <f>_xlfn.XLOOKUP(Table1_1[[#This Row],[CAS_rn]],[1]analyte_order!$C:$C,[1]analyte_order!$B:$B)</f>
        <v>PFEESA</v>
      </c>
      <c r="G716" t="s">
        <v>143</v>
      </c>
      <c r="H716" s="2">
        <f>_xlfn.XLOOKUP(Table1_1[[#This Row],[CAS_rn]],[1]analyte_order!$C:$C,[1]analyte_order!$E:$E)</f>
        <v>47</v>
      </c>
      <c r="I716">
        <v>0.1</v>
      </c>
    </row>
    <row r="717" spans="1:9" x14ac:dyDescent="0.3">
      <c r="A717" s="2" t="s">
        <v>66</v>
      </c>
      <c r="B717" s="3">
        <v>44293.5</v>
      </c>
      <c r="C717" s="1" t="str">
        <f t="shared" si="11"/>
        <v>21098</v>
      </c>
      <c r="D717" t="s">
        <v>31</v>
      </c>
      <c r="E717" s="2" t="s">
        <v>27</v>
      </c>
      <c r="F717" s="2" t="str">
        <f>_xlfn.XLOOKUP(Table1_1[[#This Row],[CAS_rn]],[1]analyte_order!$C:$C,[1]analyte_order!$B:$B)</f>
        <v>3:3 FTCA</v>
      </c>
      <c r="G717" t="s">
        <v>144</v>
      </c>
      <c r="H717" s="2">
        <f>_xlfn.XLOOKUP(Table1_1[[#This Row],[CAS_rn]],[1]analyte_order!$C:$C,[1]analyte_order!$E:$E)</f>
        <v>38</v>
      </c>
      <c r="I717">
        <v>0.25</v>
      </c>
    </row>
    <row r="718" spans="1:9" x14ac:dyDescent="0.3">
      <c r="A718" s="2" t="s">
        <v>66</v>
      </c>
      <c r="B718" s="3">
        <v>44293.5</v>
      </c>
      <c r="C718" s="1" t="str">
        <f t="shared" si="11"/>
        <v>21098</v>
      </c>
      <c r="D718" t="s">
        <v>31</v>
      </c>
      <c r="E718" s="2" t="s">
        <v>27</v>
      </c>
      <c r="F718" s="2" t="str">
        <f>_xlfn.XLOOKUP(Table1_1[[#This Row],[CAS_rn]],[1]analyte_order!$C:$C,[1]analyte_order!$B:$B)</f>
        <v>5:3 FTCA</v>
      </c>
      <c r="G718" t="s">
        <v>145</v>
      </c>
      <c r="H718" s="2">
        <f>_xlfn.XLOOKUP(Table1_1[[#This Row],[CAS_rn]],[1]analyte_order!$C:$C,[1]analyte_order!$E:$E)</f>
        <v>39</v>
      </c>
      <c r="I718">
        <v>1.25</v>
      </c>
    </row>
    <row r="719" spans="1:9" x14ac:dyDescent="0.3">
      <c r="A719" s="2" t="s">
        <v>66</v>
      </c>
      <c r="B719" s="3">
        <v>44293.5</v>
      </c>
      <c r="C719" s="1" t="str">
        <f t="shared" si="11"/>
        <v>21098</v>
      </c>
      <c r="D719" t="s">
        <v>31</v>
      </c>
      <c r="E719" s="2" t="s">
        <v>27</v>
      </c>
      <c r="F719" s="2" t="str">
        <f>_xlfn.XLOOKUP(Table1_1[[#This Row],[CAS_rn]],[1]analyte_order!$C:$C,[1]analyte_order!$B:$B)</f>
        <v>7:3 FTCA</v>
      </c>
      <c r="G719" t="s">
        <v>146</v>
      </c>
      <c r="H719" s="2">
        <f>_xlfn.XLOOKUP(Table1_1[[#This Row],[CAS_rn]],[1]analyte_order!$C:$C,[1]analyte_order!$E:$E)</f>
        <v>40</v>
      </c>
      <c r="I719">
        <v>1.25</v>
      </c>
    </row>
    <row r="720" spans="1:9" x14ac:dyDescent="0.3">
      <c r="A720" s="2" t="s">
        <v>66</v>
      </c>
      <c r="B720" s="3">
        <v>44293.5</v>
      </c>
      <c r="C720" s="1" t="str">
        <f t="shared" si="11"/>
        <v>21098</v>
      </c>
      <c r="D720" t="s">
        <v>31</v>
      </c>
      <c r="E720" s="2" t="s">
        <v>27</v>
      </c>
      <c r="F720" s="2" t="str">
        <f>_xlfn.XLOOKUP(Table1_1[[#This Row],[CAS_rn]],[1]analyte_order!$C:$C,[1]analyte_order!$B:$B)</f>
        <v>PFDS</v>
      </c>
      <c r="G720" t="s">
        <v>147</v>
      </c>
      <c r="H720" s="2">
        <f>_xlfn.XLOOKUP(Table1_1[[#This Row],[CAS_rn]],[1]analyte_order!$C:$C,[1]analyte_order!$E:$E)</f>
        <v>20</v>
      </c>
      <c r="I720">
        <v>0.05</v>
      </c>
    </row>
    <row r="721" spans="1:9" x14ac:dyDescent="0.3">
      <c r="A721" s="2" t="s">
        <v>66</v>
      </c>
      <c r="B721" s="3">
        <v>44293.5</v>
      </c>
      <c r="C721" s="1" t="str">
        <f t="shared" si="11"/>
        <v>21098</v>
      </c>
      <c r="D721" t="s">
        <v>31</v>
      </c>
      <c r="E721" s="2" t="s">
        <v>27</v>
      </c>
      <c r="F721" s="2" t="str">
        <f>_xlfn.XLOOKUP(Table1_1[[#This Row],[CAS_rn]],[1]analyte_order!$C:$C,[1]analyte_order!$B:$B)</f>
        <v>PFMPA</v>
      </c>
      <c r="G721" t="s">
        <v>148</v>
      </c>
      <c r="H721" s="2">
        <f>_xlfn.XLOOKUP(Table1_1[[#This Row],[CAS_rn]],[1]analyte_order!$C:$C,[1]analyte_order!$E:$E)</f>
        <v>49</v>
      </c>
      <c r="I721">
        <v>0.1</v>
      </c>
    </row>
    <row r="722" spans="1:9" x14ac:dyDescent="0.3">
      <c r="A722" s="2" t="s">
        <v>67</v>
      </c>
      <c r="B722" s="3">
        <v>44293.5</v>
      </c>
      <c r="C722" s="1" t="str">
        <f t="shared" si="11"/>
        <v>21098</v>
      </c>
      <c r="D722" t="s">
        <v>33</v>
      </c>
      <c r="E722" s="2" t="s">
        <v>27</v>
      </c>
      <c r="F722" s="2" t="str">
        <f>_xlfn.XLOOKUP(Table1_1[[#This Row],[CAS_rn]],[1]analyte_order!$C:$C,[1]analyte_order!$B:$B)</f>
        <v>PFBA</v>
      </c>
      <c r="G722" t="s">
        <v>109</v>
      </c>
      <c r="H722" s="2">
        <f>_xlfn.XLOOKUP(Table1_1[[#This Row],[CAS_rn]],[1]analyte_order!$C:$C,[1]analyte_order!$E:$E)</f>
        <v>1</v>
      </c>
      <c r="I722">
        <v>0.2</v>
      </c>
    </row>
    <row r="723" spans="1:9" x14ac:dyDescent="0.3">
      <c r="A723" s="2" t="s">
        <v>67</v>
      </c>
      <c r="B723" s="3">
        <v>44293.5</v>
      </c>
      <c r="C723" s="1" t="str">
        <f t="shared" si="11"/>
        <v>21098</v>
      </c>
      <c r="D723" t="s">
        <v>33</v>
      </c>
      <c r="E723" s="2" t="s">
        <v>27</v>
      </c>
      <c r="F723" s="2" t="str">
        <f>_xlfn.XLOOKUP(Table1_1[[#This Row],[CAS_rn]],[1]analyte_order!$C:$C,[1]analyte_order!$B:$B)</f>
        <v>PFPeA</v>
      </c>
      <c r="G723" t="s">
        <v>110</v>
      </c>
      <c r="H723" s="2">
        <f>_xlfn.XLOOKUP(Table1_1[[#This Row],[CAS_rn]],[1]analyte_order!$C:$C,[1]analyte_order!$E:$E)</f>
        <v>2</v>
      </c>
      <c r="I723">
        <v>0.1</v>
      </c>
    </row>
    <row r="724" spans="1:9" x14ac:dyDescent="0.3">
      <c r="A724" s="2" t="s">
        <v>67</v>
      </c>
      <c r="B724" s="3">
        <v>44293.5</v>
      </c>
      <c r="C724" s="1" t="str">
        <f t="shared" si="11"/>
        <v>21098</v>
      </c>
      <c r="D724" t="s">
        <v>33</v>
      </c>
      <c r="E724" s="2" t="s">
        <v>27</v>
      </c>
      <c r="F724" s="2" t="str">
        <f>_xlfn.XLOOKUP(Table1_1[[#This Row],[CAS_rn]],[1]analyte_order!$C:$C,[1]analyte_order!$B:$B)</f>
        <v>PFHxA</v>
      </c>
      <c r="G724" t="s">
        <v>111</v>
      </c>
      <c r="H724" s="2">
        <f>_xlfn.XLOOKUP(Table1_1[[#This Row],[CAS_rn]],[1]analyte_order!$C:$C,[1]analyte_order!$E:$E)</f>
        <v>3</v>
      </c>
      <c r="I724">
        <v>0.09</v>
      </c>
    </row>
    <row r="725" spans="1:9" x14ac:dyDescent="0.3">
      <c r="A725" s="2" t="s">
        <v>67</v>
      </c>
      <c r="B725" s="3">
        <v>44293.5</v>
      </c>
      <c r="C725" s="1" t="str">
        <f t="shared" si="11"/>
        <v>21098</v>
      </c>
      <c r="D725" t="s">
        <v>33</v>
      </c>
      <c r="E725" s="2" t="s">
        <v>27</v>
      </c>
      <c r="F725" s="2" t="str">
        <f>_xlfn.XLOOKUP(Table1_1[[#This Row],[CAS_rn]],[1]analyte_order!$C:$C,[1]analyte_order!$B:$B)</f>
        <v>PFHpA</v>
      </c>
      <c r="G725" t="s">
        <v>112</v>
      </c>
      <c r="H725" s="2">
        <f>_xlfn.XLOOKUP(Table1_1[[#This Row],[CAS_rn]],[1]analyte_order!$C:$C,[1]analyte_order!$E:$E)</f>
        <v>4</v>
      </c>
      <c r="I725">
        <v>0.09</v>
      </c>
    </row>
    <row r="726" spans="1:9" x14ac:dyDescent="0.3">
      <c r="A726" s="2" t="s">
        <v>67</v>
      </c>
      <c r="B726" s="3">
        <v>44293.5</v>
      </c>
      <c r="C726" s="1" t="str">
        <f t="shared" si="11"/>
        <v>21098</v>
      </c>
      <c r="D726" t="s">
        <v>33</v>
      </c>
      <c r="E726" s="2" t="s">
        <v>27</v>
      </c>
      <c r="F726" s="2" t="str">
        <f>_xlfn.XLOOKUP(Table1_1[[#This Row],[CAS_rn]],[1]analyte_order!$C:$C,[1]analyte_order!$B:$B)</f>
        <v>PFOA</v>
      </c>
      <c r="G726" t="s">
        <v>113</v>
      </c>
      <c r="H726" s="2">
        <f>_xlfn.XLOOKUP(Table1_1[[#This Row],[CAS_rn]],[1]analyte_order!$C:$C,[1]analyte_order!$E:$E)</f>
        <v>5</v>
      </c>
      <c r="I726">
        <v>6.7000000000000004E-2</v>
      </c>
    </row>
    <row r="727" spans="1:9" x14ac:dyDescent="0.3">
      <c r="A727" s="2" t="s">
        <v>67</v>
      </c>
      <c r="B727" s="3">
        <v>44293.5</v>
      </c>
      <c r="C727" s="1" t="str">
        <f t="shared" si="11"/>
        <v>21098</v>
      </c>
      <c r="D727" t="s">
        <v>33</v>
      </c>
      <c r="E727" s="2" t="s">
        <v>27</v>
      </c>
      <c r="F727" s="2" t="str">
        <f>_xlfn.XLOOKUP(Table1_1[[#This Row],[CAS_rn]],[1]analyte_order!$C:$C,[1]analyte_order!$B:$B)</f>
        <v>PFNA</v>
      </c>
      <c r="G727" t="s">
        <v>114</v>
      </c>
      <c r="H727" s="2">
        <f>_xlfn.XLOOKUP(Table1_1[[#This Row],[CAS_rn]],[1]analyte_order!$C:$C,[1]analyte_order!$E:$E)</f>
        <v>6</v>
      </c>
      <c r="I727">
        <v>4.9500000000000002E-2</v>
      </c>
    </row>
    <row r="728" spans="1:9" x14ac:dyDescent="0.3">
      <c r="A728" s="2" t="s">
        <v>67</v>
      </c>
      <c r="B728" s="3">
        <v>44293.5</v>
      </c>
      <c r="C728" s="1" t="str">
        <f t="shared" si="11"/>
        <v>21098</v>
      </c>
      <c r="D728" t="s">
        <v>33</v>
      </c>
      <c r="E728" s="2" t="s">
        <v>27</v>
      </c>
      <c r="F728" s="2" t="str">
        <f>_xlfn.XLOOKUP(Table1_1[[#This Row],[CAS_rn]],[1]analyte_order!$C:$C,[1]analyte_order!$B:$B)</f>
        <v>PFDA</v>
      </c>
      <c r="G728" t="s">
        <v>115</v>
      </c>
      <c r="H728" s="2">
        <f>_xlfn.XLOOKUP(Table1_1[[#This Row],[CAS_rn]],[1]analyte_order!$C:$C,[1]analyte_order!$E:$E)</f>
        <v>7</v>
      </c>
      <c r="I728">
        <v>4.9500000000000002E-2</v>
      </c>
    </row>
    <row r="729" spans="1:9" x14ac:dyDescent="0.3">
      <c r="A729" s="2" t="s">
        <v>67</v>
      </c>
      <c r="B729" s="3">
        <v>44293.5</v>
      </c>
      <c r="C729" s="1" t="str">
        <f t="shared" si="11"/>
        <v>21098</v>
      </c>
      <c r="D729" t="s">
        <v>33</v>
      </c>
      <c r="E729" s="2" t="s">
        <v>27</v>
      </c>
      <c r="F729" s="2" t="str">
        <f>_xlfn.XLOOKUP(Table1_1[[#This Row],[CAS_rn]],[1]analyte_order!$C:$C,[1]analyte_order!$B:$B)</f>
        <v>PFUnA</v>
      </c>
      <c r="G729" t="s">
        <v>116</v>
      </c>
      <c r="H729" s="2">
        <f>_xlfn.XLOOKUP(Table1_1[[#This Row],[CAS_rn]],[1]analyte_order!$C:$C,[1]analyte_order!$E:$E)</f>
        <v>8</v>
      </c>
      <c r="I729">
        <v>4.9500000000000002E-2</v>
      </c>
    </row>
    <row r="730" spans="1:9" x14ac:dyDescent="0.3">
      <c r="A730" s="2" t="s">
        <v>67</v>
      </c>
      <c r="B730" s="3">
        <v>44293.5</v>
      </c>
      <c r="C730" s="1" t="str">
        <f t="shared" si="11"/>
        <v>21098</v>
      </c>
      <c r="D730" t="s">
        <v>33</v>
      </c>
      <c r="E730" s="2" t="s">
        <v>27</v>
      </c>
      <c r="F730" s="2" t="str">
        <f>_xlfn.XLOOKUP(Table1_1[[#This Row],[CAS_rn]],[1]analyte_order!$C:$C,[1]analyte_order!$B:$B)</f>
        <v>PFDoA</v>
      </c>
      <c r="G730" t="s">
        <v>117</v>
      </c>
      <c r="H730" s="2">
        <f>_xlfn.XLOOKUP(Table1_1[[#This Row],[CAS_rn]],[1]analyte_order!$C:$C,[1]analyte_order!$E:$E)</f>
        <v>9</v>
      </c>
      <c r="I730">
        <v>4.9500000000000002E-2</v>
      </c>
    </row>
    <row r="731" spans="1:9" x14ac:dyDescent="0.3">
      <c r="A731" s="2" t="s">
        <v>67</v>
      </c>
      <c r="B731" s="3">
        <v>44293.5</v>
      </c>
      <c r="C731" s="1" t="str">
        <f t="shared" si="11"/>
        <v>21098</v>
      </c>
      <c r="D731" t="s">
        <v>33</v>
      </c>
      <c r="E731" s="2" t="s">
        <v>27</v>
      </c>
      <c r="F731" s="2" t="str">
        <f>_xlfn.XLOOKUP(Table1_1[[#This Row],[CAS_rn]],[1]analyte_order!$C:$C,[1]analyte_order!$B:$B)</f>
        <v>PFTrDA</v>
      </c>
      <c r="G731" t="s">
        <v>118</v>
      </c>
      <c r="H731" s="2">
        <f>_xlfn.XLOOKUP(Table1_1[[#This Row],[CAS_rn]],[1]analyte_order!$C:$C,[1]analyte_order!$E:$E)</f>
        <v>10</v>
      </c>
      <c r="I731">
        <v>4.9500000000000002E-2</v>
      </c>
    </row>
    <row r="732" spans="1:9" x14ac:dyDescent="0.3">
      <c r="A732" s="2" t="s">
        <v>67</v>
      </c>
      <c r="B732" s="3">
        <v>44293.5</v>
      </c>
      <c r="C732" s="1" t="str">
        <f t="shared" si="11"/>
        <v>21098</v>
      </c>
      <c r="D732" t="s">
        <v>33</v>
      </c>
      <c r="E732" s="2" t="s">
        <v>27</v>
      </c>
      <c r="F732" s="2" t="str">
        <f>_xlfn.XLOOKUP(Table1_1[[#This Row],[CAS_rn]],[1]analyte_order!$C:$C,[1]analyte_order!$B:$B)</f>
        <v>PFTeDA</v>
      </c>
      <c r="G732" t="s">
        <v>119</v>
      </c>
      <c r="H732" s="2">
        <f>_xlfn.XLOOKUP(Table1_1[[#This Row],[CAS_rn]],[1]analyte_order!$C:$C,[1]analyte_order!$E:$E)</f>
        <v>11</v>
      </c>
      <c r="I732">
        <v>4.9500000000000002E-2</v>
      </c>
    </row>
    <row r="733" spans="1:9" x14ac:dyDescent="0.3">
      <c r="A733" s="2" t="s">
        <v>67</v>
      </c>
      <c r="B733" s="3">
        <v>44293.5</v>
      </c>
      <c r="C733" s="1" t="str">
        <f t="shared" si="11"/>
        <v>21098</v>
      </c>
      <c r="D733" t="s">
        <v>33</v>
      </c>
      <c r="E733" s="2" t="s">
        <v>27</v>
      </c>
      <c r="F733" s="2" t="str">
        <f>_xlfn.XLOOKUP(Table1_1[[#This Row],[CAS_rn]],[1]analyte_order!$C:$C,[1]analyte_order!$B:$B)</f>
        <v>PFBS</v>
      </c>
      <c r="G733" t="s">
        <v>120</v>
      </c>
      <c r="H733" s="2">
        <f>_xlfn.XLOOKUP(Table1_1[[#This Row],[CAS_rn]],[1]analyte_order!$C:$C,[1]analyte_order!$E:$E)</f>
        <v>14</v>
      </c>
      <c r="I733">
        <v>4.9500000000000002E-2</v>
      </c>
    </row>
    <row r="734" spans="1:9" x14ac:dyDescent="0.3">
      <c r="A734" s="2" t="s">
        <v>67</v>
      </c>
      <c r="B734" s="3">
        <v>44293.5</v>
      </c>
      <c r="C734" s="1" t="str">
        <f t="shared" si="11"/>
        <v>21098</v>
      </c>
      <c r="D734" t="s">
        <v>33</v>
      </c>
      <c r="E734" s="2" t="s">
        <v>27</v>
      </c>
      <c r="F734" s="2" t="str">
        <f>_xlfn.XLOOKUP(Table1_1[[#This Row],[CAS_rn]],[1]analyte_order!$C:$C,[1]analyte_order!$B:$B)</f>
        <v>PFPeS</v>
      </c>
      <c r="G734" t="s">
        <v>121</v>
      </c>
      <c r="H734" s="2">
        <f>_xlfn.XLOOKUP(Table1_1[[#This Row],[CAS_rn]],[1]analyte_order!$C:$C,[1]analyte_order!$E:$E)</f>
        <v>15</v>
      </c>
      <c r="I734">
        <v>4.9500000000000002E-2</v>
      </c>
    </row>
    <row r="735" spans="1:9" x14ac:dyDescent="0.3">
      <c r="A735" s="2" t="s">
        <v>67</v>
      </c>
      <c r="B735" s="3">
        <v>44293.5</v>
      </c>
      <c r="C735" s="1" t="str">
        <f t="shared" si="11"/>
        <v>21098</v>
      </c>
      <c r="D735" t="s">
        <v>33</v>
      </c>
      <c r="E735" s="2" t="s">
        <v>27</v>
      </c>
      <c r="F735" s="2" t="str">
        <f>_xlfn.XLOOKUP(Table1_1[[#This Row],[CAS_rn]],[1]analyte_order!$C:$C,[1]analyte_order!$B:$B)</f>
        <v>PFHxS</v>
      </c>
      <c r="G735" t="s">
        <v>122</v>
      </c>
      <c r="H735" s="2">
        <f>_xlfn.XLOOKUP(Table1_1[[#This Row],[CAS_rn]],[1]analyte_order!$C:$C,[1]analyte_order!$E:$E)</f>
        <v>16</v>
      </c>
      <c r="I735">
        <v>0.28999999999999998</v>
      </c>
    </row>
    <row r="736" spans="1:9" x14ac:dyDescent="0.3">
      <c r="A736" s="2" t="s">
        <v>67</v>
      </c>
      <c r="B736" s="3">
        <v>44293.5</v>
      </c>
      <c r="C736" s="1" t="str">
        <f t="shared" si="11"/>
        <v>21098</v>
      </c>
      <c r="D736" t="s">
        <v>33</v>
      </c>
      <c r="E736" s="2" t="s">
        <v>27</v>
      </c>
      <c r="F736" s="2" t="str">
        <f>_xlfn.XLOOKUP(Table1_1[[#This Row],[CAS_rn]],[1]analyte_order!$C:$C,[1]analyte_order!$B:$B)</f>
        <v>PFHpS</v>
      </c>
      <c r="G736" t="s">
        <v>123</v>
      </c>
      <c r="H736" s="2">
        <f>_xlfn.XLOOKUP(Table1_1[[#This Row],[CAS_rn]],[1]analyte_order!$C:$C,[1]analyte_order!$E:$E)</f>
        <v>17</v>
      </c>
      <c r="I736">
        <v>4.9500000000000002E-2</v>
      </c>
    </row>
    <row r="737" spans="1:9" x14ac:dyDescent="0.3">
      <c r="A737" s="2" t="s">
        <v>67</v>
      </c>
      <c r="B737" s="3">
        <v>44293.5</v>
      </c>
      <c r="C737" s="1" t="str">
        <f t="shared" si="11"/>
        <v>21098</v>
      </c>
      <c r="D737" t="s">
        <v>33</v>
      </c>
      <c r="E737" s="2" t="s">
        <v>27</v>
      </c>
      <c r="F737" s="2" t="str">
        <f>_xlfn.XLOOKUP(Table1_1[[#This Row],[CAS_rn]],[1]analyte_order!$C:$C,[1]analyte_order!$B:$B)</f>
        <v>PFOS</v>
      </c>
      <c r="G737" t="s">
        <v>124</v>
      </c>
      <c r="H737" s="2">
        <f>_xlfn.XLOOKUP(Table1_1[[#This Row],[CAS_rn]],[1]analyte_order!$C:$C,[1]analyte_order!$E:$E)</f>
        <v>18</v>
      </c>
      <c r="I737">
        <v>1</v>
      </c>
    </row>
    <row r="738" spans="1:9" x14ac:dyDescent="0.3">
      <c r="A738" s="2" t="s">
        <v>67</v>
      </c>
      <c r="B738" s="3">
        <v>44293.5</v>
      </c>
      <c r="C738" s="1" t="str">
        <f t="shared" si="11"/>
        <v>21098</v>
      </c>
      <c r="D738" t="s">
        <v>33</v>
      </c>
      <c r="E738" s="2" t="s">
        <v>27</v>
      </c>
      <c r="F738" s="2" t="str">
        <f>_xlfn.XLOOKUP(Table1_1[[#This Row],[CAS_rn]],[1]analyte_order!$C:$C,[1]analyte_order!$B:$B)</f>
        <v>PFNS</v>
      </c>
      <c r="G738" t="s">
        <v>125</v>
      </c>
      <c r="H738" s="2">
        <f>_xlfn.XLOOKUP(Table1_1[[#This Row],[CAS_rn]],[1]analyte_order!$C:$C,[1]analyte_order!$E:$E)</f>
        <v>19</v>
      </c>
      <c r="I738">
        <v>4.9500000000000002E-2</v>
      </c>
    </row>
    <row r="739" spans="1:9" x14ac:dyDescent="0.3">
      <c r="A739" s="2" t="s">
        <v>67</v>
      </c>
      <c r="B739" s="3">
        <v>44293.5</v>
      </c>
      <c r="C739" s="1" t="str">
        <f t="shared" si="11"/>
        <v>21098</v>
      </c>
      <c r="D739" t="s">
        <v>33</v>
      </c>
      <c r="E739" s="2" t="s">
        <v>27</v>
      </c>
      <c r="F739" s="2" t="str">
        <f>_xlfn.XLOOKUP(Table1_1[[#This Row],[CAS_rn]],[1]analyte_order!$C:$C,[1]analyte_order!$B:$B)</f>
        <v>PFDoS</v>
      </c>
      <c r="G739" t="s">
        <v>126</v>
      </c>
      <c r="H739" s="2">
        <f>_xlfn.XLOOKUP(Table1_1[[#This Row],[CAS_rn]],[1]analyte_order!$C:$C,[1]analyte_order!$E:$E)</f>
        <v>21</v>
      </c>
      <c r="I739">
        <v>4.9500000000000002E-2</v>
      </c>
    </row>
    <row r="740" spans="1:9" x14ac:dyDescent="0.3">
      <c r="A740" s="2" t="s">
        <v>67</v>
      </c>
      <c r="B740" s="3">
        <v>44293.5</v>
      </c>
      <c r="C740" s="1" t="str">
        <f t="shared" si="11"/>
        <v>21098</v>
      </c>
      <c r="D740" t="s">
        <v>33</v>
      </c>
      <c r="E740" s="2" t="s">
        <v>27</v>
      </c>
      <c r="F740" s="2" t="str">
        <f>_xlfn.XLOOKUP(Table1_1[[#This Row],[CAS_rn]],[1]analyte_order!$C:$C,[1]analyte_order!$B:$B)</f>
        <v>4:2 FTS</v>
      </c>
      <c r="G740" t="s">
        <v>127</v>
      </c>
      <c r="H740" s="2">
        <f>_xlfn.XLOOKUP(Table1_1[[#This Row],[CAS_rn]],[1]analyte_order!$C:$C,[1]analyte_order!$E:$E)</f>
        <v>22</v>
      </c>
      <c r="I740">
        <v>0.2</v>
      </c>
    </row>
    <row r="741" spans="1:9" x14ac:dyDescent="0.3">
      <c r="A741" s="2" t="s">
        <v>67</v>
      </c>
      <c r="B741" s="3">
        <v>44293.5</v>
      </c>
      <c r="C741" s="1" t="str">
        <f t="shared" si="11"/>
        <v>21098</v>
      </c>
      <c r="D741" t="s">
        <v>33</v>
      </c>
      <c r="E741" s="2" t="s">
        <v>27</v>
      </c>
      <c r="F741" s="2" t="str">
        <f>_xlfn.XLOOKUP(Table1_1[[#This Row],[CAS_rn]],[1]analyte_order!$C:$C,[1]analyte_order!$B:$B)</f>
        <v>6:2 FTS</v>
      </c>
      <c r="G741" t="s">
        <v>128</v>
      </c>
      <c r="H741" s="2">
        <f>_xlfn.XLOOKUP(Table1_1[[#This Row],[CAS_rn]],[1]analyte_order!$C:$C,[1]analyte_order!$E:$E)</f>
        <v>23</v>
      </c>
      <c r="I741">
        <v>0.39500000000000002</v>
      </c>
    </row>
    <row r="742" spans="1:9" x14ac:dyDescent="0.3">
      <c r="A742" s="2" t="s">
        <v>67</v>
      </c>
      <c r="B742" s="3">
        <v>44293.5</v>
      </c>
      <c r="C742" s="1" t="str">
        <f t="shared" si="11"/>
        <v>21098</v>
      </c>
      <c r="D742" t="s">
        <v>33</v>
      </c>
      <c r="E742" s="2" t="s">
        <v>27</v>
      </c>
      <c r="F742" s="2" t="str">
        <f>_xlfn.XLOOKUP(Table1_1[[#This Row],[CAS_rn]],[1]analyte_order!$C:$C,[1]analyte_order!$B:$B)</f>
        <v>8:2 FTS</v>
      </c>
      <c r="G742" t="s">
        <v>129</v>
      </c>
      <c r="H742" s="2">
        <f>_xlfn.XLOOKUP(Table1_1[[#This Row],[CAS_rn]],[1]analyte_order!$C:$C,[1]analyte_order!$E:$E)</f>
        <v>24</v>
      </c>
      <c r="I742">
        <v>0.39500000000000002</v>
      </c>
    </row>
    <row r="743" spans="1:9" x14ac:dyDescent="0.3">
      <c r="A743" s="2" t="s">
        <v>67</v>
      </c>
      <c r="B743" s="3">
        <v>44293.5</v>
      </c>
      <c r="C743" s="1" t="str">
        <f t="shared" si="11"/>
        <v>21098</v>
      </c>
      <c r="D743" t="s">
        <v>33</v>
      </c>
      <c r="E743" s="2" t="s">
        <v>27</v>
      </c>
      <c r="F743" s="2" t="str">
        <f>_xlfn.XLOOKUP(Table1_1[[#This Row],[CAS_rn]],[1]analyte_order!$C:$C,[1]analyte_order!$B:$B)</f>
        <v>FOSA</v>
      </c>
      <c r="G743" t="s">
        <v>130</v>
      </c>
      <c r="H743" s="2">
        <f>_xlfn.XLOOKUP(Table1_1[[#This Row],[CAS_rn]],[1]analyte_order!$C:$C,[1]analyte_order!$E:$E)</f>
        <v>28</v>
      </c>
      <c r="I743">
        <v>0.09</v>
      </c>
    </row>
    <row r="744" spans="1:9" x14ac:dyDescent="0.3">
      <c r="A744" s="2" t="s">
        <v>67</v>
      </c>
      <c r="B744" s="3">
        <v>44293.5</v>
      </c>
      <c r="C744" s="1" t="str">
        <f t="shared" si="11"/>
        <v>21098</v>
      </c>
      <c r="D744" t="s">
        <v>33</v>
      </c>
      <c r="E744" s="2" t="s">
        <v>27</v>
      </c>
      <c r="F744" s="2" t="str">
        <f>_xlfn.XLOOKUP(Table1_1[[#This Row],[CAS_rn]],[1]analyte_order!$C:$C,[1]analyte_order!$B:$B)</f>
        <v>N-MeFOSA</v>
      </c>
      <c r="G744" t="s">
        <v>131</v>
      </c>
      <c r="H744" s="2">
        <f>_xlfn.XLOOKUP(Table1_1[[#This Row],[CAS_rn]],[1]analyte_order!$C:$C,[1]analyte_order!$E:$E)</f>
        <v>30</v>
      </c>
      <c r="I744">
        <v>4.9500000000000002E-2</v>
      </c>
    </row>
    <row r="745" spans="1:9" x14ac:dyDescent="0.3">
      <c r="A745" s="2" t="s">
        <v>67</v>
      </c>
      <c r="B745" s="3">
        <v>44293.5</v>
      </c>
      <c r="C745" s="1" t="str">
        <f t="shared" si="11"/>
        <v>21098</v>
      </c>
      <c r="D745" t="s">
        <v>33</v>
      </c>
      <c r="E745" s="2" t="s">
        <v>27</v>
      </c>
      <c r="F745" s="2" t="str">
        <f>_xlfn.XLOOKUP(Table1_1[[#This Row],[CAS_rn]],[1]analyte_order!$C:$C,[1]analyte_order!$B:$B)</f>
        <v>N-MeFOSAA</v>
      </c>
      <c r="G745" t="s">
        <v>132</v>
      </c>
      <c r="H745" s="2">
        <f>_xlfn.XLOOKUP(Table1_1[[#This Row],[CAS_rn]],[1]analyte_order!$C:$C,[1]analyte_order!$E:$E)</f>
        <v>26</v>
      </c>
      <c r="I745">
        <v>4.9500000000000002E-2</v>
      </c>
    </row>
    <row r="746" spans="1:9" x14ac:dyDescent="0.3">
      <c r="A746" s="2" t="s">
        <v>67</v>
      </c>
      <c r="B746" s="3">
        <v>44293.5</v>
      </c>
      <c r="C746" s="1" t="str">
        <f t="shared" si="11"/>
        <v>21098</v>
      </c>
      <c r="D746" t="s">
        <v>33</v>
      </c>
      <c r="E746" s="2" t="s">
        <v>27</v>
      </c>
      <c r="F746" s="2" t="str">
        <f>_xlfn.XLOOKUP(Table1_1[[#This Row],[CAS_rn]],[1]analyte_order!$C:$C,[1]analyte_order!$B:$B)</f>
        <v>N-EtFOSA</v>
      </c>
      <c r="G746" t="s">
        <v>133</v>
      </c>
      <c r="H746" s="2">
        <f>_xlfn.XLOOKUP(Table1_1[[#This Row],[CAS_rn]],[1]analyte_order!$C:$C,[1]analyte_order!$E:$E)</f>
        <v>31</v>
      </c>
      <c r="I746">
        <v>4.9500000000000002E-2</v>
      </c>
    </row>
    <row r="747" spans="1:9" x14ac:dyDescent="0.3">
      <c r="A747" s="2" t="s">
        <v>67</v>
      </c>
      <c r="B747" s="3">
        <v>44293.5</v>
      </c>
      <c r="C747" s="1" t="str">
        <f t="shared" si="11"/>
        <v>21098</v>
      </c>
      <c r="D747" t="s">
        <v>33</v>
      </c>
      <c r="E747" s="2" t="s">
        <v>27</v>
      </c>
      <c r="F747" s="2" t="str">
        <f>_xlfn.XLOOKUP(Table1_1[[#This Row],[CAS_rn]],[1]analyte_order!$C:$C,[1]analyte_order!$B:$B)</f>
        <v>N-EtFOSAA</v>
      </c>
      <c r="G747" t="s">
        <v>134</v>
      </c>
      <c r="H747" s="2">
        <f>_xlfn.XLOOKUP(Table1_1[[#This Row],[CAS_rn]],[1]analyte_order!$C:$C,[1]analyte_order!$E:$E)</f>
        <v>27</v>
      </c>
      <c r="I747">
        <v>4.9500000000000002E-2</v>
      </c>
    </row>
    <row r="748" spans="1:9" x14ac:dyDescent="0.3">
      <c r="A748" s="2" t="s">
        <v>67</v>
      </c>
      <c r="B748" s="3">
        <v>44293.5</v>
      </c>
      <c r="C748" s="1" t="str">
        <f t="shared" si="11"/>
        <v>21098</v>
      </c>
      <c r="D748" t="s">
        <v>33</v>
      </c>
      <c r="E748" s="2" t="s">
        <v>27</v>
      </c>
      <c r="F748" s="2" t="str">
        <f>_xlfn.XLOOKUP(Table1_1[[#This Row],[CAS_rn]],[1]analyte_order!$C:$C,[1]analyte_order!$B:$B)</f>
        <v>N-MeFOSE</v>
      </c>
      <c r="G748" t="s">
        <v>135</v>
      </c>
      <c r="H748" s="2">
        <f>_xlfn.XLOOKUP(Table1_1[[#This Row],[CAS_rn]],[1]analyte_order!$C:$C,[1]analyte_order!$E:$E)</f>
        <v>32</v>
      </c>
      <c r="I748">
        <v>0.495</v>
      </c>
    </row>
    <row r="749" spans="1:9" x14ac:dyDescent="0.3">
      <c r="A749" s="2" t="s">
        <v>67</v>
      </c>
      <c r="B749" s="3">
        <v>44293.5</v>
      </c>
      <c r="C749" s="1" t="str">
        <f t="shared" si="11"/>
        <v>21098</v>
      </c>
      <c r="D749" t="s">
        <v>33</v>
      </c>
      <c r="E749" s="2" t="s">
        <v>27</v>
      </c>
      <c r="F749" s="2" t="str">
        <f>_xlfn.XLOOKUP(Table1_1[[#This Row],[CAS_rn]],[1]analyte_order!$C:$C,[1]analyte_order!$B:$B)</f>
        <v>N-EtFOSE</v>
      </c>
      <c r="G749" t="s">
        <v>136</v>
      </c>
      <c r="H749" s="2">
        <f>_xlfn.XLOOKUP(Table1_1[[#This Row],[CAS_rn]],[1]analyte_order!$C:$C,[1]analyte_order!$E:$E)</f>
        <v>33</v>
      </c>
      <c r="I749">
        <v>0.495</v>
      </c>
    </row>
    <row r="750" spans="1:9" x14ac:dyDescent="0.3">
      <c r="A750" s="2" t="s">
        <v>67</v>
      </c>
      <c r="B750" s="3">
        <v>44293.5</v>
      </c>
      <c r="C750" s="1" t="str">
        <f t="shared" si="11"/>
        <v>21098</v>
      </c>
      <c r="D750" t="s">
        <v>33</v>
      </c>
      <c r="E750" s="2" t="s">
        <v>27</v>
      </c>
      <c r="F750" s="2" t="str">
        <f>_xlfn.XLOOKUP(Table1_1[[#This Row],[CAS_rn]],[1]analyte_order!$C:$C,[1]analyte_order!$B:$B)</f>
        <v>HFPO-DA</v>
      </c>
      <c r="G750" t="s">
        <v>137</v>
      </c>
      <c r="H750" s="2">
        <f>_xlfn.XLOOKUP(Table1_1[[#This Row],[CAS_rn]],[1]analyte_order!$C:$C,[1]analyte_order!$E:$E)</f>
        <v>34</v>
      </c>
      <c r="I750">
        <v>0.29499999999999998</v>
      </c>
    </row>
    <row r="751" spans="1:9" x14ac:dyDescent="0.3">
      <c r="A751" s="2" t="s">
        <v>67</v>
      </c>
      <c r="B751" s="3">
        <v>44293.5</v>
      </c>
      <c r="C751" s="1" t="str">
        <f t="shared" si="11"/>
        <v>21098</v>
      </c>
      <c r="D751" t="s">
        <v>33</v>
      </c>
      <c r="E751" s="2" t="s">
        <v>27</v>
      </c>
      <c r="F751" s="2" t="str">
        <f>_xlfn.XLOOKUP(Table1_1[[#This Row],[CAS_rn]],[1]analyte_order!$C:$C,[1]analyte_order!$B:$B)</f>
        <v>ADONA</v>
      </c>
      <c r="G751" t="s">
        <v>138</v>
      </c>
      <c r="H751" s="2">
        <f>_xlfn.XLOOKUP(Table1_1[[#This Row],[CAS_rn]],[1]analyte_order!$C:$C,[1]analyte_order!$E:$E)</f>
        <v>35</v>
      </c>
      <c r="I751">
        <v>0.2</v>
      </c>
    </row>
    <row r="752" spans="1:9" x14ac:dyDescent="0.3">
      <c r="A752" s="2" t="s">
        <v>67</v>
      </c>
      <c r="B752" s="3">
        <v>44293.5</v>
      </c>
      <c r="C752" s="1" t="str">
        <f t="shared" si="11"/>
        <v>21098</v>
      </c>
      <c r="D752" t="s">
        <v>33</v>
      </c>
      <c r="E752" s="2" t="s">
        <v>27</v>
      </c>
      <c r="F752" s="2" t="str">
        <f>_xlfn.XLOOKUP(Table1_1[[#This Row],[CAS_rn]],[1]analyte_order!$C:$C,[1]analyte_order!$B:$B)</f>
        <v>PFMBA</v>
      </c>
      <c r="G752" t="s">
        <v>139</v>
      </c>
      <c r="H752" s="2">
        <f>_xlfn.XLOOKUP(Table1_1[[#This Row],[CAS_rn]],[1]analyte_order!$C:$C,[1]analyte_order!$E:$E)</f>
        <v>48</v>
      </c>
      <c r="I752">
        <v>0.1</v>
      </c>
    </row>
    <row r="753" spans="1:9" x14ac:dyDescent="0.3">
      <c r="A753" s="2" t="s">
        <v>67</v>
      </c>
      <c r="B753" s="3">
        <v>44293.5</v>
      </c>
      <c r="C753" s="1" t="str">
        <f t="shared" si="11"/>
        <v>21098</v>
      </c>
      <c r="D753" t="s">
        <v>33</v>
      </c>
      <c r="E753" s="2" t="s">
        <v>27</v>
      </c>
      <c r="F753" s="2" t="str">
        <f>_xlfn.XLOOKUP(Table1_1[[#This Row],[CAS_rn]],[1]analyte_order!$C:$C,[1]analyte_order!$B:$B)</f>
        <v>NFDHA</v>
      </c>
      <c r="G753" t="s">
        <v>140</v>
      </c>
      <c r="H753" s="2">
        <f>_xlfn.XLOOKUP(Table1_1[[#This Row],[CAS_rn]],[1]analyte_order!$C:$C,[1]analyte_order!$E:$E)</f>
        <v>50</v>
      </c>
      <c r="I753">
        <v>0.1</v>
      </c>
    </row>
    <row r="754" spans="1:9" x14ac:dyDescent="0.3">
      <c r="A754" s="2" t="s">
        <v>67</v>
      </c>
      <c r="B754" s="3">
        <v>44293.5</v>
      </c>
      <c r="C754" s="1" t="str">
        <f t="shared" si="11"/>
        <v>21098</v>
      </c>
      <c r="D754" t="s">
        <v>33</v>
      </c>
      <c r="E754" s="2" t="s">
        <v>27</v>
      </c>
      <c r="F754" s="2" t="str">
        <f>_xlfn.XLOOKUP(Table1_1[[#This Row],[CAS_rn]],[1]analyte_order!$C:$C,[1]analyte_order!$B:$B)</f>
        <v>9Cl-PF3ONS</v>
      </c>
      <c r="G754" t="s">
        <v>141</v>
      </c>
      <c r="H754" s="2">
        <f>_xlfn.XLOOKUP(Table1_1[[#This Row],[CAS_rn]],[1]analyte_order!$C:$C,[1]analyte_order!$E:$E)</f>
        <v>36</v>
      </c>
      <c r="I754">
        <v>0.2</v>
      </c>
    </row>
    <row r="755" spans="1:9" x14ac:dyDescent="0.3">
      <c r="A755" s="2" t="s">
        <v>67</v>
      </c>
      <c r="B755" s="3">
        <v>44293.5</v>
      </c>
      <c r="C755" s="1" t="str">
        <f t="shared" si="11"/>
        <v>21098</v>
      </c>
      <c r="D755" t="s">
        <v>33</v>
      </c>
      <c r="E755" s="2" t="s">
        <v>27</v>
      </c>
      <c r="F755" s="2" t="str">
        <f>_xlfn.XLOOKUP(Table1_1[[#This Row],[CAS_rn]],[1]analyte_order!$C:$C,[1]analyte_order!$B:$B)</f>
        <v>11Cl-PF3OUdS</v>
      </c>
      <c r="G755" t="s">
        <v>142</v>
      </c>
      <c r="H755" s="2">
        <f>_xlfn.XLOOKUP(Table1_1[[#This Row],[CAS_rn]],[1]analyte_order!$C:$C,[1]analyte_order!$E:$E)</f>
        <v>37</v>
      </c>
      <c r="I755">
        <v>0.2</v>
      </c>
    </row>
    <row r="756" spans="1:9" x14ac:dyDescent="0.3">
      <c r="A756" s="2" t="s">
        <v>67</v>
      </c>
      <c r="B756" s="3">
        <v>44293.5</v>
      </c>
      <c r="C756" s="1" t="str">
        <f t="shared" si="11"/>
        <v>21098</v>
      </c>
      <c r="D756" t="s">
        <v>33</v>
      </c>
      <c r="E756" s="2" t="s">
        <v>27</v>
      </c>
      <c r="F756" s="2" t="str">
        <f>_xlfn.XLOOKUP(Table1_1[[#This Row],[CAS_rn]],[1]analyte_order!$C:$C,[1]analyte_order!$B:$B)</f>
        <v>PFEESA</v>
      </c>
      <c r="G756" t="s">
        <v>143</v>
      </c>
      <c r="H756" s="2">
        <f>_xlfn.XLOOKUP(Table1_1[[#This Row],[CAS_rn]],[1]analyte_order!$C:$C,[1]analyte_order!$E:$E)</f>
        <v>47</v>
      </c>
      <c r="I756">
        <v>0.1</v>
      </c>
    </row>
    <row r="757" spans="1:9" x14ac:dyDescent="0.3">
      <c r="A757" s="2" t="s">
        <v>67</v>
      </c>
      <c r="B757" s="3">
        <v>44293.5</v>
      </c>
      <c r="C757" s="1" t="str">
        <f t="shared" si="11"/>
        <v>21098</v>
      </c>
      <c r="D757" t="s">
        <v>33</v>
      </c>
      <c r="E757" s="2" t="s">
        <v>27</v>
      </c>
      <c r="F757" s="2" t="str">
        <f>_xlfn.XLOOKUP(Table1_1[[#This Row],[CAS_rn]],[1]analyte_order!$C:$C,[1]analyte_order!$B:$B)</f>
        <v>3:3 FTCA</v>
      </c>
      <c r="G757" t="s">
        <v>144</v>
      </c>
      <c r="H757" s="2">
        <f>_xlfn.XLOOKUP(Table1_1[[#This Row],[CAS_rn]],[1]analyte_order!$C:$C,[1]analyte_order!$E:$E)</f>
        <v>38</v>
      </c>
      <c r="I757">
        <v>0.245</v>
      </c>
    </row>
    <row r="758" spans="1:9" x14ac:dyDescent="0.3">
      <c r="A758" s="2" t="s">
        <v>67</v>
      </c>
      <c r="B758" s="3">
        <v>44293.5</v>
      </c>
      <c r="C758" s="1" t="str">
        <f t="shared" si="11"/>
        <v>21098</v>
      </c>
      <c r="D758" t="s">
        <v>33</v>
      </c>
      <c r="E758" s="2" t="s">
        <v>27</v>
      </c>
      <c r="F758" s="2" t="str">
        <f>_xlfn.XLOOKUP(Table1_1[[#This Row],[CAS_rn]],[1]analyte_order!$C:$C,[1]analyte_order!$B:$B)</f>
        <v>5:3 FTCA</v>
      </c>
      <c r="G758" t="s">
        <v>145</v>
      </c>
      <c r="H758" s="2">
        <f>_xlfn.XLOOKUP(Table1_1[[#This Row],[CAS_rn]],[1]analyte_order!$C:$C,[1]analyte_order!$E:$E)</f>
        <v>39</v>
      </c>
      <c r="I758">
        <v>1.25</v>
      </c>
    </row>
    <row r="759" spans="1:9" x14ac:dyDescent="0.3">
      <c r="A759" s="2" t="s">
        <v>67</v>
      </c>
      <c r="B759" s="3">
        <v>44293.5</v>
      </c>
      <c r="C759" s="1" t="str">
        <f t="shared" si="11"/>
        <v>21098</v>
      </c>
      <c r="D759" t="s">
        <v>33</v>
      </c>
      <c r="E759" s="2" t="s">
        <v>27</v>
      </c>
      <c r="F759" s="2" t="str">
        <f>_xlfn.XLOOKUP(Table1_1[[#This Row],[CAS_rn]],[1]analyte_order!$C:$C,[1]analyte_order!$B:$B)</f>
        <v>7:3 FTCA</v>
      </c>
      <c r="G759" t="s">
        <v>146</v>
      </c>
      <c r="H759" s="2">
        <f>_xlfn.XLOOKUP(Table1_1[[#This Row],[CAS_rn]],[1]analyte_order!$C:$C,[1]analyte_order!$E:$E)</f>
        <v>40</v>
      </c>
      <c r="I759">
        <v>1.25</v>
      </c>
    </row>
    <row r="760" spans="1:9" x14ac:dyDescent="0.3">
      <c r="A760" s="2" t="s">
        <v>67</v>
      </c>
      <c r="B760" s="3">
        <v>44293.5</v>
      </c>
      <c r="C760" s="1" t="str">
        <f t="shared" si="11"/>
        <v>21098</v>
      </c>
      <c r="D760" t="s">
        <v>33</v>
      </c>
      <c r="E760" s="2" t="s">
        <v>27</v>
      </c>
      <c r="F760" s="2" t="str">
        <f>_xlfn.XLOOKUP(Table1_1[[#This Row],[CAS_rn]],[1]analyte_order!$C:$C,[1]analyte_order!$B:$B)</f>
        <v>PFDS</v>
      </c>
      <c r="G760" t="s">
        <v>147</v>
      </c>
      <c r="H760" s="2">
        <f>_xlfn.XLOOKUP(Table1_1[[#This Row],[CAS_rn]],[1]analyte_order!$C:$C,[1]analyte_order!$E:$E)</f>
        <v>20</v>
      </c>
      <c r="I760">
        <v>4.9500000000000002E-2</v>
      </c>
    </row>
    <row r="761" spans="1:9" x14ac:dyDescent="0.3">
      <c r="A761" s="2" t="s">
        <v>67</v>
      </c>
      <c r="B761" s="3">
        <v>44293.5</v>
      </c>
      <c r="C761" s="1" t="str">
        <f t="shared" si="11"/>
        <v>21098</v>
      </c>
      <c r="D761" t="s">
        <v>33</v>
      </c>
      <c r="E761" s="2" t="s">
        <v>27</v>
      </c>
      <c r="F761" s="2" t="str">
        <f>_xlfn.XLOOKUP(Table1_1[[#This Row],[CAS_rn]],[1]analyte_order!$C:$C,[1]analyte_order!$B:$B)</f>
        <v>PFMPA</v>
      </c>
      <c r="G761" t="s">
        <v>148</v>
      </c>
      <c r="H761" s="2">
        <f>_xlfn.XLOOKUP(Table1_1[[#This Row],[CAS_rn]],[1]analyte_order!$C:$C,[1]analyte_order!$E:$E)</f>
        <v>49</v>
      </c>
      <c r="I761">
        <v>0.1</v>
      </c>
    </row>
    <row r="762" spans="1:9" x14ac:dyDescent="0.3">
      <c r="A762" s="2" t="s">
        <v>68</v>
      </c>
      <c r="B762" s="3">
        <v>44293.5</v>
      </c>
      <c r="C762" s="1" t="str">
        <f t="shared" si="11"/>
        <v>21098</v>
      </c>
      <c r="D762" t="s">
        <v>29</v>
      </c>
      <c r="E762" s="2" t="s">
        <v>27</v>
      </c>
      <c r="F762" s="2" t="str">
        <f>_xlfn.XLOOKUP(Table1_1[[#This Row],[CAS_rn]],[1]analyte_order!$C:$C,[1]analyte_order!$B:$B)</f>
        <v>PFBA</v>
      </c>
      <c r="G762" t="s">
        <v>109</v>
      </c>
      <c r="H762" s="2">
        <f>_xlfn.XLOOKUP(Table1_1[[#This Row],[CAS_rn]],[1]analyte_order!$C:$C,[1]analyte_order!$E:$E)</f>
        <v>1</v>
      </c>
      <c r="I762">
        <v>0.2</v>
      </c>
    </row>
    <row r="763" spans="1:9" x14ac:dyDescent="0.3">
      <c r="A763" s="2" t="s">
        <v>68</v>
      </c>
      <c r="B763" s="3">
        <v>44293.5</v>
      </c>
      <c r="C763" s="1" t="str">
        <f t="shared" si="11"/>
        <v>21098</v>
      </c>
      <c r="D763" t="s">
        <v>29</v>
      </c>
      <c r="E763" s="2" t="s">
        <v>27</v>
      </c>
      <c r="F763" s="2" t="str">
        <f>_xlfn.XLOOKUP(Table1_1[[#This Row],[CAS_rn]],[1]analyte_order!$C:$C,[1]analyte_order!$B:$B)</f>
        <v>PFPeA</v>
      </c>
      <c r="G763" t="s">
        <v>110</v>
      </c>
      <c r="H763" s="2">
        <f>_xlfn.XLOOKUP(Table1_1[[#This Row],[CAS_rn]],[1]analyte_order!$C:$C,[1]analyte_order!$E:$E)</f>
        <v>2</v>
      </c>
      <c r="I763">
        <v>0.1</v>
      </c>
    </row>
    <row r="764" spans="1:9" x14ac:dyDescent="0.3">
      <c r="A764" s="2" t="s">
        <v>68</v>
      </c>
      <c r="B764" s="3">
        <v>44293.5</v>
      </c>
      <c r="C764" s="1" t="str">
        <f t="shared" si="11"/>
        <v>21098</v>
      </c>
      <c r="D764" t="s">
        <v>29</v>
      </c>
      <c r="E764" s="2" t="s">
        <v>27</v>
      </c>
      <c r="F764" s="2" t="str">
        <f>_xlfn.XLOOKUP(Table1_1[[#This Row],[CAS_rn]],[1]analyte_order!$C:$C,[1]analyte_order!$B:$B)</f>
        <v>PFHxA</v>
      </c>
      <c r="G764" t="s">
        <v>111</v>
      </c>
      <c r="H764" s="2">
        <f>_xlfn.XLOOKUP(Table1_1[[#This Row],[CAS_rn]],[1]analyte_order!$C:$C,[1]analyte_order!$E:$E)</f>
        <v>3</v>
      </c>
      <c r="I764">
        <v>0.09</v>
      </c>
    </row>
    <row r="765" spans="1:9" x14ac:dyDescent="0.3">
      <c r="A765" s="2" t="s">
        <v>68</v>
      </c>
      <c r="B765" s="3">
        <v>44293.5</v>
      </c>
      <c r="C765" s="1" t="str">
        <f t="shared" si="11"/>
        <v>21098</v>
      </c>
      <c r="D765" t="s">
        <v>29</v>
      </c>
      <c r="E765" s="2" t="s">
        <v>27</v>
      </c>
      <c r="F765" s="2" t="str">
        <f>_xlfn.XLOOKUP(Table1_1[[#This Row],[CAS_rn]],[1]analyte_order!$C:$C,[1]analyte_order!$B:$B)</f>
        <v>PFHpA</v>
      </c>
      <c r="G765" t="s">
        <v>112</v>
      </c>
      <c r="H765" s="2">
        <f>_xlfn.XLOOKUP(Table1_1[[#This Row],[CAS_rn]],[1]analyte_order!$C:$C,[1]analyte_order!$E:$E)</f>
        <v>4</v>
      </c>
      <c r="I765">
        <v>0.09</v>
      </c>
    </row>
    <row r="766" spans="1:9" x14ac:dyDescent="0.3">
      <c r="A766" s="2" t="s">
        <v>68</v>
      </c>
      <c r="B766" s="3">
        <v>44293.5</v>
      </c>
      <c r="C766" s="1" t="str">
        <f t="shared" si="11"/>
        <v>21098</v>
      </c>
      <c r="D766" t="s">
        <v>29</v>
      </c>
      <c r="E766" s="2" t="s">
        <v>27</v>
      </c>
      <c r="F766" s="2" t="str">
        <f>_xlfn.XLOOKUP(Table1_1[[#This Row],[CAS_rn]],[1]analyte_order!$C:$C,[1]analyte_order!$B:$B)</f>
        <v>PFOA</v>
      </c>
      <c r="G766" t="s">
        <v>113</v>
      </c>
      <c r="H766" s="2">
        <f>_xlfn.XLOOKUP(Table1_1[[#This Row],[CAS_rn]],[1]analyte_order!$C:$C,[1]analyte_order!$E:$E)</f>
        <v>5</v>
      </c>
      <c r="I766">
        <v>8.2000000000000003E-2</v>
      </c>
    </row>
    <row r="767" spans="1:9" x14ac:dyDescent="0.3">
      <c r="A767" s="2" t="s">
        <v>68</v>
      </c>
      <c r="B767" s="3">
        <v>44293.5</v>
      </c>
      <c r="C767" s="1" t="str">
        <f t="shared" si="11"/>
        <v>21098</v>
      </c>
      <c r="D767" t="s">
        <v>29</v>
      </c>
      <c r="E767" s="2" t="s">
        <v>27</v>
      </c>
      <c r="F767" s="2" t="str">
        <f>_xlfn.XLOOKUP(Table1_1[[#This Row],[CAS_rn]],[1]analyte_order!$C:$C,[1]analyte_order!$B:$B)</f>
        <v>PFNA</v>
      </c>
      <c r="G767" t="s">
        <v>114</v>
      </c>
      <c r="H767" s="2">
        <f>_xlfn.XLOOKUP(Table1_1[[#This Row],[CAS_rn]],[1]analyte_order!$C:$C,[1]analyte_order!$E:$E)</f>
        <v>6</v>
      </c>
      <c r="I767">
        <v>4.9500000000000002E-2</v>
      </c>
    </row>
    <row r="768" spans="1:9" x14ac:dyDescent="0.3">
      <c r="A768" s="2" t="s">
        <v>68</v>
      </c>
      <c r="B768" s="3">
        <v>44293.5</v>
      </c>
      <c r="C768" s="1" t="str">
        <f t="shared" si="11"/>
        <v>21098</v>
      </c>
      <c r="D768" t="s">
        <v>29</v>
      </c>
      <c r="E768" s="2" t="s">
        <v>27</v>
      </c>
      <c r="F768" s="2" t="str">
        <f>_xlfn.XLOOKUP(Table1_1[[#This Row],[CAS_rn]],[1]analyte_order!$C:$C,[1]analyte_order!$B:$B)</f>
        <v>PFDA</v>
      </c>
      <c r="G768" t="s">
        <v>115</v>
      </c>
      <c r="H768" s="2">
        <f>_xlfn.XLOOKUP(Table1_1[[#This Row],[CAS_rn]],[1]analyte_order!$C:$C,[1]analyte_order!$E:$E)</f>
        <v>7</v>
      </c>
      <c r="I768">
        <v>4.9500000000000002E-2</v>
      </c>
    </row>
    <row r="769" spans="1:9" x14ac:dyDescent="0.3">
      <c r="A769" s="2" t="s">
        <v>68</v>
      </c>
      <c r="B769" s="3">
        <v>44293.5</v>
      </c>
      <c r="C769" s="1" t="str">
        <f t="shared" si="11"/>
        <v>21098</v>
      </c>
      <c r="D769" t="s">
        <v>29</v>
      </c>
      <c r="E769" s="2" t="s">
        <v>27</v>
      </c>
      <c r="F769" s="2" t="str">
        <f>_xlfn.XLOOKUP(Table1_1[[#This Row],[CAS_rn]],[1]analyte_order!$C:$C,[1]analyte_order!$B:$B)</f>
        <v>PFUnA</v>
      </c>
      <c r="G769" t="s">
        <v>116</v>
      </c>
      <c r="H769" s="2">
        <f>_xlfn.XLOOKUP(Table1_1[[#This Row],[CAS_rn]],[1]analyte_order!$C:$C,[1]analyte_order!$E:$E)</f>
        <v>8</v>
      </c>
      <c r="I769">
        <v>4.9500000000000002E-2</v>
      </c>
    </row>
    <row r="770" spans="1:9" x14ac:dyDescent="0.3">
      <c r="A770" s="2" t="s">
        <v>68</v>
      </c>
      <c r="B770" s="3">
        <v>44293.5</v>
      </c>
      <c r="C770" s="1" t="str">
        <f t="shared" si="11"/>
        <v>21098</v>
      </c>
      <c r="D770" t="s">
        <v>29</v>
      </c>
      <c r="E770" s="2" t="s">
        <v>27</v>
      </c>
      <c r="F770" s="2" t="str">
        <f>_xlfn.XLOOKUP(Table1_1[[#This Row],[CAS_rn]],[1]analyte_order!$C:$C,[1]analyte_order!$B:$B)</f>
        <v>PFDoA</v>
      </c>
      <c r="G770" t="s">
        <v>117</v>
      </c>
      <c r="H770" s="2">
        <f>_xlfn.XLOOKUP(Table1_1[[#This Row],[CAS_rn]],[1]analyte_order!$C:$C,[1]analyte_order!$E:$E)</f>
        <v>9</v>
      </c>
      <c r="I770">
        <v>4.9500000000000002E-2</v>
      </c>
    </row>
    <row r="771" spans="1:9" x14ac:dyDescent="0.3">
      <c r="A771" s="2" t="s">
        <v>68</v>
      </c>
      <c r="B771" s="3">
        <v>44293.5</v>
      </c>
      <c r="C771" s="1" t="str">
        <f t="shared" ref="C771:C834" si="12">TEXT(B771,"yy")&amp;TEXT((B771-DATEVALUE("1/1/"&amp;TEXT(B771,"yy"))+1),"000")</f>
        <v>21098</v>
      </c>
      <c r="D771" t="s">
        <v>29</v>
      </c>
      <c r="E771" s="2" t="s">
        <v>27</v>
      </c>
      <c r="F771" s="2" t="str">
        <f>_xlfn.XLOOKUP(Table1_1[[#This Row],[CAS_rn]],[1]analyte_order!$C:$C,[1]analyte_order!$B:$B)</f>
        <v>PFTrDA</v>
      </c>
      <c r="G771" t="s">
        <v>118</v>
      </c>
      <c r="H771" s="2">
        <f>_xlfn.XLOOKUP(Table1_1[[#This Row],[CAS_rn]],[1]analyte_order!$C:$C,[1]analyte_order!$E:$E)</f>
        <v>10</v>
      </c>
      <c r="I771">
        <v>4.9500000000000002E-2</v>
      </c>
    </row>
    <row r="772" spans="1:9" x14ac:dyDescent="0.3">
      <c r="A772" s="2" t="s">
        <v>68</v>
      </c>
      <c r="B772" s="3">
        <v>44293.5</v>
      </c>
      <c r="C772" s="1" t="str">
        <f t="shared" si="12"/>
        <v>21098</v>
      </c>
      <c r="D772" t="s">
        <v>29</v>
      </c>
      <c r="E772" s="2" t="s">
        <v>27</v>
      </c>
      <c r="F772" s="2" t="str">
        <f>_xlfn.XLOOKUP(Table1_1[[#This Row],[CAS_rn]],[1]analyte_order!$C:$C,[1]analyte_order!$B:$B)</f>
        <v>PFTeDA</v>
      </c>
      <c r="G772" t="s">
        <v>119</v>
      </c>
      <c r="H772" s="2">
        <f>_xlfn.XLOOKUP(Table1_1[[#This Row],[CAS_rn]],[1]analyte_order!$C:$C,[1]analyte_order!$E:$E)</f>
        <v>11</v>
      </c>
      <c r="I772">
        <v>4.9500000000000002E-2</v>
      </c>
    </row>
    <row r="773" spans="1:9" x14ac:dyDescent="0.3">
      <c r="A773" s="2" t="s">
        <v>68</v>
      </c>
      <c r="B773" s="3">
        <v>44293.5</v>
      </c>
      <c r="C773" s="1" t="str">
        <f t="shared" si="12"/>
        <v>21098</v>
      </c>
      <c r="D773" t="s">
        <v>29</v>
      </c>
      <c r="E773" s="2" t="s">
        <v>27</v>
      </c>
      <c r="F773" s="2" t="str">
        <f>_xlfn.XLOOKUP(Table1_1[[#This Row],[CAS_rn]],[1]analyte_order!$C:$C,[1]analyte_order!$B:$B)</f>
        <v>PFBS</v>
      </c>
      <c r="G773" t="s">
        <v>120</v>
      </c>
      <c r="H773" s="2">
        <f>_xlfn.XLOOKUP(Table1_1[[#This Row],[CAS_rn]],[1]analyte_order!$C:$C,[1]analyte_order!$E:$E)</f>
        <v>14</v>
      </c>
      <c r="I773">
        <v>4.9500000000000002E-2</v>
      </c>
    </row>
    <row r="774" spans="1:9" x14ac:dyDescent="0.3">
      <c r="A774" s="2" t="s">
        <v>68</v>
      </c>
      <c r="B774" s="3">
        <v>44293.5</v>
      </c>
      <c r="C774" s="1" t="str">
        <f t="shared" si="12"/>
        <v>21098</v>
      </c>
      <c r="D774" t="s">
        <v>29</v>
      </c>
      <c r="E774" s="2" t="s">
        <v>27</v>
      </c>
      <c r="F774" s="2" t="str">
        <f>_xlfn.XLOOKUP(Table1_1[[#This Row],[CAS_rn]],[1]analyte_order!$C:$C,[1]analyte_order!$B:$B)</f>
        <v>PFPeS</v>
      </c>
      <c r="G774" t="s">
        <v>121</v>
      </c>
      <c r="H774" s="2">
        <f>_xlfn.XLOOKUP(Table1_1[[#This Row],[CAS_rn]],[1]analyte_order!$C:$C,[1]analyte_order!$E:$E)</f>
        <v>15</v>
      </c>
      <c r="I774">
        <v>4.9500000000000002E-2</v>
      </c>
    </row>
    <row r="775" spans="1:9" x14ac:dyDescent="0.3">
      <c r="A775" s="2" t="s">
        <v>68</v>
      </c>
      <c r="B775" s="3">
        <v>44293.5</v>
      </c>
      <c r="C775" s="1" t="str">
        <f t="shared" si="12"/>
        <v>21098</v>
      </c>
      <c r="D775" t="s">
        <v>29</v>
      </c>
      <c r="E775" s="2" t="s">
        <v>27</v>
      </c>
      <c r="F775" s="2" t="str">
        <f>_xlfn.XLOOKUP(Table1_1[[#This Row],[CAS_rn]],[1]analyte_order!$C:$C,[1]analyte_order!$B:$B)</f>
        <v>PFHxS</v>
      </c>
      <c r="G775" t="s">
        <v>122</v>
      </c>
      <c r="H775" s="2">
        <f>_xlfn.XLOOKUP(Table1_1[[#This Row],[CAS_rn]],[1]analyte_order!$C:$C,[1]analyte_order!$E:$E)</f>
        <v>16</v>
      </c>
      <c r="I775">
        <v>0.22</v>
      </c>
    </row>
    <row r="776" spans="1:9" x14ac:dyDescent="0.3">
      <c r="A776" s="2" t="s">
        <v>68</v>
      </c>
      <c r="B776" s="3">
        <v>44293.5</v>
      </c>
      <c r="C776" s="1" t="str">
        <f t="shared" si="12"/>
        <v>21098</v>
      </c>
      <c r="D776" t="s">
        <v>29</v>
      </c>
      <c r="E776" s="2" t="s">
        <v>27</v>
      </c>
      <c r="F776" s="2" t="str">
        <f>_xlfn.XLOOKUP(Table1_1[[#This Row],[CAS_rn]],[1]analyte_order!$C:$C,[1]analyte_order!$B:$B)</f>
        <v>PFHpS</v>
      </c>
      <c r="G776" t="s">
        <v>123</v>
      </c>
      <c r="H776" s="2">
        <f>_xlfn.XLOOKUP(Table1_1[[#This Row],[CAS_rn]],[1]analyte_order!$C:$C,[1]analyte_order!$E:$E)</f>
        <v>17</v>
      </c>
      <c r="I776">
        <v>4.9500000000000002E-2</v>
      </c>
    </row>
    <row r="777" spans="1:9" x14ac:dyDescent="0.3">
      <c r="A777" s="2" t="s">
        <v>68</v>
      </c>
      <c r="B777" s="3">
        <v>44293.5</v>
      </c>
      <c r="C777" s="1" t="str">
        <f t="shared" si="12"/>
        <v>21098</v>
      </c>
      <c r="D777" t="s">
        <v>29</v>
      </c>
      <c r="E777" s="2" t="s">
        <v>27</v>
      </c>
      <c r="F777" s="2" t="str">
        <f>_xlfn.XLOOKUP(Table1_1[[#This Row],[CAS_rn]],[1]analyte_order!$C:$C,[1]analyte_order!$B:$B)</f>
        <v>PFOS</v>
      </c>
      <c r="G777" t="s">
        <v>124</v>
      </c>
      <c r="H777" s="2">
        <f>_xlfn.XLOOKUP(Table1_1[[#This Row],[CAS_rn]],[1]analyte_order!$C:$C,[1]analyte_order!$E:$E)</f>
        <v>18</v>
      </c>
      <c r="I777">
        <v>0.69</v>
      </c>
    </row>
    <row r="778" spans="1:9" x14ac:dyDescent="0.3">
      <c r="A778" s="2" t="s">
        <v>68</v>
      </c>
      <c r="B778" s="3">
        <v>44293.5</v>
      </c>
      <c r="C778" s="1" t="str">
        <f t="shared" si="12"/>
        <v>21098</v>
      </c>
      <c r="D778" t="s">
        <v>29</v>
      </c>
      <c r="E778" s="2" t="s">
        <v>27</v>
      </c>
      <c r="F778" s="2" t="str">
        <f>_xlfn.XLOOKUP(Table1_1[[#This Row],[CAS_rn]],[1]analyte_order!$C:$C,[1]analyte_order!$B:$B)</f>
        <v>PFNS</v>
      </c>
      <c r="G778" t="s">
        <v>125</v>
      </c>
      <c r="H778" s="2">
        <f>_xlfn.XLOOKUP(Table1_1[[#This Row],[CAS_rn]],[1]analyte_order!$C:$C,[1]analyte_order!$E:$E)</f>
        <v>19</v>
      </c>
      <c r="I778">
        <v>4.9500000000000002E-2</v>
      </c>
    </row>
    <row r="779" spans="1:9" x14ac:dyDescent="0.3">
      <c r="A779" s="2" t="s">
        <v>68</v>
      </c>
      <c r="B779" s="3">
        <v>44293.5</v>
      </c>
      <c r="C779" s="1" t="str">
        <f t="shared" si="12"/>
        <v>21098</v>
      </c>
      <c r="D779" t="s">
        <v>29</v>
      </c>
      <c r="E779" s="2" t="s">
        <v>27</v>
      </c>
      <c r="F779" s="2" t="str">
        <f>_xlfn.XLOOKUP(Table1_1[[#This Row],[CAS_rn]],[1]analyte_order!$C:$C,[1]analyte_order!$B:$B)</f>
        <v>PFDoS</v>
      </c>
      <c r="G779" t="s">
        <v>126</v>
      </c>
      <c r="H779" s="2">
        <f>_xlfn.XLOOKUP(Table1_1[[#This Row],[CAS_rn]],[1]analyte_order!$C:$C,[1]analyte_order!$E:$E)</f>
        <v>21</v>
      </c>
      <c r="I779">
        <v>4.9500000000000002E-2</v>
      </c>
    </row>
    <row r="780" spans="1:9" x14ac:dyDescent="0.3">
      <c r="A780" s="2" t="s">
        <v>68</v>
      </c>
      <c r="B780" s="3">
        <v>44293.5</v>
      </c>
      <c r="C780" s="1" t="str">
        <f t="shared" si="12"/>
        <v>21098</v>
      </c>
      <c r="D780" t="s">
        <v>29</v>
      </c>
      <c r="E780" s="2" t="s">
        <v>27</v>
      </c>
      <c r="F780" s="2" t="str">
        <f>_xlfn.XLOOKUP(Table1_1[[#This Row],[CAS_rn]],[1]analyte_order!$C:$C,[1]analyte_order!$B:$B)</f>
        <v>4:2 FTS</v>
      </c>
      <c r="G780" t="s">
        <v>127</v>
      </c>
      <c r="H780" s="2">
        <f>_xlfn.XLOOKUP(Table1_1[[#This Row],[CAS_rn]],[1]analyte_order!$C:$C,[1]analyte_order!$E:$E)</f>
        <v>22</v>
      </c>
      <c r="I780">
        <v>0.2</v>
      </c>
    </row>
    <row r="781" spans="1:9" x14ac:dyDescent="0.3">
      <c r="A781" s="2" t="s">
        <v>68</v>
      </c>
      <c r="B781" s="3">
        <v>44293.5</v>
      </c>
      <c r="C781" s="1" t="str">
        <f t="shared" si="12"/>
        <v>21098</v>
      </c>
      <c r="D781" t="s">
        <v>29</v>
      </c>
      <c r="E781" s="2" t="s">
        <v>27</v>
      </c>
      <c r="F781" s="2" t="str">
        <f>_xlfn.XLOOKUP(Table1_1[[#This Row],[CAS_rn]],[1]analyte_order!$C:$C,[1]analyte_order!$B:$B)</f>
        <v>6:2 FTS</v>
      </c>
      <c r="G781" t="s">
        <v>128</v>
      </c>
      <c r="H781" s="2">
        <f>_xlfn.XLOOKUP(Table1_1[[#This Row],[CAS_rn]],[1]analyte_order!$C:$C,[1]analyte_order!$E:$E)</f>
        <v>23</v>
      </c>
      <c r="I781">
        <v>0.39500000000000002</v>
      </c>
    </row>
    <row r="782" spans="1:9" x14ac:dyDescent="0.3">
      <c r="A782" s="2" t="s">
        <v>68</v>
      </c>
      <c r="B782" s="3">
        <v>44293.5</v>
      </c>
      <c r="C782" s="1" t="str">
        <f t="shared" si="12"/>
        <v>21098</v>
      </c>
      <c r="D782" t="s">
        <v>29</v>
      </c>
      <c r="E782" s="2" t="s">
        <v>27</v>
      </c>
      <c r="F782" s="2" t="str">
        <f>_xlfn.XLOOKUP(Table1_1[[#This Row],[CAS_rn]],[1]analyte_order!$C:$C,[1]analyte_order!$B:$B)</f>
        <v>8:2 FTS</v>
      </c>
      <c r="G782" t="s">
        <v>129</v>
      </c>
      <c r="H782" s="2">
        <f>_xlfn.XLOOKUP(Table1_1[[#This Row],[CAS_rn]],[1]analyte_order!$C:$C,[1]analyte_order!$E:$E)</f>
        <v>24</v>
      </c>
      <c r="I782">
        <v>0.39500000000000002</v>
      </c>
    </row>
    <row r="783" spans="1:9" x14ac:dyDescent="0.3">
      <c r="A783" s="2" t="s">
        <v>68</v>
      </c>
      <c r="B783" s="3">
        <v>44293.5</v>
      </c>
      <c r="C783" s="1" t="str">
        <f t="shared" si="12"/>
        <v>21098</v>
      </c>
      <c r="D783" t="s">
        <v>29</v>
      </c>
      <c r="E783" s="2" t="s">
        <v>27</v>
      </c>
      <c r="F783" s="2" t="str">
        <f>_xlfn.XLOOKUP(Table1_1[[#This Row],[CAS_rn]],[1]analyte_order!$C:$C,[1]analyte_order!$B:$B)</f>
        <v>FOSA</v>
      </c>
      <c r="G783" t="s">
        <v>130</v>
      </c>
      <c r="H783" s="2">
        <f>_xlfn.XLOOKUP(Table1_1[[#This Row],[CAS_rn]],[1]analyte_order!$C:$C,[1]analyte_order!$E:$E)</f>
        <v>28</v>
      </c>
      <c r="I783">
        <v>0.09</v>
      </c>
    </row>
    <row r="784" spans="1:9" x14ac:dyDescent="0.3">
      <c r="A784" s="2" t="s">
        <v>68</v>
      </c>
      <c r="B784" s="3">
        <v>44293.5</v>
      </c>
      <c r="C784" s="1" t="str">
        <f t="shared" si="12"/>
        <v>21098</v>
      </c>
      <c r="D784" t="s">
        <v>29</v>
      </c>
      <c r="E784" s="2" t="s">
        <v>27</v>
      </c>
      <c r="F784" s="2" t="str">
        <f>_xlfn.XLOOKUP(Table1_1[[#This Row],[CAS_rn]],[1]analyte_order!$C:$C,[1]analyte_order!$B:$B)</f>
        <v>N-MeFOSA</v>
      </c>
      <c r="G784" t="s">
        <v>131</v>
      </c>
      <c r="H784" s="2">
        <f>_xlfn.XLOOKUP(Table1_1[[#This Row],[CAS_rn]],[1]analyte_order!$C:$C,[1]analyte_order!$E:$E)</f>
        <v>30</v>
      </c>
      <c r="I784">
        <v>4.9500000000000002E-2</v>
      </c>
    </row>
    <row r="785" spans="1:9" x14ac:dyDescent="0.3">
      <c r="A785" s="2" t="s">
        <v>68</v>
      </c>
      <c r="B785" s="3">
        <v>44293.5</v>
      </c>
      <c r="C785" s="1" t="str">
        <f t="shared" si="12"/>
        <v>21098</v>
      </c>
      <c r="D785" t="s">
        <v>29</v>
      </c>
      <c r="E785" s="2" t="s">
        <v>27</v>
      </c>
      <c r="F785" s="2" t="str">
        <f>_xlfn.XLOOKUP(Table1_1[[#This Row],[CAS_rn]],[1]analyte_order!$C:$C,[1]analyte_order!$B:$B)</f>
        <v>N-MeFOSAA</v>
      </c>
      <c r="G785" t="s">
        <v>132</v>
      </c>
      <c r="H785" s="2">
        <f>_xlfn.XLOOKUP(Table1_1[[#This Row],[CAS_rn]],[1]analyte_order!$C:$C,[1]analyte_order!$E:$E)</f>
        <v>26</v>
      </c>
      <c r="I785">
        <v>4.9500000000000002E-2</v>
      </c>
    </row>
    <row r="786" spans="1:9" x14ac:dyDescent="0.3">
      <c r="A786" s="2" t="s">
        <v>68</v>
      </c>
      <c r="B786" s="3">
        <v>44293.5</v>
      </c>
      <c r="C786" s="1" t="str">
        <f t="shared" si="12"/>
        <v>21098</v>
      </c>
      <c r="D786" t="s">
        <v>29</v>
      </c>
      <c r="E786" s="2" t="s">
        <v>27</v>
      </c>
      <c r="F786" s="2" t="str">
        <f>_xlfn.XLOOKUP(Table1_1[[#This Row],[CAS_rn]],[1]analyte_order!$C:$C,[1]analyte_order!$B:$B)</f>
        <v>N-EtFOSA</v>
      </c>
      <c r="G786" t="s">
        <v>133</v>
      </c>
      <c r="H786" s="2">
        <f>_xlfn.XLOOKUP(Table1_1[[#This Row],[CAS_rn]],[1]analyte_order!$C:$C,[1]analyte_order!$E:$E)</f>
        <v>31</v>
      </c>
      <c r="I786">
        <v>4.9500000000000002E-2</v>
      </c>
    </row>
    <row r="787" spans="1:9" x14ac:dyDescent="0.3">
      <c r="A787" s="2" t="s">
        <v>68</v>
      </c>
      <c r="B787" s="3">
        <v>44293.5</v>
      </c>
      <c r="C787" s="1" t="str">
        <f t="shared" si="12"/>
        <v>21098</v>
      </c>
      <c r="D787" t="s">
        <v>29</v>
      </c>
      <c r="E787" s="2" t="s">
        <v>27</v>
      </c>
      <c r="F787" s="2" t="str">
        <f>_xlfn.XLOOKUP(Table1_1[[#This Row],[CAS_rn]],[1]analyte_order!$C:$C,[1]analyte_order!$B:$B)</f>
        <v>N-EtFOSAA</v>
      </c>
      <c r="G787" t="s">
        <v>134</v>
      </c>
      <c r="H787" s="2">
        <f>_xlfn.XLOOKUP(Table1_1[[#This Row],[CAS_rn]],[1]analyte_order!$C:$C,[1]analyte_order!$E:$E)</f>
        <v>27</v>
      </c>
      <c r="I787">
        <v>4.9500000000000002E-2</v>
      </c>
    </row>
    <row r="788" spans="1:9" x14ac:dyDescent="0.3">
      <c r="A788" s="2" t="s">
        <v>68</v>
      </c>
      <c r="B788" s="3">
        <v>44293.5</v>
      </c>
      <c r="C788" s="1" t="str">
        <f t="shared" si="12"/>
        <v>21098</v>
      </c>
      <c r="D788" t="s">
        <v>29</v>
      </c>
      <c r="E788" s="2" t="s">
        <v>27</v>
      </c>
      <c r="F788" s="2" t="str">
        <f>_xlfn.XLOOKUP(Table1_1[[#This Row],[CAS_rn]],[1]analyte_order!$C:$C,[1]analyte_order!$B:$B)</f>
        <v>N-MeFOSE</v>
      </c>
      <c r="G788" t="s">
        <v>135</v>
      </c>
      <c r="H788" s="2">
        <f>_xlfn.XLOOKUP(Table1_1[[#This Row],[CAS_rn]],[1]analyte_order!$C:$C,[1]analyte_order!$E:$E)</f>
        <v>32</v>
      </c>
      <c r="I788">
        <v>0.495</v>
      </c>
    </row>
    <row r="789" spans="1:9" x14ac:dyDescent="0.3">
      <c r="A789" s="2" t="s">
        <v>68</v>
      </c>
      <c r="B789" s="3">
        <v>44293.5</v>
      </c>
      <c r="C789" s="1" t="str">
        <f t="shared" si="12"/>
        <v>21098</v>
      </c>
      <c r="D789" t="s">
        <v>29</v>
      </c>
      <c r="E789" s="2" t="s">
        <v>27</v>
      </c>
      <c r="F789" s="2" t="str">
        <f>_xlfn.XLOOKUP(Table1_1[[#This Row],[CAS_rn]],[1]analyte_order!$C:$C,[1]analyte_order!$B:$B)</f>
        <v>N-EtFOSE</v>
      </c>
      <c r="G789" t="s">
        <v>136</v>
      </c>
      <c r="H789" s="2">
        <f>_xlfn.XLOOKUP(Table1_1[[#This Row],[CAS_rn]],[1]analyte_order!$C:$C,[1]analyte_order!$E:$E)</f>
        <v>33</v>
      </c>
      <c r="I789">
        <v>0.495</v>
      </c>
    </row>
    <row r="790" spans="1:9" x14ac:dyDescent="0.3">
      <c r="A790" s="2" t="s">
        <v>68</v>
      </c>
      <c r="B790" s="3">
        <v>44293.5</v>
      </c>
      <c r="C790" s="1" t="str">
        <f t="shared" si="12"/>
        <v>21098</v>
      </c>
      <c r="D790" t="s">
        <v>29</v>
      </c>
      <c r="E790" s="2" t="s">
        <v>27</v>
      </c>
      <c r="F790" s="2" t="str">
        <f>_xlfn.XLOOKUP(Table1_1[[#This Row],[CAS_rn]],[1]analyte_order!$C:$C,[1]analyte_order!$B:$B)</f>
        <v>HFPO-DA</v>
      </c>
      <c r="G790" t="s">
        <v>137</v>
      </c>
      <c r="H790" s="2">
        <f>_xlfn.XLOOKUP(Table1_1[[#This Row],[CAS_rn]],[1]analyte_order!$C:$C,[1]analyte_order!$E:$E)</f>
        <v>34</v>
      </c>
      <c r="I790">
        <v>0.3</v>
      </c>
    </row>
    <row r="791" spans="1:9" x14ac:dyDescent="0.3">
      <c r="A791" s="2" t="s">
        <v>68</v>
      </c>
      <c r="B791" s="3">
        <v>44293.5</v>
      </c>
      <c r="C791" s="1" t="str">
        <f t="shared" si="12"/>
        <v>21098</v>
      </c>
      <c r="D791" t="s">
        <v>29</v>
      </c>
      <c r="E791" s="2" t="s">
        <v>27</v>
      </c>
      <c r="F791" s="2" t="str">
        <f>_xlfn.XLOOKUP(Table1_1[[#This Row],[CAS_rn]],[1]analyte_order!$C:$C,[1]analyte_order!$B:$B)</f>
        <v>ADONA</v>
      </c>
      <c r="G791" t="s">
        <v>138</v>
      </c>
      <c r="H791" s="2">
        <f>_xlfn.XLOOKUP(Table1_1[[#This Row],[CAS_rn]],[1]analyte_order!$C:$C,[1]analyte_order!$E:$E)</f>
        <v>35</v>
      </c>
      <c r="I791">
        <v>0.2</v>
      </c>
    </row>
    <row r="792" spans="1:9" x14ac:dyDescent="0.3">
      <c r="A792" s="2" t="s">
        <v>68</v>
      </c>
      <c r="B792" s="3">
        <v>44293.5</v>
      </c>
      <c r="C792" s="1" t="str">
        <f t="shared" si="12"/>
        <v>21098</v>
      </c>
      <c r="D792" t="s">
        <v>29</v>
      </c>
      <c r="E792" s="2" t="s">
        <v>27</v>
      </c>
      <c r="F792" s="2" t="str">
        <f>_xlfn.XLOOKUP(Table1_1[[#This Row],[CAS_rn]],[1]analyte_order!$C:$C,[1]analyte_order!$B:$B)</f>
        <v>PFMBA</v>
      </c>
      <c r="G792" t="s">
        <v>139</v>
      </c>
      <c r="H792" s="2">
        <f>_xlfn.XLOOKUP(Table1_1[[#This Row],[CAS_rn]],[1]analyte_order!$C:$C,[1]analyte_order!$E:$E)</f>
        <v>48</v>
      </c>
      <c r="I792">
        <v>0.1</v>
      </c>
    </row>
    <row r="793" spans="1:9" x14ac:dyDescent="0.3">
      <c r="A793" s="2" t="s">
        <v>68</v>
      </c>
      <c r="B793" s="3">
        <v>44293.5</v>
      </c>
      <c r="C793" s="1" t="str">
        <f t="shared" si="12"/>
        <v>21098</v>
      </c>
      <c r="D793" t="s">
        <v>29</v>
      </c>
      <c r="E793" s="2" t="s">
        <v>27</v>
      </c>
      <c r="F793" s="2" t="str">
        <f>_xlfn.XLOOKUP(Table1_1[[#This Row],[CAS_rn]],[1]analyte_order!$C:$C,[1]analyte_order!$B:$B)</f>
        <v>NFDHA</v>
      </c>
      <c r="G793" t="s">
        <v>140</v>
      </c>
      <c r="H793" s="2">
        <f>_xlfn.XLOOKUP(Table1_1[[#This Row],[CAS_rn]],[1]analyte_order!$C:$C,[1]analyte_order!$E:$E)</f>
        <v>50</v>
      </c>
      <c r="I793">
        <v>0.1</v>
      </c>
    </row>
    <row r="794" spans="1:9" x14ac:dyDescent="0.3">
      <c r="A794" s="2" t="s">
        <v>68</v>
      </c>
      <c r="B794" s="3">
        <v>44293.5</v>
      </c>
      <c r="C794" s="1" t="str">
        <f t="shared" si="12"/>
        <v>21098</v>
      </c>
      <c r="D794" t="s">
        <v>29</v>
      </c>
      <c r="E794" s="2" t="s">
        <v>27</v>
      </c>
      <c r="F794" s="2" t="str">
        <f>_xlfn.XLOOKUP(Table1_1[[#This Row],[CAS_rn]],[1]analyte_order!$C:$C,[1]analyte_order!$B:$B)</f>
        <v>9Cl-PF3ONS</v>
      </c>
      <c r="G794" t="s">
        <v>141</v>
      </c>
      <c r="H794" s="2">
        <f>_xlfn.XLOOKUP(Table1_1[[#This Row],[CAS_rn]],[1]analyte_order!$C:$C,[1]analyte_order!$E:$E)</f>
        <v>36</v>
      </c>
      <c r="I794">
        <v>0.2</v>
      </c>
    </row>
    <row r="795" spans="1:9" x14ac:dyDescent="0.3">
      <c r="A795" s="2" t="s">
        <v>68</v>
      </c>
      <c r="B795" s="3">
        <v>44293.5</v>
      </c>
      <c r="C795" s="1" t="str">
        <f t="shared" si="12"/>
        <v>21098</v>
      </c>
      <c r="D795" t="s">
        <v>29</v>
      </c>
      <c r="E795" s="2" t="s">
        <v>27</v>
      </c>
      <c r="F795" s="2" t="str">
        <f>_xlfn.XLOOKUP(Table1_1[[#This Row],[CAS_rn]],[1]analyte_order!$C:$C,[1]analyte_order!$B:$B)</f>
        <v>11Cl-PF3OUdS</v>
      </c>
      <c r="G795" t="s">
        <v>142</v>
      </c>
      <c r="H795" s="2">
        <f>_xlfn.XLOOKUP(Table1_1[[#This Row],[CAS_rn]],[1]analyte_order!$C:$C,[1]analyte_order!$E:$E)</f>
        <v>37</v>
      </c>
      <c r="I795">
        <v>0.2</v>
      </c>
    </row>
    <row r="796" spans="1:9" x14ac:dyDescent="0.3">
      <c r="A796" s="2" t="s">
        <v>68</v>
      </c>
      <c r="B796" s="3">
        <v>44293.5</v>
      </c>
      <c r="C796" s="1" t="str">
        <f t="shared" si="12"/>
        <v>21098</v>
      </c>
      <c r="D796" t="s">
        <v>29</v>
      </c>
      <c r="E796" s="2" t="s">
        <v>27</v>
      </c>
      <c r="F796" s="2" t="str">
        <f>_xlfn.XLOOKUP(Table1_1[[#This Row],[CAS_rn]],[1]analyte_order!$C:$C,[1]analyte_order!$B:$B)</f>
        <v>PFEESA</v>
      </c>
      <c r="G796" t="s">
        <v>143</v>
      </c>
      <c r="H796" s="2">
        <f>_xlfn.XLOOKUP(Table1_1[[#This Row],[CAS_rn]],[1]analyte_order!$C:$C,[1]analyte_order!$E:$E)</f>
        <v>47</v>
      </c>
      <c r="I796">
        <v>0.1</v>
      </c>
    </row>
    <row r="797" spans="1:9" x14ac:dyDescent="0.3">
      <c r="A797" s="2" t="s">
        <v>68</v>
      </c>
      <c r="B797" s="3">
        <v>44293.5</v>
      </c>
      <c r="C797" s="1" t="str">
        <f t="shared" si="12"/>
        <v>21098</v>
      </c>
      <c r="D797" t="s">
        <v>29</v>
      </c>
      <c r="E797" s="2" t="s">
        <v>27</v>
      </c>
      <c r="F797" s="2" t="str">
        <f>_xlfn.XLOOKUP(Table1_1[[#This Row],[CAS_rn]],[1]analyte_order!$C:$C,[1]analyte_order!$B:$B)</f>
        <v>3:3 FTCA</v>
      </c>
      <c r="G797" t="s">
        <v>144</v>
      </c>
      <c r="H797" s="2">
        <f>_xlfn.XLOOKUP(Table1_1[[#This Row],[CAS_rn]],[1]analyte_order!$C:$C,[1]analyte_order!$E:$E)</f>
        <v>38</v>
      </c>
      <c r="I797">
        <v>0.25</v>
      </c>
    </row>
    <row r="798" spans="1:9" x14ac:dyDescent="0.3">
      <c r="A798" s="2" t="s">
        <v>68</v>
      </c>
      <c r="B798" s="3">
        <v>44293.5</v>
      </c>
      <c r="C798" s="1" t="str">
        <f t="shared" si="12"/>
        <v>21098</v>
      </c>
      <c r="D798" t="s">
        <v>29</v>
      </c>
      <c r="E798" s="2" t="s">
        <v>27</v>
      </c>
      <c r="F798" s="2" t="str">
        <f>_xlfn.XLOOKUP(Table1_1[[#This Row],[CAS_rn]],[1]analyte_order!$C:$C,[1]analyte_order!$B:$B)</f>
        <v>5:3 FTCA</v>
      </c>
      <c r="G798" t="s">
        <v>145</v>
      </c>
      <c r="H798" s="2">
        <f>_xlfn.XLOOKUP(Table1_1[[#This Row],[CAS_rn]],[1]analyte_order!$C:$C,[1]analyte_order!$E:$E)</f>
        <v>39</v>
      </c>
      <c r="I798">
        <v>1.25</v>
      </c>
    </row>
    <row r="799" spans="1:9" x14ac:dyDescent="0.3">
      <c r="A799" s="2" t="s">
        <v>68</v>
      </c>
      <c r="B799" s="3">
        <v>44293.5</v>
      </c>
      <c r="C799" s="1" t="str">
        <f t="shared" si="12"/>
        <v>21098</v>
      </c>
      <c r="D799" t="s">
        <v>29</v>
      </c>
      <c r="E799" s="2" t="s">
        <v>27</v>
      </c>
      <c r="F799" s="2" t="str">
        <f>_xlfn.XLOOKUP(Table1_1[[#This Row],[CAS_rn]],[1]analyte_order!$C:$C,[1]analyte_order!$B:$B)</f>
        <v>7:3 FTCA</v>
      </c>
      <c r="G799" t="s">
        <v>146</v>
      </c>
      <c r="H799" s="2">
        <f>_xlfn.XLOOKUP(Table1_1[[#This Row],[CAS_rn]],[1]analyte_order!$C:$C,[1]analyte_order!$E:$E)</f>
        <v>40</v>
      </c>
      <c r="I799">
        <v>1.25</v>
      </c>
    </row>
    <row r="800" spans="1:9" x14ac:dyDescent="0.3">
      <c r="A800" s="2" t="s">
        <v>68</v>
      </c>
      <c r="B800" s="3">
        <v>44293.5</v>
      </c>
      <c r="C800" s="1" t="str">
        <f t="shared" si="12"/>
        <v>21098</v>
      </c>
      <c r="D800" t="s">
        <v>29</v>
      </c>
      <c r="E800" s="2" t="s">
        <v>27</v>
      </c>
      <c r="F800" s="2" t="str">
        <f>_xlfn.XLOOKUP(Table1_1[[#This Row],[CAS_rn]],[1]analyte_order!$C:$C,[1]analyte_order!$B:$B)</f>
        <v>PFDS</v>
      </c>
      <c r="G800" t="s">
        <v>147</v>
      </c>
      <c r="H800" s="2">
        <f>_xlfn.XLOOKUP(Table1_1[[#This Row],[CAS_rn]],[1]analyte_order!$C:$C,[1]analyte_order!$E:$E)</f>
        <v>20</v>
      </c>
      <c r="I800">
        <v>4.9500000000000002E-2</v>
      </c>
    </row>
    <row r="801" spans="1:9" x14ac:dyDescent="0.3">
      <c r="A801" s="2" t="s">
        <v>68</v>
      </c>
      <c r="B801" s="3">
        <v>44293.5</v>
      </c>
      <c r="C801" s="1" t="str">
        <f t="shared" si="12"/>
        <v>21098</v>
      </c>
      <c r="D801" t="s">
        <v>29</v>
      </c>
      <c r="E801" s="2" t="s">
        <v>27</v>
      </c>
      <c r="F801" s="2" t="str">
        <f>_xlfn.XLOOKUP(Table1_1[[#This Row],[CAS_rn]],[1]analyte_order!$C:$C,[1]analyte_order!$B:$B)</f>
        <v>PFMPA</v>
      </c>
      <c r="G801" t="s">
        <v>148</v>
      </c>
      <c r="H801" s="2">
        <f>_xlfn.XLOOKUP(Table1_1[[#This Row],[CAS_rn]],[1]analyte_order!$C:$C,[1]analyte_order!$E:$E)</f>
        <v>49</v>
      </c>
      <c r="I801">
        <v>0.1</v>
      </c>
    </row>
    <row r="802" spans="1:9" x14ac:dyDescent="0.3">
      <c r="A802" s="2" t="s">
        <v>69</v>
      </c>
      <c r="B802" s="3">
        <v>44299.5</v>
      </c>
      <c r="C802" s="1" t="str">
        <f t="shared" si="12"/>
        <v>21104</v>
      </c>
      <c r="D802" t="s">
        <v>26</v>
      </c>
      <c r="E802" s="2" t="s">
        <v>27</v>
      </c>
      <c r="F802" s="2" t="str">
        <f>_xlfn.XLOOKUP(Table1_1[[#This Row],[CAS_rn]],[1]analyte_order!$C:$C,[1]analyte_order!$B:$B)</f>
        <v>PFBA</v>
      </c>
      <c r="G802" t="s">
        <v>109</v>
      </c>
      <c r="H802" s="2">
        <f>_xlfn.XLOOKUP(Table1_1[[#This Row],[CAS_rn]],[1]analyte_order!$C:$C,[1]analyte_order!$E:$E)</f>
        <v>1</v>
      </c>
      <c r="I802">
        <v>0.2</v>
      </c>
    </row>
    <row r="803" spans="1:9" x14ac:dyDescent="0.3">
      <c r="A803" s="2" t="s">
        <v>69</v>
      </c>
      <c r="B803" s="3">
        <v>44299.5</v>
      </c>
      <c r="C803" s="1" t="str">
        <f t="shared" si="12"/>
        <v>21104</v>
      </c>
      <c r="D803" t="s">
        <v>26</v>
      </c>
      <c r="E803" s="2" t="s">
        <v>27</v>
      </c>
      <c r="F803" s="2" t="str">
        <f>_xlfn.XLOOKUP(Table1_1[[#This Row],[CAS_rn]],[1]analyte_order!$C:$C,[1]analyte_order!$B:$B)</f>
        <v>PFPeA</v>
      </c>
      <c r="G803" t="s">
        <v>110</v>
      </c>
      <c r="H803" s="2">
        <f>_xlfn.XLOOKUP(Table1_1[[#This Row],[CAS_rn]],[1]analyte_order!$C:$C,[1]analyte_order!$E:$E)</f>
        <v>2</v>
      </c>
      <c r="I803">
        <v>0.1</v>
      </c>
    </row>
    <row r="804" spans="1:9" x14ac:dyDescent="0.3">
      <c r="A804" s="2" t="s">
        <v>69</v>
      </c>
      <c r="B804" s="3">
        <v>44299.5</v>
      </c>
      <c r="C804" s="1" t="str">
        <f t="shared" si="12"/>
        <v>21104</v>
      </c>
      <c r="D804" t="s">
        <v>26</v>
      </c>
      <c r="E804" s="2" t="s">
        <v>27</v>
      </c>
      <c r="F804" s="2" t="str">
        <f>_xlfn.XLOOKUP(Table1_1[[#This Row],[CAS_rn]],[1]analyte_order!$C:$C,[1]analyte_order!$B:$B)</f>
        <v>PFHxA</v>
      </c>
      <c r="G804" t="s">
        <v>111</v>
      </c>
      <c r="H804" s="2">
        <f>_xlfn.XLOOKUP(Table1_1[[#This Row],[CAS_rn]],[1]analyte_order!$C:$C,[1]analyte_order!$E:$E)</f>
        <v>3</v>
      </c>
      <c r="I804">
        <v>0.19</v>
      </c>
    </row>
    <row r="805" spans="1:9" x14ac:dyDescent="0.3">
      <c r="A805" s="2" t="s">
        <v>69</v>
      </c>
      <c r="B805" s="3">
        <v>44299.5</v>
      </c>
      <c r="C805" s="1" t="str">
        <f t="shared" si="12"/>
        <v>21104</v>
      </c>
      <c r="D805" t="s">
        <v>26</v>
      </c>
      <c r="E805" s="2" t="s">
        <v>27</v>
      </c>
      <c r="F805" s="2" t="str">
        <f>_xlfn.XLOOKUP(Table1_1[[#This Row],[CAS_rn]],[1]analyte_order!$C:$C,[1]analyte_order!$B:$B)</f>
        <v>PFHpA</v>
      </c>
      <c r="G805" t="s">
        <v>112</v>
      </c>
      <c r="H805" s="2">
        <f>_xlfn.XLOOKUP(Table1_1[[#This Row],[CAS_rn]],[1]analyte_order!$C:$C,[1]analyte_order!$E:$E)</f>
        <v>4</v>
      </c>
      <c r="I805">
        <v>0.09</v>
      </c>
    </row>
    <row r="806" spans="1:9" x14ac:dyDescent="0.3">
      <c r="A806" s="2" t="s">
        <v>69</v>
      </c>
      <c r="B806" s="3">
        <v>44299.5</v>
      </c>
      <c r="C806" s="1" t="str">
        <f t="shared" si="12"/>
        <v>21104</v>
      </c>
      <c r="D806" t="s">
        <v>26</v>
      </c>
      <c r="E806" s="2" t="s">
        <v>27</v>
      </c>
      <c r="F806" s="2" t="str">
        <f>_xlfn.XLOOKUP(Table1_1[[#This Row],[CAS_rn]],[1]analyte_order!$C:$C,[1]analyte_order!$B:$B)</f>
        <v>PFOA</v>
      </c>
      <c r="G806" t="s">
        <v>113</v>
      </c>
      <c r="H806" s="2">
        <f>_xlfn.XLOOKUP(Table1_1[[#This Row],[CAS_rn]],[1]analyte_order!$C:$C,[1]analyte_order!$E:$E)</f>
        <v>5</v>
      </c>
      <c r="I806">
        <v>0.37</v>
      </c>
    </row>
    <row r="807" spans="1:9" x14ac:dyDescent="0.3">
      <c r="A807" s="2" t="s">
        <v>69</v>
      </c>
      <c r="B807" s="3">
        <v>44299.5</v>
      </c>
      <c r="C807" s="1" t="str">
        <f t="shared" si="12"/>
        <v>21104</v>
      </c>
      <c r="D807" t="s">
        <v>26</v>
      </c>
      <c r="E807" s="2" t="s">
        <v>27</v>
      </c>
      <c r="F807" s="2" t="str">
        <f>_xlfn.XLOOKUP(Table1_1[[#This Row],[CAS_rn]],[1]analyte_order!$C:$C,[1]analyte_order!$B:$B)</f>
        <v>PFNA</v>
      </c>
      <c r="G807" t="s">
        <v>114</v>
      </c>
      <c r="H807" s="2">
        <f>_xlfn.XLOOKUP(Table1_1[[#This Row],[CAS_rn]],[1]analyte_order!$C:$C,[1]analyte_order!$E:$E)</f>
        <v>6</v>
      </c>
      <c r="I807">
        <v>4.9500000000000002E-2</v>
      </c>
    </row>
    <row r="808" spans="1:9" x14ac:dyDescent="0.3">
      <c r="A808" s="2" t="s">
        <v>69</v>
      </c>
      <c r="B808" s="3">
        <v>44299.5</v>
      </c>
      <c r="C808" s="1" t="str">
        <f t="shared" si="12"/>
        <v>21104</v>
      </c>
      <c r="D808" t="s">
        <v>26</v>
      </c>
      <c r="E808" s="2" t="s">
        <v>27</v>
      </c>
      <c r="F808" s="2" t="str">
        <f>_xlfn.XLOOKUP(Table1_1[[#This Row],[CAS_rn]],[1]analyte_order!$C:$C,[1]analyte_order!$B:$B)</f>
        <v>PFDA</v>
      </c>
      <c r="G808" t="s">
        <v>115</v>
      </c>
      <c r="H808" s="2">
        <f>_xlfn.XLOOKUP(Table1_1[[#This Row],[CAS_rn]],[1]analyte_order!$C:$C,[1]analyte_order!$E:$E)</f>
        <v>7</v>
      </c>
      <c r="I808">
        <v>4.9500000000000002E-2</v>
      </c>
    </row>
    <row r="809" spans="1:9" x14ac:dyDescent="0.3">
      <c r="A809" s="2" t="s">
        <v>69</v>
      </c>
      <c r="B809" s="3">
        <v>44299.5</v>
      </c>
      <c r="C809" s="1" t="str">
        <f t="shared" si="12"/>
        <v>21104</v>
      </c>
      <c r="D809" t="s">
        <v>26</v>
      </c>
      <c r="E809" s="2" t="s">
        <v>27</v>
      </c>
      <c r="F809" s="2" t="str">
        <f>_xlfn.XLOOKUP(Table1_1[[#This Row],[CAS_rn]],[1]analyte_order!$C:$C,[1]analyte_order!$B:$B)</f>
        <v>PFUnA</v>
      </c>
      <c r="G809" t="s">
        <v>116</v>
      </c>
      <c r="H809" s="2">
        <f>_xlfn.XLOOKUP(Table1_1[[#This Row],[CAS_rn]],[1]analyte_order!$C:$C,[1]analyte_order!$E:$E)</f>
        <v>8</v>
      </c>
      <c r="I809">
        <v>4.9500000000000002E-2</v>
      </c>
    </row>
    <row r="810" spans="1:9" x14ac:dyDescent="0.3">
      <c r="A810" s="2" t="s">
        <v>69</v>
      </c>
      <c r="B810" s="3">
        <v>44299.5</v>
      </c>
      <c r="C810" s="1" t="str">
        <f t="shared" si="12"/>
        <v>21104</v>
      </c>
      <c r="D810" t="s">
        <v>26</v>
      </c>
      <c r="E810" s="2" t="s">
        <v>27</v>
      </c>
      <c r="F810" s="2" t="str">
        <f>_xlfn.XLOOKUP(Table1_1[[#This Row],[CAS_rn]],[1]analyte_order!$C:$C,[1]analyte_order!$B:$B)</f>
        <v>PFDoA</v>
      </c>
      <c r="G810" t="s">
        <v>117</v>
      </c>
      <c r="H810" s="2">
        <f>_xlfn.XLOOKUP(Table1_1[[#This Row],[CAS_rn]],[1]analyte_order!$C:$C,[1]analyte_order!$E:$E)</f>
        <v>9</v>
      </c>
      <c r="I810">
        <v>4.9500000000000002E-2</v>
      </c>
    </row>
    <row r="811" spans="1:9" x14ac:dyDescent="0.3">
      <c r="A811" s="2" t="s">
        <v>69</v>
      </c>
      <c r="B811" s="3">
        <v>44299.5</v>
      </c>
      <c r="C811" s="1" t="str">
        <f t="shared" si="12"/>
        <v>21104</v>
      </c>
      <c r="D811" t="s">
        <v>26</v>
      </c>
      <c r="E811" s="2" t="s">
        <v>27</v>
      </c>
      <c r="F811" s="2" t="str">
        <f>_xlfn.XLOOKUP(Table1_1[[#This Row],[CAS_rn]],[1]analyte_order!$C:$C,[1]analyte_order!$B:$B)</f>
        <v>PFTrDA</v>
      </c>
      <c r="G811" t="s">
        <v>118</v>
      </c>
      <c r="H811" s="2">
        <f>_xlfn.XLOOKUP(Table1_1[[#This Row],[CAS_rn]],[1]analyte_order!$C:$C,[1]analyte_order!$E:$E)</f>
        <v>10</v>
      </c>
      <c r="I811">
        <v>4.9500000000000002E-2</v>
      </c>
    </row>
    <row r="812" spans="1:9" x14ac:dyDescent="0.3">
      <c r="A812" s="2" t="s">
        <v>69</v>
      </c>
      <c r="B812" s="3">
        <v>44299.5</v>
      </c>
      <c r="C812" s="1" t="str">
        <f t="shared" si="12"/>
        <v>21104</v>
      </c>
      <c r="D812" t="s">
        <v>26</v>
      </c>
      <c r="E812" s="2" t="s">
        <v>27</v>
      </c>
      <c r="F812" s="2" t="str">
        <f>_xlfn.XLOOKUP(Table1_1[[#This Row],[CAS_rn]],[1]analyte_order!$C:$C,[1]analyte_order!$B:$B)</f>
        <v>PFTeDA</v>
      </c>
      <c r="G812" t="s">
        <v>119</v>
      </c>
      <c r="H812" s="2">
        <f>_xlfn.XLOOKUP(Table1_1[[#This Row],[CAS_rn]],[1]analyte_order!$C:$C,[1]analyte_order!$E:$E)</f>
        <v>11</v>
      </c>
      <c r="I812">
        <v>4.9500000000000002E-2</v>
      </c>
    </row>
    <row r="813" spans="1:9" x14ac:dyDescent="0.3">
      <c r="A813" s="2" t="s">
        <v>69</v>
      </c>
      <c r="B813" s="3">
        <v>44299.5</v>
      </c>
      <c r="C813" s="1" t="str">
        <f t="shared" si="12"/>
        <v>21104</v>
      </c>
      <c r="D813" t="s">
        <v>26</v>
      </c>
      <c r="E813" s="2" t="s">
        <v>27</v>
      </c>
      <c r="F813" s="2" t="str">
        <f>_xlfn.XLOOKUP(Table1_1[[#This Row],[CAS_rn]],[1]analyte_order!$C:$C,[1]analyte_order!$B:$B)</f>
        <v>PFBS</v>
      </c>
      <c r="G813" t="s">
        <v>120</v>
      </c>
      <c r="H813" s="2">
        <f>_xlfn.XLOOKUP(Table1_1[[#This Row],[CAS_rn]],[1]analyte_order!$C:$C,[1]analyte_order!$E:$E)</f>
        <v>14</v>
      </c>
      <c r="I813">
        <v>4.9500000000000002E-2</v>
      </c>
    </row>
    <row r="814" spans="1:9" x14ac:dyDescent="0.3">
      <c r="A814" s="2" t="s">
        <v>69</v>
      </c>
      <c r="B814" s="3">
        <v>44299.5</v>
      </c>
      <c r="C814" s="1" t="str">
        <f t="shared" si="12"/>
        <v>21104</v>
      </c>
      <c r="D814" t="s">
        <v>26</v>
      </c>
      <c r="E814" s="2" t="s">
        <v>27</v>
      </c>
      <c r="F814" s="2" t="str">
        <f>_xlfn.XLOOKUP(Table1_1[[#This Row],[CAS_rn]],[1]analyte_order!$C:$C,[1]analyte_order!$B:$B)</f>
        <v>PFPeS</v>
      </c>
      <c r="G814" t="s">
        <v>121</v>
      </c>
      <c r="H814" s="2">
        <f>_xlfn.XLOOKUP(Table1_1[[#This Row],[CAS_rn]],[1]analyte_order!$C:$C,[1]analyte_order!$E:$E)</f>
        <v>15</v>
      </c>
      <c r="I814">
        <v>4.9500000000000002E-2</v>
      </c>
    </row>
    <row r="815" spans="1:9" x14ac:dyDescent="0.3">
      <c r="A815" s="2" t="s">
        <v>69</v>
      </c>
      <c r="B815" s="3">
        <v>44299.5</v>
      </c>
      <c r="C815" s="1" t="str">
        <f t="shared" si="12"/>
        <v>21104</v>
      </c>
      <c r="D815" t="s">
        <v>26</v>
      </c>
      <c r="E815" s="2" t="s">
        <v>27</v>
      </c>
      <c r="F815" s="2" t="str">
        <f>_xlfn.XLOOKUP(Table1_1[[#This Row],[CAS_rn]],[1]analyte_order!$C:$C,[1]analyte_order!$B:$B)</f>
        <v>PFHxS</v>
      </c>
      <c r="G815" t="s">
        <v>122</v>
      </c>
      <c r="H815" s="2">
        <f>_xlfn.XLOOKUP(Table1_1[[#This Row],[CAS_rn]],[1]analyte_order!$C:$C,[1]analyte_order!$E:$E)</f>
        <v>16</v>
      </c>
      <c r="I815">
        <v>0.5</v>
      </c>
    </row>
    <row r="816" spans="1:9" x14ac:dyDescent="0.3">
      <c r="A816" s="2" t="s">
        <v>69</v>
      </c>
      <c r="B816" s="3">
        <v>44299.5</v>
      </c>
      <c r="C816" s="1" t="str">
        <f t="shared" si="12"/>
        <v>21104</v>
      </c>
      <c r="D816" t="s">
        <v>26</v>
      </c>
      <c r="E816" s="2" t="s">
        <v>27</v>
      </c>
      <c r="F816" s="2" t="str">
        <f>_xlfn.XLOOKUP(Table1_1[[#This Row],[CAS_rn]],[1]analyte_order!$C:$C,[1]analyte_order!$B:$B)</f>
        <v>PFHpS</v>
      </c>
      <c r="G816" t="s">
        <v>123</v>
      </c>
      <c r="H816" s="2">
        <f>_xlfn.XLOOKUP(Table1_1[[#This Row],[CAS_rn]],[1]analyte_order!$C:$C,[1]analyte_order!$E:$E)</f>
        <v>17</v>
      </c>
      <c r="I816">
        <v>4.9500000000000002E-2</v>
      </c>
    </row>
    <row r="817" spans="1:9" x14ac:dyDescent="0.3">
      <c r="A817" s="2" t="s">
        <v>69</v>
      </c>
      <c r="B817" s="3">
        <v>44299.5</v>
      </c>
      <c r="C817" s="1" t="str">
        <f t="shared" si="12"/>
        <v>21104</v>
      </c>
      <c r="D817" t="s">
        <v>26</v>
      </c>
      <c r="E817" s="2" t="s">
        <v>27</v>
      </c>
      <c r="F817" s="2" t="str">
        <f>_xlfn.XLOOKUP(Table1_1[[#This Row],[CAS_rn]],[1]analyte_order!$C:$C,[1]analyte_order!$B:$B)</f>
        <v>PFOS</v>
      </c>
      <c r="G817" t="s">
        <v>124</v>
      </c>
      <c r="H817" s="2">
        <f>_xlfn.XLOOKUP(Table1_1[[#This Row],[CAS_rn]],[1]analyte_order!$C:$C,[1]analyte_order!$E:$E)</f>
        <v>18</v>
      </c>
      <c r="I817">
        <v>1.1000000000000001</v>
      </c>
    </row>
    <row r="818" spans="1:9" x14ac:dyDescent="0.3">
      <c r="A818" s="2" t="s">
        <v>69</v>
      </c>
      <c r="B818" s="3">
        <v>44299.5</v>
      </c>
      <c r="C818" s="1" t="str">
        <f t="shared" si="12"/>
        <v>21104</v>
      </c>
      <c r="D818" t="s">
        <v>26</v>
      </c>
      <c r="E818" s="2" t="s">
        <v>27</v>
      </c>
      <c r="F818" s="2" t="str">
        <f>_xlfn.XLOOKUP(Table1_1[[#This Row],[CAS_rn]],[1]analyte_order!$C:$C,[1]analyte_order!$B:$B)</f>
        <v>PFNS</v>
      </c>
      <c r="G818" t="s">
        <v>125</v>
      </c>
      <c r="H818" s="2">
        <f>_xlfn.XLOOKUP(Table1_1[[#This Row],[CAS_rn]],[1]analyte_order!$C:$C,[1]analyte_order!$E:$E)</f>
        <v>19</v>
      </c>
      <c r="I818">
        <v>4.9500000000000002E-2</v>
      </c>
    </row>
    <row r="819" spans="1:9" x14ac:dyDescent="0.3">
      <c r="A819" s="2" t="s">
        <v>69</v>
      </c>
      <c r="B819" s="3">
        <v>44299.5</v>
      </c>
      <c r="C819" s="1" t="str">
        <f t="shared" si="12"/>
        <v>21104</v>
      </c>
      <c r="D819" t="s">
        <v>26</v>
      </c>
      <c r="E819" s="2" t="s">
        <v>27</v>
      </c>
      <c r="F819" s="2" t="str">
        <f>_xlfn.XLOOKUP(Table1_1[[#This Row],[CAS_rn]],[1]analyte_order!$C:$C,[1]analyte_order!$B:$B)</f>
        <v>PFDoS</v>
      </c>
      <c r="G819" t="s">
        <v>126</v>
      </c>
      <c r="H819" s="2">
        <f>_xlfn.XLOOKUP(Table1_1[[#This Row],[CAS_rn]],[1]analyte_order!$C:$C,[1]analyte_order!$E:$E)</f>
        <v>21</v>
      </c>
      <c r="I819">
        <v>4.9500000000000002E-2</v>
      </c>
    </row>
    <row r="820" spans="1:9" x14ac:dyDescent="0.3">
      <c r="A820" s="2" t="s">
        <v>69</v>
      </c>
      <c r="B820" s="3">
        <v>44299.5</v>
      </c>
      <c r="C820" s="1" t="str">
        <f t="shared" si="12"/>
        <v>21104</v>
      </c>
      <c r="D820" t="s">
        <v>26</v>
      </c>
      <c r="E820" s="2" t="s">
        <v>27</v>
      </c>
      <c r="F820" s="2" t="str">
        <f>_xlfn.XLOOKUP(Table1_1[[#This Row],[CAS_rn]],[1]analyte_order!$C:$C,[1]analyte_order!$B:$B)</f>
        <v>4:2 FTS</v>
      </c>
      <c r="G820" t="s">
        <v>127</v>
      </c>
      <c r="H820" s="2">
        <f>_xlfn.XLOOKUP(Table1_1[[#This Row],[CAS_rn]],[1]analyte_order!$C:$C,[1]analyte_order!$E:$E)</f>
        <v>22</v>
      </c>
      <c r="I820">
        <v>0.2</v>
      </c>
    </row>
    <row r="821" spans="1:9" x14ac:dyDescent="0.3">
      <c r="A821" s="2" t="s">
        <v>69</v>
      </c>
      <c r="B821" s="3">
        <v>44299.5</v>
      </c>
      <c r="C821" s="1" t="str">
        <f t="shared" si="12"/>
        <v>21104</v>
      </c>
      <c r="D821" t="s">
        <v>26</v>
      </c>
      <c r="E821" s="2" t="s">
        <v>27</v>
      </c>
      <c r="F821" s="2" t="str">
        <f>_xlfn.XLOOKUP(Table1_1[[#This Row],[CAS_rn]],[1]analyte_order!$C:$C,[1]analyte_order!$B:$B)</f>
        <v>6:2 FTS</v>
      </c>
      <c r="G821" t="s">
        <v>128</v>
      </c>
      <c r="H821" s="2">
        <f>_xlfn.XLOOKUP(Table1_1[[#This Row],[CAS_rn]],[1]analyte_order!$C:$C,[1]analyte_order!$E:$E)</f>
        <v>23</v>
      </c>
      <c r="I821">
        <v>0.4</v>
      </c>
    </row>
    <row r="822" spans="1:9" x14ac:dyDescent="0.3">
      <c r="A822" s="2" t="s">
        <v>69</v>
      </c>
      <c r="B822" s="3">
        <v>44299.5</v>
      </c>
      <c r="C822" s="1" t="str">
        <f t="shared" si="12"/>
        <v>21104</v>
      </c>
      <c r="D822" t="s">
        <v>26</v>
      </c>
      <c r="E822" s="2" t="s">
        <v>27</v>
      </c>
      <c r="F822" s="2" t="str">
        <f>_xlfn.XLOOKUP(Table1_1[[#This Row],[CAS_rn]],[1]analyte_order!$C:$C,[1]analyte_order!$B:$B)</f>
        <v>8:2 FTS</v>
      </c>
      <c r="G822" t="s">
        <v>129</v>
      </c>
      <c r="H822" s="2">
        <f>_xlfn.XLOOKUP(Table1_1[[#This Row],[CAS_rn]],[1]analyte_order!$C:$C,[1]analyte_order!$E:$E)</f>
        <v>24</v>
      </c>
      <c r="I822">
        <v>0.4</v>
      </c>
    </row>
    <row r="823" spans="1:9" x14ac:dyDescent="0.3">
      <c r="A823" s="2" t="s">
        <v>69</v>
      </c>
      <c r="B823" s="3">
        <v>44299.5</v>
      </c>
      <c r="C823" s="1" t="str">
        <f t="shared" si="12"/>
        <v>21104</v>
      </c>
      <c r="D823" t="s">
        <v>26</v>
      </c>
      <c r="E823" s="2" t="s">
        <v>27</v>
      </c>
      <c r="F823" s="2" t="str">
        <f>_xlfn.XLOOKUP(Table1_1[[#This Row],[CAS_rn]],[1]analyte_order!$C:$C,[1]analyte_order!$B:$B)</f>
        <v>FOSA</v>
      </c>
      <c r="G823" t="s">
        <v>130</v>
      </c>
      <c r="H823" s="2">
        <f>_xlfn.XLOOKUP(Table1_1[[#This Row],[CAS_rn]],[1]analyte_order!$C:$C,[1]analyte_order!$E:$E)</f>
        <v>28</v>
      </c>
      <c r="I823">
        <v>0.09</v>
      </c>
    </row>
    <row r="824" spans="1:9" x14ac:dyDescent="0.3">
      <c r="A824" s="2" t="s">
        <v>69</v>
      </c>
      <c r="B824" s="3">
        <v>44299.5</v>
      </c>
      <c r="C824" s="1" t="str">
        <f t="shared" si="12"/>
        <v>21104</v>
      </c>
      <c r="D824" t="s">
        <v>26</v>
      </c>
      <c r="E824" s="2" t="s">
        <v>27</v>
      </c>
      <c r="F824" s="2" t="str">
        <f>_xlfn.XLOOKUP(Table1_1[[#This Row],[CAS_rn]],[1]analyte_order!$C:$C,[1]analyte_order!$B:$B)</f>
        <v>N-MeFOSA</v>
      </c>
      <c r="G824" t="s">
        <v>131</v>
      </c>
      <c r="H824" s="2">
        <f>_xlfn.XLOOKUP(Table1_1[[#This Row],[CAS_rn]],[1]analyte_order!$C:$C,[1]analyte_order!$E:$E)</f>
        <v>30</v>
      </c>
      <c r="I824">
        <v>4.9500000000000002E-2</v>
      </c>
    </row>
    <row r="825" spans="1:9" x14ac:dyDescent="0.3">
      <c r="A825" s="2" t="s">
        <v>69</v>
      </c>
      <c r="B825" s="3">
        <v>44299.5</v>
      </c>
      <c r="C825" s="1" t="str">
        <f t="shared" si="12"/>
        <v>21104</v>
      </c>
      <c r="D825" t="s">
        <v>26</v>
      </c>
      <c r="E825" s="2" t="s">
        <v>27</v>
      </c>
      <c r="F825" s="2" t="str">
        <f>_xlfn.XLOOKUP(Table1_1[[#This Row],[CAS_rn]],[1]analyte_order!$C:$C,[1]analyte_order!$B:$B)</f>
        <v>N-MeFOSAA</v>
      </c>
      <c r="G825" t="s">
        <v>132</v>
      </c>
      <c r="H825" s="2">
        <f>_xlfn.XLOOKUP(Table1_1[[#This Row],[CAS_rn]],[1]analyte_order!$C:$C,[1]analyte_order!$E:$E)</f>
        <v>26</v>
      </c>
      <c r="I825">
        <v>4.9500000000000002E-2</v>
      </c>
    </row>
    <row r="826" spans="1:9" x14ac:dyDescent="0.3">
      <c r="A826" s="2" t="s">
        <v>69</v>
      </c>
      <c r="B826" s="3">
        <v>44299.5</v>
      </c>
      <c r="C826" s="1" t="str">
        <f t="shared" si="12"/>
        <v>21104</v>
      </c>
      <c r="D826" t="s">
        <v>26</v>
      </c>
      <c r="E826" s="2" t="s">
        <v>27</v>
      </c>
      <c r="F826" s="2" t="str">
        <f>_xlfn.XLOOKUP(Table1_1[[#This Row],[CAS_rn]],[1]analyte_order!$C:$C,[1]analyte_order!$B:$B)</f>
        <v>N-EtFOSA</v>
      </c>
      <c r="G826" t="s">
        <v>133</v>
      </c>
      <c r="H826" s="2">
        <f>_xlfn.XLOOKUP(Table1_1[[#This Row],[CAS_rn]],[1]analyte_order!$C:$C,[1]analyte_order!$E:$E)</f>
        <v>31</v>
      </c>
      <c r="I826">
        <v>4.9500000000000002E-2</v>
      </c>
    </row>
    <row r="827" spans="1:9" x14ac:dyDescent="0.3">
      <c r="A827" s="2" t="s">
        <v>69</v>
      </c>
      <c r="B827" s="3">
        <v>44299.5</v>
      </c>
      <c r="C827" s="1" t="str">
        <f t="shared" si="12"/>
        <v>21104</v>
      </c>
      <c r="D827" t="s">
        <v>26</v>
      </c>
      <c r="E827" s="2" t="s">
        <v>27</v>
      </c>
      <c r="F827" s="2" t="str">
        <f>_xlfn.XLOOKUP(Table1_1[[#This Row],[CAS_rn]],[1]analyte_order!$C:$C,[1]analyte_order!$B:$B)</f>
        <v>N-EtFOSAA</v>
      </c>
      <c r="G827" t="s">
        <v>134</v>
      </c>
      <c r="H827" s="2">
        <f>_xlfn.XLOOKUP(Table1_1[[#This Row],[CAS_rn]],[1]analyte_order!$C:$C,[1]analyte_order!$E:$E)</f>
        <v>27</v>
      </c>
      <c r="I827">
        <v>4.9500000000000002E-2</v>
      </c>
    </row>
    <row r="828" spans="1:9" x14ac:dyDescent="0.3">
      <c r="A828" s="2" t="s">
        <v>69</v>
      </c>
      <c r="B828" s="3">
        <v>44299.5</v>
      </c>
      <c r="C828" s="1" t="str">
        <f t="shared" si="12"/>
        <v>21104</v>
      </c>
      <c r="D828" t="s">
        <v>26</v>
      </c>
      <c r="E828" s="2" t="s">
        <v>27</v>
      </c>
      <c r="F828" s="2" t="str">
        <f>_xlfn.XLOOKUP(Table1_1[[#This Row],[CAS_rn]],[1]analyte_order!$C:$C,[1]analyte_order!$B:$B)</f>
        <v>N-MeFOSE</v>
      </c>
      <c r="G828" t="s">
        <v>135</v>
      </c>
      <c r="H828" s="2">
        <f>_xlfn.XLOOKUP(Table1_1[[#This Row],[CAS_rn]],[1]analyte_order!$C:$C,[1]analyte_order!$E:$E)</f>
        <v>32</v>
      </c>
      <c r="I828">
        <v>0.495</v>
      </c>
    </row>
    <row r="829" spans="1:9" x14ac:dyDescent="0.3">
      <c r="A829" s="2" t="s">
        <v>69</v>
      </c>
      <c r="B829" s="3">
        <v>44299.5</v>
      </c>
      <c r="C829" s="1" t="str">
        <f t="shared" si="12"/>
        <v>21104</v>
      </c>
      <c r="D829" t="s">
        <v>26</v>
      </c>
      <c r="E829" s="2" t="s">
        <v>27</v>
      </c>
      <c r="F829" s="2" t="str">
        <f>_xlfn.XLOOKUP(Table1_1[[#This Row],[CAS_rn]],[1]analyte_order!$C:$C,[1]analyte_order!$B:$B)</f>
        <v>N-EtFOSE</v>
      </c>
      <c r="G829" t="s">
        <v>136</v>
      </c>
      <c r="H829" s="2">
        <f>_xlfn.XLOOKUP(Table1_1[[#This Row],[CAS_rn]],[1]analyte_order!$C:$C,[1]analyte_order!$E:$E)</f>
        <v>33</v>
      </c>
      <c r="I829">
        <v>0.495</v>
      </c>
    </row>
    <row r="830" spans="1:9" x14ac:dyDescent="0.3">
      <c r="A830" s="2" t="s">
        <v>69</v>
      </c>
      <c r="B830" s="3">
        <v>44299.5</v>
      </c>
      <c r="C830" s="1" t="str">
        <f t="shared" si="12"/>
        <v>21104</v>
      </c>
      <c r="D830" t="s">
        <v>26</v>
      </c>
      <c r="E830" s="2" t="s">
        <v>27</v>
      </c>
      <c r="F830" s="2" t="str">
        <f>_xlfn.XLOOKUP(Table1_1[[#This Row],[CAS_rn]],[1]analyte_order!$C:$C,[1]analyte_order!$B:$B)</f>
        <v>HFPO-DA</v>
      </c>
      <c r="G830" t="s">
        <v>137</v>
      </c>
      <c r="H830" s="2">
        <f>_xlfn.XLOOKUP(Table1_1[[#This Row],[CAS_rn]],[1]analyte_order!$C:$C,[1]analyte_order!$E:$E)</f>
        <v>34</v>
      </c>
      <c r="I830">
        <v>0.3</v>
      </c>
    </row>
    <row r="831" spans="1:9" x14ac:dyDescent="0.3">
      <c r="A831" s="2" t="s">
        <v>69</v>
      </c>
      <c r="B831" s="3">
        <v>44299.5</v>
      </c>
      <c r="C831" s="1" t="str">
        <f t="shared" si="12"/>
        <v>21104</v>
      </c>
      <c r="D831" t="s">
        <v>26</v>
      </c>
      <c r="E831" s="2" t="s">
        <v>27</v>
      </c>
      <c r="F831" s="2" t="str">
        <f>_xlfn.XLOOKUP(Table1_1[[#This Row],[CAS_rn]],[1]analyte_order!$C:$C,[1]analyte_order!$B:$B)</f>
        <v>ADONA</v>
      </c>
      <c r="G831" t="s">
        <v>138</v>
      </c>
      <c r="H831" s="2">
        <f>_xlfn.XLOOKUP(Table1_1[[#This Row],[CAS_rn]],[1]analyte_order!$C:$C,[1]analyte_order!$E:$E)</f>
        <v>35</v>
      </c>
      <c r="I831">
        <v>0.2</v>
      </c>
    </row>
    <row r="832" spans="1:9" x14ac:dyDescent="0.3">
      <c r="A832" s="2" t="s">
        <v>69</v>
      </c>
      <c r="B832" s="3">
        <v>44299.5</v>
      </c>
      <c r="C832" s="1" t="str">
        <f t="shared" si="12"/>
        <v>21104</v>
      </c>
      <c r="D832" t="s">
        <v>26</v>
      </c>
      <c r="E832" s="2" t="s">
        <v>27</v>
      </c>
      <c r="F832" s="2" t="str">
        <f>_xlfn.XLOOKUP(Table1_1[[#This Row],[CAS_rn]],[1]analyte_order!$C:$C,[1]analyte_order!$B:$B)</f>
        <v>PFMBA</v>
      </c>
      <c r="G832" t="s">
        <v>139</v>
      </c>
      <c r="H832" s="2">
        <f>_xlfn.XLOOKUP(Table1_1[[#This Row],[CAS_rn]],[1]analyte_order!$C:$C,[1]analyte_order!$E:$E)</f>
        <v>48</v>
      </c>
      <c r="I832">
        <v>0.1</v>
      </c>
    </row>
    <row r="833" spans="1:9" x14ac:dyDescent="0.3">
      <c r="A833" s="2" t="s">
        <v>69</v>
      </c>
      <c r="B833" s="3">
        <v>44299.5</v>
      </c>
      <c r="C833" s="1" t="str">
        <f t="shared" si="12"/>
        <v>21104</v>
      </c>
      <c r="D833" t="s">
        <v>26</v>
      </c>
      <c r="E833" s="2" t="s">
        <v>27</v>
      </c>
      <c r="F833" s="2" t="str">
        <f>_xlfn.XLOOKUP(Table1_1[[#This Row],[CAS_rn]],[1]analyte_order!$C:$C,[1]analyte_order!$B:$B)</f>
        <v>NFDHA</v>
      </c>
      <c r="G833" t="s">
        <v>140</v>
      </c>
      <c r="H833" s="2">
        <f>_xlfn.XLOOKUP(Table1_1[[#This Row],[CAS_rn]],[1]analyte_order!$C:$C,[1]analyte_order!$E:$E)</f>
        <v>50</v>
      </c>
      <c r="I833">
        <v>0.1</v>
      </c>
    </row>
    <row r="834" spans="1:9" x14ac:dyDescent="0.3">
      <c r="A834" s="2" t="s">
        <v>69</v>
      </c>
      <c r="B834" s="3">
        <v>44299.5</v>
      </c>
      <c r="C834" s="1" t="str">
        <f t="shared" si="12"/>
        <v>21104</v>
      </c>
      <c r="D834" t="s">
        <v>26</v>
      </c>
      <c r="E834" s="2" t="s">
        <v>27</v>
      </c>
      <c r="F834" s="2" t="str">
        <f>_xlfn.XLOOKUP(Table1_1[[#This Row],[CAS_rn]],[1]analyte_order!$C:$C,[1]analyte_order!$B:$B)</f>
        <v>9Cl-PF3ONS</v>
      </c>
      <c r="G834" t="s">
        <v>141</v>
      </c>
      <c r="H834" s="2">
        <f>_xlfn.XLOOKUP(Table1_1[[#This Row],[CAS_rn]],[1]analyte_order!$C:$C,[1]analyte_order!$E:$E)</f>
        <v>36</v>
      </c>
      <c r="I834">
        <v>0.2</v>
      </c>
    </row>
    <row r="835" spans="1:9" x14ac:dyDescent="0.3">
      <c r="A835" s="2" t="s">
        <v>69</v>
      </c>
      <c r="B835" s="3">
        <v>44299.5</v>
      </c>
      <c r="C835" s="1" t="str">
        <f t="shared" ref="C835:C898" si="13">TEXT(B835,"yy")&amp;TEXT((B835-DATEVALUE("1/1/"&amp;TEXT(B835,"yy"))+1),"000")</f>
        <v>21104</v>
      </c>
      <c r="D835" t="s">
        <v>26</v>
      </c>
      <c r="E835" s="2" t="s">
        <v>27</v>
      </c>
      <c r="F835" s="2" t="str">
        <f>_xlfn.XLOOKUP(Table1_1[[#This Row],[CAS_rn]],[1]analyte_order!$C:$C,[1]analyte_order!$B:$B)</f>
        <v>11Cl-PF3OUdS</v>
      </c>
      <c r="G835" t="s">
        <v>142</v>
      </c>
      <c r="H835" s="2">
        <f>_xlfn.XLOOKUP(Table1_1[[#This Row],[CAS_rn]],[1]analyte_order!$C:$C,[1]analyte_order!$E:$E)</f>
        <v>37</v>
      </c>
      <c r="I835">
        <v>0.2</v>
      </c>
    </row>
    <row r="836" spans="1:9" x14ac:dyDescent="0.3">
      <c r="A836" s="2" t="s">
        <v>69</v>
      </c>
      <c r="B836" s="3">
        <v>44299.5</v>
      </c>
      <c r="C836" s="1" t="str">
        <f t="shared" si="13"/>
        <v>21104</v>
      </c>
      <c r="D836" t="s">
        <v>26</v>
      </c>
      <c r="E836" s="2" t="s">
        <v>27</v>
      </c>
      <c r="F836" s="2" t="str">
        <f>_xlfn.XLOOKUP(Table1_1[[#This Row],[CAS_rn]],[1]analyte_order!$C:$C,[1]analyte_order!$B:$B)</f>
        <v>PFEESA</v>
      </c>
      <c r="G836" t="s">
        <v>143</v>
      </c>
      <c r="H836" s="2">
        <f>_xlfn.XLOOKUP(Table1_1[[#This Row],[CAS_rn]],[1]analyte_order!$C:$C,[1]analyte_order!$E:$E)</f>
        <v>47</v>
      </c>
      <c r="I836">
        <v>0.1</v>
      </c>
    </row>
    <row r="837" spans="1:9" x14ac:dyDescent="0.3">
      <c r="A837" s="2" t="s">
        <v>69</v>
      </c>
      <c r="B837" s="3">
        <v>44299.5</v>
      </c>
      <c r="C837" s="1" t="str">
        <f t="shared" si="13"/>
        <v>21104</v>
      </c>
      <c r="D837" t="s">
        <v>26</v>
      </c>
      <c r="E837" s="2" t="s">
        <v>27</v>
      </c>
      <c r="F837" s="2" t="str">
        <f>_xlfn.XLOOKUP(Table1_1[[#This Row],[CAS_rn]],[1]analyte_order!$C:$C,[1]analyte_order!$B:$B)</f>
        <v>3:3 FTCA</v>
      </c>
      <c r="G837" t="s">
        <v>144</v>
      </c>
      <c r="H837" s="2">
        <f>_xlfn.XLOOKUP(Table1_1[[#This Row],[CAS_rn]],[1]analyte_order!$C:$C,[1]analyte_order!$E:$E)</f>
        <v>38</v>
      </c>
      <c r="I837">
        <v>0.25</v>
      </c>
    </row>
    <row r="838" spans="1:9" x14ac:dyDescent="0.3">
      <c r="A838" s="2" t="s">
        <v>69</v>
      </c>
      <c r="B838" s="3">
        <v>44299.5</v>
      </c>
      <c r="C838" s="1" t="str">
        <f t="shared" si="13"/>
        <v>21104</v>
      </c>
      <c r="D838" t="s">
        <v>26</v>
      </c>
      <c r="E838" s="2" t="s">
        <v>27</v>
      </c>
      <c r="F838" s="2" t="str">
        <f>_xlfn.XLOOKUP(Table1_1[[#This Row],[CAS_rn]],[1]analyte_order!$C:$C,[1]analyte_order!$B:$B)</f>
        <v>5:3 FTCA</v>
      </c>
      <c r="G838" t="s">
        <v>145</v>
      </c>
      <c r="H838" s="2">
        <f>_xlfn.XLOOKUP(Table1_1[[#This Row],[CAS_rn]],[1]analyte_order!$C:$C,[1]analyte_order!$E:$E)</f>
        <v>39</v>
      </c>
      <c r="I838">
        <v>1.25</v>
      </c>
    </row>
    <row r="839" spans="1:9" x14ac:dyDescent="0.3">
      <c r="A839" s="2" t="s">
        <v>69</v>
      </c>
      <c r="B839" s="3">
        <v>44299.5</v>
      </c>
      <c r="C839" s="1" t="str">
        <f t="shared" si="13"/>
        <v>21104</v>
      </c>
      <c r="D839" t="s">
        <v>26</v>
      </c>
      <c r="E839" s="2" t="s">
        <v>27</v>
      </c>
      <c r="F839" s="2" t="str">
        <f>_xlfn.XLOOKUP(Table1_1[[#This Row],[CAS_rn]],[1]analyte_order!$C:$C,[1]analyte_order!$B:$B)</f>
        <v>7:3 FTCA</v>
      </c>
      <c r="G839" t="s">
        <v>146</v>
      </c>
      <c r="H839" s="2">
        <f>_xlfn.XLOOKUP(Table1_1[[#This Row],[CAS_rn]],[1]analyte_order!$C:$C,[1]analyte_order!$E:$E)</f>
        <v>40</v>
      </c>
      <c r="I839">
        <v>1.25</v>
      </c>
    </row>
    <row r="840" spans="1:9" x14ac:dyDescent="0.3">
      <c r="A840" s="2" t="s">
        <v>69</v>
      </c>
      <c r="B840" s="3">
        <v>44299.5</v>
      </c>
      <c r="C840" s="1" t="str">
        <f t="shared" si="13"/>
        <v>21104</v>
      </c>
      <c r="D840" t="s">
        <v>26</v>
      </c>
      <c r="E840" s="2" t="s">
        <v>27</v>
      </c>
      <c r="F840" s="2" t="str">
        <f>_xlfn.XLOOKUP(Table1_1[[#This Row],[CAS_rn]],[1]analyte_order!$C:$C,[1]analyte_order!$B:$B)</f>
        <v>PFDS</v>
      </c>
      <c r="G840" t="s">
        <v>147</v>
      </c>
      <c r="H840" s="2">
        <f>_xlfn.XLOOKUP(Table1_1[[#This Row],[CAS_rn]],[1]analyte_order!$C:$C,[1]analyte_order!$E:$E)</f>
        <v>20</v>
      </c>
      <c r="I840">
        <v>4.9500000000000002E-2</v>
      </c>
    </row>
    <row r="841" spans="1:9" x14ac:dyDescent="0.3">
      <c r="A841" s="2" t="s">
        <v>69</v>
      </c>
      <c r="B841" s="3">
        <v>44299.5</v>
      </c>
      <c r="C841" s="1" t="str">
        <f t="shared" si="13"/>
        <v>21104</v>
      </c>
      <c r="D841" t="s">
        <v>26</v>
      </c>
      <c r="E841" s="2" t="s">
        <v>27</v>
      </c>
      <c r="F841" s="2" t="str">
        <f>_xlfn.XLOOKUP(Table1_1[[#This Row],[CAS_rn]],[1]analyte_order!$C:$C,[1]analyte_order!$B:$B)</f>
        <v>PFMPA</v>
      </c>
      <c r="G841" t="s">
        <v>148</v>
      </c>
      <c r="H841" s="2">
        <f>_xlfn.XLOOKUP(Table1_1[[#This Row],[CAS_rn]],[1]analyte_order!$C:$C,[1]analyte_order!$E:$E)</f>
        <v>49</v>
      </c>
      <c r="I841">
        <v>0.1</v>
      </c>
    </row>
    <row r="842" spans="1:9" x14ac:dyDescent="0.3">
      <c r="A842" s="2" t="s">
        <v>70</v>
      </c>
      <c r="B842" s="3">
        <v>44299.5</v>
      </c>
      <c r="C842" s="1" t="str">
        <f t="shared" si="13"/>
        <v>21104</v>
      </c>
      <c r="D842" t="s">
        <v>31</v>
      </c>
      <c r="E842" s="2" t="s">
        <v>27</v>
      </c>
      <c r="F842" s="2" t="str">
        <f>_xlfn.XLOOKUP(Table1_1[[#This Row],[CAS_rn]],[1]analyte_order!$C:$C,[1]analyte_order!$B:$B)</f>
        <v>PFBA</v>
      </c>
      <c r="G842" t="s">
        <v>109</v>
      </c>
      <c r="H842" s="2">
        <f>_xlfn.XLOOKUP(Table1_1[[#This Row],[CAS_rn]],[1]analyte_order!$C:$C,[1]analyte_order!$E:$E)</f>
        <v>1</v>
      </c>
      <c r="I842">
        <v>0.19500000000000001</v>
      </c>
    </row>
    <row r="843" spans="1:9" x14ac:dyDescent="0.3">
      <c r="A843" s="2" t="s">
        <v>70</v>
      </c>
      <c r="B843" s="3">
        <v>44299.5</v>
      </c>
      <c r="C843" s="1" t="str">
        <f t="shared" si="13"/>
        <v>21104</v>
      </c>
      <c r="D843" t="s">
        <v>31</v>
      </c>
      <c r="E843" s="2" t="s">
        <v>27</v>
      </c>
      <c r="F843" s="2" t="str">
        <f>_xlfn.XLOOKUP(Table1_1[[#This Row],[CAS_rn]],[1]analyte_order!$C:$C,[1]analyte_order!$B:$B)</f>
        <v>PFPeA</v>
      </c>
      <c r="G843" t="s">
        <v>110</v>
      </c>
      <c r="H843" s="2">
        <f>_xlfn.XLOOKUP(Table1_1[[#This Row],[CAS_rn]],[1]analyte_order!$C:$C,[1]analyte_order!$E:$E)</f>
        <v>2</v>
      </c>
      <c r="I843">
        <v>0.1</v>
      </c>
    </row>
    <row r="844" spans="1:9" x14ac:dyDescent="0.3">
      <c r="A844" s="2" t="s">
        <v>70</v>
      </c>
      <c r="B844" s="3">
        <v>44299.5</v>
      </c>
      <c r="C844" s="1" t="str">
        <f t="shared" si="13"/>
        <v>21104</v>
      </c>
      <c r="D844" t="s">
        <v>31</v>
      </c>
      <c r="E844" s="2" t="s">
        <v>27</v>
      </c>
      <c r="F844" s="2" t="str">
        <f>_xlfn.XLOOKUP(Table1_1[[#This Row],[CAS_rn]],[1]analyte_order!$C:$C,[1]analyte_order!$B:$B)</f>
        <v>PFHxA</v>
      </c>
      <c r="G844" t="s">
        <v>111</v>
      </c>
      <c r="H844" s="2">
        <f>_xlfn.XLOOKUP(Table1_1[[#This Row],[CAS_rn]],[1]analyte_order!$C:$C,[1]analyte_order!$E:$E)</f>
        <v>3</v>
      </c>
      <c r="I844">
        <v>9.4E-2</v>
      </c>
    </row>
    <row r="845" spans="1:9" x14ac:dyDescent="0.3">
      <c r="A845" s="2" t="s">
        <v>70</v>
      </c>
      <c r="B845" s="3">
        <v>44299.5</v>
      </c>
      <c r="C845" s="1" t="str">
        <f t="shared" si="13"/>
        <v>21104</v>
      </c>
      <c r="D845" t="s">
        <v>31</v>
      </c>
      <c r="E845" s="2" t="s">
        <v>27</v>
      </c>
      <c r="F845" s="2" t="str">
        <f>_xlfn.XLOOKUP(Table1_1[[#This Row],[CAS_rn]],[1]analyte_order!$C:$C,[1]analyte_order!$B:$B)</f>
        <v>PFHpA</v>
      </c>
      <c r="G845" t="s">
        <v>112</v>
      </c>
      <c r="H845" s="2">
        <f>_xlfn.XLOOKUP(Table1_1[[#This Row],[CAS_rn]],[1]analyte_order!$C:$C,[1]analyte_order!$E:$E)</f>
        <v>4</v>
      </c>
      <c r="I845">
        <v>0.09</v>
      </c>
    </row>
    <row r="846" spans="1:9" x14ac:dyDescent="0.3">
      <c r="A846" s="2" t="s">
        <v>70</v>
      </c>
      <c r="B846" s="3">
        <v>44299.5</v>
      </c>
      <c r="C846" s="1" t="str">
        <f t="shared" si="13"/>
        <v>21104</v>
      </c>
      <c r="D846" t="s">
        <v>31</v>
      </c>
      <c r="E846" s="2" t="s">
        <v>27</v>
      </c>
      <c r="F846" s="2" t="str">
        <f>_xlfn.XLOOKUP(Table1_1[[#This Row],[CAS_rn]],[1]analyte_order!$C:$C,[1]analyte_order!$B:$B)</f>
        <v>PFOA</v>
      </c>
      <c r="G846" t="s">
        <v>113</v>
      </c>
      <c r="H846" s="2">
        <f>_xlfn.XLOOKUP(Table1_1[[#This Row],[CAS_rn]],[1]analyte_order!$C:$C,[1]analyte_order!$E:$E)</f>
        <v>5</v>
      </c>
      <c r="I846">
        <v>0.1</v>
      </c>
    </row>
    <row r="847" spans="1:9" x14ac:dyDescent="0.3">
      <c r="A847" s="2" t="s">
        <v>70</v>
      </c>
      <c r="B847" s="3">
        <v>44299.5</v>
      </c>
      <c r="C847" s="1" t="str">
        <f t="shared" si="13"/>
        <v>21104</v>
      </c>
      <c r="D847" t="s">
        <v>31</v>
      </c>
      <c r="E847" s="2" t="s">
        <v>27</v>
      </c>
      <c r="F847" s="2" t="str">
        <f>_xlfn.XLOOKUP(Table1_1[[#This Row],[CAS_rn]],[1]analyte_order!$C:$C,[1]analyte_order!$B:$B)</f>
        <v>PFNA</v>
      </c>
      <c r="G847" t="s">
        <v>114</v>
      </c>
      <c r="H847" s="2">
        <f>_xlfn.XLOOKUP(Table1_1[[#This Row],[CAS_rn]],[1]analyte_order!$C:$C,[1]analyte_order!$E:$E)</f>
        <v>6</v>
      </c>
      <c r="I847">
        <v>4.9000000000000002E-2</v>
      </c>
    </row>
    <row r="848" spans="1:9" x14ac:dyDescent="0.3">
      <c r="A848" s="2" t="s">
        <v>70</v>
      </c>
      <c r="B848" s="3">
        <v>44299.5</v>
      </c>
      <c r="C848" s="1" t="str">
        <f t="shared" si="13"/>
        <v>21104</v>
      </c>
      <c r="D848" t="s">
        <v>31</v>
      </c>
      <c r="E848" s="2" t="s">
        <v>27</v>
      </c>
      <c r="F848" s="2" t="str">
        <f>_xlfn.XLOOKUP(Table1_1[[#This Row],[CAS_rn]],[1]analyte_order!$C:$C,[1]analyte_order!$B:$B)</f>
        <v>PFDA</v>
      </c>
      <c r="G848" t="s">
        <v>115</v>
      </c>
      <c r="H848" s="2">
        <f>_xlfn.XLOOKUP(Table1_1[[#This Row],[CAS_rn]],[1]analyte_order!$C:$C,[1]analyte_order!$E:$E)</f>
        <v>7</v>
      </c>
      <c r="I848">
        <v>4.9000000000000002E-2</v>
      </c>
    </row>
    <row r="849" spans="1:9" x14ac:dyDescent="0.3">
      <c r="A849" s="2" t="s">
        <v>70</v>
      </c>
      <c r="B849" s="3">
        <v>44299.5</v>
      </c>
      <c r="C849" s="1" t="str">
        <f t="shared" si="13"/>
        <v>21104</v>
      </c>
      <c r="D849" t="s">
        <v>31</v>
      </c>
      <c r="E849" s="2" t="s">
        <v>27</v>
      </c>
      <c r="F849" s="2" t="str">
        <f>_xlfn.XLOOKUP(Table1_1[[#This Row],[CAS_rn]],[1]analyte_order!$C:$C,[1]analyte_order!$B:$B)</f>
        <v>PFUnA</v>
      </c>
      <c r="G849" t="s">
        <v>116</v>
      </c>
      <c r="H849" s="2">
        <f>_xlfn.XLOOKUP(Table1_1[[#This Row],[CAS_rn]],[1]analyte_order!$C:$C,[1]analyte_order!$E:$E)</f>
        <v>8</v>
      </c>
      <c r="I849">
        <v>4.9000000000000002E-2</v>
      </c>
    </row>
    <row r="850" spans="1:9" x14ac:dyDescent="0.3">
      <c r="A850" s="2" t="s">
        <v>70</v>
      </c>
      <c r="B850" s="3">
        <v>44299.5</v>
      </c>
      <c r="C850" s="1" t="str">
        <f t="shared" si="13"/>
        <v>21104</v>
      </c>
      <c r="D850" t="s">
        <v>31</v>
      </c>
      <c r="E850" s="2" t="s">
        <v>27</v>
      </c>
      <c r="F850" s="2" t="str">
        <f>_xlfn.XLOOKUP(Table1_1[[#This Row],[CAS_rn]],[1]analyte_order!$C:$C,[1]analyte_order!$B:$B)</f>
        <v>PFDoA</v>
      </c>
      <c r="G850" t="s">
        <v>117</v>
      </c>
      <c r="H850" s="2">
        <f>_xlfn.XLOOKUP(Table1_1[[#This Row],[CAS_rn]],[1]analyte_order!$C:$C,[1]analyte_order!$E:$E)</f>
        <v>9</v>
      </c>
      <c r="I850">
        <v>4.9000000000000002E-2</v>
      </c>
    </row>
    <row r="851" spans="1:9" x14ac:dyDescent="0.3">
      <c r="A851" s="2" t="s">
        <v>70</v>
      </c>
      <c r="B851" s="3">
        <v>44299.5</v>
      </c>
      <c r="C851" s="1" t="str">
        <f t="shared" si="13"/>
        <v>21104</v>
      </c>
      <c r="D851" t="s">
        <v>31</v>
      </c>
      <c r="E851" s="2" t="s">
        <v>27</v>
      </c>
      <c r="F851" s="2" t="str">
        <f>_xlfn.XLOOKUP(Table1_1[[#This Row],[CAS_rn]],[1]analyte_order!$C:$C,[1]analyte_order!$B:$B)</f>
        <v>PFTrDA</v>
      </c>
      <c r="G851" t="s">
        <v>118</v>
      </c>
      <c r="H851" s="2">
        <f>_xlfn.XLOOKUP(Table1_1[[#This Row],[CAS_rn]],[1]analyte_order!$C:$C,[1]analyte_order!$E:$E)</f>
        <v>10</v>
      </c>
      <c r="I851">
        <v>4.9000000000000002E-2</v>
      </c>
    </row>
    <row r="852" spans="1:9" x14ac:dyDescent="0.3">
      <c r="A852" s="2" t="s">
        <v>70</v>
      </c>
      <c r="B852" s="3">
        <v>44299.5</v>
      </c>
      <c r="C852" s="1" t="str">
        <f t="shared" si="13"/>
        <v>21104</v>
      </c>
      <c r="D852" t="s">
        <v>31</v>
      </c>
      <c r="E852" s="2" t="s">
        <v>27</v>
      </c>
      <c r="F852" s="2" t="str">
        <f>_xlfn.XLOOKUP(Table1_1[[#This Row],[CAS_rn]],[1]analyte_order!$C:$C,[1]analyte_order!$B:$B)</f>
        <v>PFTeDA</v>
      </c>
      <c r="G852" t="s">
        <v>119</v>
      </c>
      <c r="H852" s="2">
        <f>_xlfn.XLOOKUP(Table1_1[[#This Row],[CAS_rn]],[1]analyte_order!$C:$C,[1]analyte_order!$E:$E)</f>
        <v>11</v>
      </c>
      <c r="I852">
        <v>4.9000000000000002E-2</v>
      </c>
    </row>
    <row r="853" spans="1:9" x14ac:dyDescent="0.3">
      <c r="A853" s="2" t="s">
        <v>70</v>
      </c>
      <c r="B853" s="3">
        <v>44299.5</v>
      </c>
      <c r="C853" s="1" t="str">
        <f t="shared" si="13"/>
        <v>21104</v>
      </c>
      <c r="D853" t="s">
        <v>31</v>
      </c>
      <c r="E853" s="2" t="s">
        <v>27</v>
      </c>
      <c r="F853" s="2" t="str">
        <f>_xlfn.XLOOKUP(Table1_1[[#This Row],[CAS_rn]],[1]analyte_order!$C:$C,[1]analyte_order!$B:$B)</f>
        <v>PFBS</v>
      </c>
      <c r="G853" t="s">
        <v>120</v>
      </c>
      <c r="H853" s="2">
        <f>_xlfn.XLOOKUP(Table1_1[[#This Row],[CAS_rn]],[1]analyte_order!$C:$C,[1]analyte_order!$E:$E)</f>
        <v>14</v>
      </c>
      <c r="I853">
        <v>4.9000000000000002E-2</v>
      </c>
    </row>
    <row r="854" spans="1:9" x14ac:dyDescent="0.3">
      <c r="A854" s="2" t="s">
        <v>70</v>
      </c>
      <c r="B854" s="3">
        <v>44299.5</v>
      </c>
      <c r="C854" s="1" t="str">
        <f t="shared" si="13"/>
        <v>21104</v>
      </c>
      <c r="D854" t="s">
        <v>31</v>
      </c>
      <c r="E854" s="2" t="s">
        <v>27</v>
      </c>
      <c r="F854" s="2" t="str">
        <f>_xlfn.XLOOKUP(Table1_1[[#This Row],[CAS_rn]],[1]analyte_order!$C:$C,[1]analyte_order!$B:$B)</f>
        <v>PFPeS</v>
      </c>
      <c r="G854" t="s">
        <v>121</v>
      </c>
      <c r="H854" s="2">
        <f>_xlfn.XLOOKUP(Table1_1[[#This Row],[CAS_rn]],[1]analyte_order!$C:$C,[1]analyte_order!$E:$E)</f>
        <v>15</v>
      </c>
      <c r="I854">
        <v>4.9000000000000002E-2</v>
      </c>
    </row>
    <row r="855" spans="1:9" x14ac:dyDescent="0.3">
      <c r="A855" s="2" t="s">
        <v>70</v>
      </c>
      <c r="B855" s="3">
        <v>44299.5</v>
      </c>
      <c r="C855" s="1" t="str">
        <f t="shared" si="13"/>
        <v>21104</v>
      </c>
      <c r="D855" t="s">
        <v>31</v>
      </c>
      <c r="E855" s="2" t="s">
        <v>27</v>
      </c>
      <c r="F855" s="2" t="str">
        <f>_xlfn.XLOOKUP(Table1_1[[#This Row],[CAS_rn]],[1]analyte_order!$C:$C,[1]analyte_order!$B:$B)</f>
        <v>PFHxS</v>
      </c>
      <c r="G855" t="s">
        <v>122</v>
      </c>
      <c r="H855" s="2">
        <f>_xlfn.XLOOKUP(Table1_1[[#This Row],[CAS_rn]],[1]analyte_order!$C:$C,[1]analyte_order!$E:$E)</f>
        <v>16</v>
      </c>
      <c r="I855">
        <v>0.24</v>
      </c>
    </row>
    <row r="856" spans="1:9" x14ac:dyDescent="0.3">
      <c r="A856" s="2" t="s">
        <v>70</v>
      </c>
      <c r="B856" s="3">
        <v>44299.5</v>
      </c>
      <c r="C856" s="1" t="str">
        <f t="shared" si="13"/>
        <v>21104</v>
      </c>
      <c r="D856" t="s">
        <v>31</v>
      </c>
      <c r="E856" s="2" t="s">
        <v>27</v>
      </c>
      <c r="F856" s="2" t="str">
        <f>_xlfn.XLOOKUP(Table1_1[[#This Row],[CAS_rn]],[1]analyte_order!$C:$C,[1]analyte_order!$B:$B)</f>
        <v>PFHpS</v>
      </c>
      <c r="G856" t="s">
        <v>123</v>
      </c>
      <c r="H856" s="2">
        <f>_xlfn.XLOOKUP(Table1_1[[#This Row],[CAS_rn]],[1]analyte_order!$C:$C,[1]analyte_order!$E:$E)</f>
        <v>17</v>
      </c>
      <c r="I856">
        <v>4.9000000000000002E-2</v>
      </c>
    </row>
    <row r="857" spans="1:9" x14ac:dyDescent="0.3">
      <c r="A857" s="2" t="s">
        <v>70</v>
      </c>
      <c r="B857" s="3">
        <v>44299.5</v>
      </c>
      <c r="C857" s="1" t="str">
        <f t="shared" si="13"/>
        <v>21104</v>
      </c>
      <c r="D857" t="s">
        <v>31</v>
      </c>
      <c r="E857" s="2" t="s">
        <v>27</v>
      </c>
      <c r="F857" s="2" t="str">
        <f>_xlfn.XLOOKUP(Table1_1[[#This Row],[CAS_rn]],[1]analyte_order!$C:$C,[1]analyte_order!$B:$B)</f>
        <v>PFOS</v>
      </c>
      <c r="G857" t="s">
        <v>124</v>
      </c>
      <c r="H857" s="2">
        <f>_xlfn.XLOOKUP(Table1_1[[#This Row],[CAS_rn]],[1]analyte_order!$C:$C,[1]analyte_order!$E:$E)</f>
        <v>18</v>
      </c>
      <c r="I857">
        <v>1.3</v>
      </c>
    </row>
    <row r="858" spans="1:9" x14ac:dyDescent="0.3">
      <c r="A858" s="2" t="s">
        <v>70</v>
      </c>
      <c r="B858" s="3">
        <v>44299.5</v>
      </c>
      <c r="C858" s="1" t="str">
        <f t="shared" si="13"/>
        <v>21104</v>
      </c>
      <c r="D858" t="s">
        <v>31</v>
      </c>
      <c r="E858" s="2" t="s">
        <v>27</v>
      </c>
      <c r="F858" s="2" t="str">
        <f>_xlfn.XLOOKUP(Table1_1[[#This Row],[CAS_rn]],[1]analyte_order!$C:$C,[1]analyte_order!$B:$B)</f>
        <v>PFNS</v>
      </c>
      <c r="G858" t="s">
        <v>125</v>
      </c>
      <c r="H858" s="2">
        <f>_xlfn.XLOOKUP(Table1_1[[#This Row],[CAS_rn]],[1]analyte_order!$C:$C,[1]analyte_order!$E:$E)</f>
        <v>19</v>
      </c>
      <c r="I858">
        <v>4.9000000000000002E-2</v>
      </c>
    </row>
    <row r="859" spans="1:9" x14ac:dyDescent="0.3">
      <c r="A859" s="2" t="s">
        <v>70</v>
      </c>
      <c r="B859" s="3">
        <v>44299.5</v>
      </c>
      <c r="C859" s="1" t="str">
        <f t="shared" si="13"/>
        <v>21104</v>
      </c>
      <c r="D859" t="s">
        <v>31</v>
      </c>
      <c r="E859" s="2" t="s">
        <v>27</v>
      </c>
      <c r="F859" s="2" t="str">
        <f>_xlfn.XLOOKUP(Table1_1[[#This Row],[CAS_rn]],[1]analyte_order!$C:$C,[1]analyte_order!$B:$B)</f>
        <v>PFDoS</v>
      </c>
      <c r="G859" t="s">
        <v>126</v>
      </c>
      <c r="H859" s="2">
        <f>_xlfn.XLOOKUP(Table1_1[[#This Row],[CAS_rn]],[1]analyte_order!$C:$C,[1]analyte_order!$E:$E)</f>
        <v>21</v>
      </c>
      <c r="I859">
        <v>4.9000000000000002E-2</v>
      </c>
    </row>
    <row r="860" spans="1:9" x14ac:dyDescent="0.3">
      <c r="A860" s="2" t="s">
        <v>70</v>
      </c>
      <c r="B860" s="3">
        <v>44299.5</v>
      </c>
      <c r="C860" s="1" t="str">
        <f t="shared" si="13"/>
        <v>21104</v>
      </c>
      <c r="D860" t="s">
        <v>31</v>
      </c>
      <c r="E860" s="2" t="s">
        <v>27</v>
      </c>
      <c r="F860" s="2" t="str">
        <f>_xlfn.XLOOKUP(Table1_1[[#This Row],[CAS_rn]],[1]analyte_order!$C:$C,[1]analyte_order!$B:$B)</f>
        <v>4:2 FTS</v>
      </c>
      <c r="G860" t="s">
        <v>127</v>
      </c>
      <c r="H860" s="2">
        <f>_xlfn.XLOOKUP(Table1_1[[#This Row],[CAS_rn]],[1]analyte_order!$C:$C,[1]analyte_order!$E:$E)</f>
        <v>22</v>
      </c>
      <c r="I860">
        <v>0.19500000000000001</v>
      </c>
    </row>
    <row r="861" spans="1:9" x14ac:dyDescent="0.3">
      <c r="A861" s="2" t="s">
        <v>70</v>
      </c>
      <c r="B861" s="3">
        <v>44299.5</v>
      </c>
      <c r="C861" s="1" t="str">
        <f t="shared" si="13"/>
        <v>21104</v>
      </c>
      <c r="D861" t="s">
        <v>31</v>
      </c>
      <c r="E861" s="2" t="s">
        <v>27</v>
      </c>
      <c r="F861" s="2" t="str">
        <f>_xlfn.XLOOKUP(Table1_1[[#This Row],[CAS_rn]],[1]analyte_order!$C:$C,[1]analyte_order!$B:$B)</f>
        <v>6:2 FTS</v>
      </c>
      <c r="G861" t="s">
        <v>128</v>
      </c>
      <c r="H861" s="2">
        <f>_xlfn.XLOOKUP(Table1_1[[#This Row],[CAS_rn]],[1]analyte_order!$C:$C,[1]analyte_order!$E:$E)</f>
        <v>23</v>
      </c>
      <c r="I861">
        <v>0.39500000000000002</v>
      </c>
    </row>
    <row r="862" spans="1:9" x14ac:dyDescent="0.3">
      <c r="A862" s="2" t="s">
        <v>70</v>
      </c>
      <c r="B862" s="3">
        <v>44299.5</v>
      </c>
      <c r="C862" s="1" t="str">
        <f t="shared" si="13"/>
        <v>21104</v>
      </c>
      <c r="D862" t="s">
        <v>31</v>
      </c>
      <c r="E862" s="2" t="s">
        <v>27</v>
      </c>
      <c r="F862" s="2" t="str">
        <f>_xlfn.XLOOKUP(Table1_1[[#This Row],[CAS_rn]],[1]analyte_order!$C:$C,[1]analyte_order!$B:$B)</f>
        <v>8:2 FTS</v>
      </c>
      <c r="G862" t="s">
        <v>129</v>
      </c>
      <c r="H862" s="2">
        <f>_xlfn.XLOOKUP(Table1_1[[#This Row],[CAS_rn]],[1]analyte_order!$C:$C,[1]analyte_order!$E:$E)</f>
        <v>24</v>
      </c>
      <c r="I862">
        <v>0.39500000000000002</v>
      </c>
    </row>
    <row r="863" spans="1:9" x14ac:dyDescent="0.3">
      <c r="A863" s="2" t="s">
        <v>70</v>
      </c>
      <c r="B863" s="3">
        <v>44299.5</v>
      </c>
      <c r="C863" s="1" t="str">
        <f t="shared" si="13"/>
        <v>21104</v>
      </c>
      <c r="D863" t="s">
        <v>31</v>
      </c>
      <c r="E863" s="2" t="s">
        <v>27</v>
      </c>
      <c r="F863" s="2" t="str">
        <f>_xlfn.XLOOKUP(Table1_1[[#This Row],[CAS_rn]],[1]analyte_order!$C:$C,[1]analyte_order!$B:$B)</f>
        <v>FOSA</v>
      </c>
      <c r="G863" t="s">
        <v>130</v>
      </c>
      <c r="H863" s="2">
        <f>_xlfn.XLOOKUP(Table1_1[[#This Row],[CAS_rn]],[1]analyte_order!$C:$C,[1]analyte_order!$E:$E)</f>
        <v>28</v>
      </c>
      <c r="I863">
        <v>0.11</v>
      </c>
    </row>
    <row r="864" spans="1:9" x14ac:dyDescent="0.3">
      <c r="A864" s="2" t="s">
        <v>70</v>
      </c>
      <c r="B864" s="3">
        <v>44299.5</v>
      </c>
      <c r="C864" s="1" t="str">
        <f t="shared" si="13"/>
        <v>21104</v>
      </c>
      <c r="D864" t="s">
        <v>31</v>
      </c>
      <c r="E864" s="2" t="s">
        <v>27</v>
      </c>
      <c r="F864" s="2" t="str">
        <f>_xlfn.XLOOKUP(Table1_1[[#This Row],[CAS_rn]],[1]analyte_order!$C:$C,[1]analyte_order!$B:$B)</f>
        <v>N-MeFOSA</v>
      </c>
      <c r="G864" t="s">
        <v>131</v>
      </c>
      <c r="H864" s="2">
        <f>_xlfn.XLOOKUP(Table1_1[[#This Row],[CAS_rn]],[1]analyte_order!$C:$C,[1]analyte_order!$E:$E)</f>
        <v>30</v>
      </c>
      <c r="I864">
        <v>4.9000000000000002E-2</v>
      </c>
    </row>
    <row r="865" spans="1:9" x14ac:dyDescent="0.3">
      <c r="A865" s="2" t="s">
        <v>70</v>
      </c>
      <c r="B865" s="3">
        <v>44299.5</v>
      </c>
      <c r="C865" s="1" t="str">
        <f t="shared" si="13"/>
        <v>21104</v>
      </c>
      <c r="D865" t="s">
        <v>31</v>
      </c>
      <c r="E865" s="2" t="s">
        <v>27</v>
      </c>
      <c r="F865" s="2" t="str">
        <f>_xlfn.XLOOKUP(Table1_1[[#This Row],[CAS_rn]],[1]analyte_order!$C:$C,[1]analyte_order!$B:$B)</f>
        <v>N-MeFOSAA</v>
      </c>
      <c r="G865" t="s">
        <v>132</v>
      </c>
      <c r="H865" s="2">
        <f>_xlfn.XLOOKUP(Table1_1[[#This Row],[CAS_rn]],[1]analyte_order!$C:$C,[1]analyte_order!$E:$E)</f>
        <v>26</v>
      </c>
      <c r="I865">
        <v>4.9000000000000002E-2</v>
      </c>
    </row>
    <row r="866" spans="1:9" x14ac:dyDescent="0.3">
      <c r="A866" s="2" t="s">
        <v>70</v>
      </c>
      <c r="B866" s="3">
        <v>44299.5</v>
      </c>
      <c r="C866" s="1" t="str">
        <f t="shared" si="13"/>
        <v>21104</v>
      </c>
      <c r="D866" t="s">
        <v>31</v>
      </c>
      <c r="E866" s="2" t="s">
        <v>27</v>
      </c>
      <c r="F866" s="2" t="str">
        <f>_xlfn.XLOOKUP(Table1_1[[#This Row],[CAS_rn]],[1]analyte_order!$C:$C,[1]analyte_order!$B:$B)</f>
        <v>N-EtFOSA</v>
      </c>
      <c r="G866" t="s">
        <v>133</v>
      </c>
      <c r="H866" s="2">
        <f>_xlfn.XLOOKUP(Table1_1[[#This Row],[CAS_rn]],[1]analyte_order!$C:$C,[1]analyte_order!$E:$E)</f>
        <v>31</v>
      </c>
      <c r="I866">
        <v>4.9000000000000002E-2</v>
      </c>
    </row>
    <row r="867" spans="1:9" x14ac:dyDescent="0.3">
      <c r="A867" s="2" t="s">
        <v>70</v>
      </c>
      <c r="B867" s="3">
        <v>44299.5</v>
      </c>
      <c r="C867" s="1" t="str">
        <f t="shared" si="13"/>
        <v>21104</v>
      </c>
      <c r="D867" t="s">
        <v>31</v>
      </c>
      <c r="E867" s="2" t="s">
        <v>27</v>
      </c>
      <c r="F867" s="2" t="str">
        <f>_xlfn.XLOOKUP(Table1_1[[#This Row],[CAS_rn]],[1]analyte_order!$C:$C,[1]analyte_order!$B:$B)</f>
        <v>N-EtFOSAA</v>
      </c>
      <c r="G867" t="s">
        <v>134</v>
      </c>
      <c r="H867" s="2">
        <f>_xlfn.XLOOKUP(Table1_1[[#This Row],[CAS_rn]],[1]analyte_order!$C:$C,[1]analyte_order!$E:$E)</f>
        <v>27</v>
      </c>
      <c r="I867">
        <v>4.9000000000000002E-2</v>
      </c>
    </row>
    <row r="868" spans="1:9" x14ac:dyDescent="0.3">
      <c r="A868" s="2" t="s">
        <v>70</v>
      </c>
      <c r="B868" s="3">
        <v>44299.5</v>
      </c>
      <c r="C868" s="1" t="str">
        <f t="shared" si="13"/>
        <v>21104</v>
      </c>
      <c r="D868" t="s">
        <v>31</v>
      </c>
      <c r="E868" s="2" t="s">
        <v>27</v>
      </c>
      <c r="F868" s="2" t="str">
        <f>_xlfn.XLOOKUP(Table1_1[[#This Row],[CAS_rn]],[1]analyte_order!$C:$C,[1]analyte_order!$B:$B)</f>
        <v>N-MeFOSE</v>
      </c>
      <c r="G868" t="s">
        <v>135</v>
      </c>
      <c r="H868" s="2">
        <f>_xlfn.XLOOKUP(Table1_1[[#This Row],[CAS_rn]],[1]analyte_order!$C:$C,[1]analyte_order!$E:$E)</f>
        <v>32</v>
      </c>
      <c r="I868">
        <v>0.49</v>
      </c>
    </row>
    <row r="869" spans="1:9" x14ac:dyDescent="0.3">
      <c r="A869" s="2" t="s">
        <v>70</v>
      </c>
      <c r="B869" s="3">
        <v>44299.5</v>
      </c>
      <c r="C869" s="1" t="str">
        <f t="shared" si="13"/>
        <v>21104</v>
      </c>
      <c r="D869" t="s">
        <v>31</v>
      </c>
      <c r="E869" s="2" t="s">
        <v>27</v>
      </c>
      <c r="F869" s="2" t="str">
        <f>_xlfn.XLOOKUP(Table1_1[[#This Row],[CAS_rn]],[1]analyte_order!$C:$C,[1]analyte_order!$B:$B)</f>
        <v>N-EtFOSE</v>
      </c>
      <c r="G869" t="s">
        <v>136</v>
      </c>
      <c r="H869" s="2">
        <f>_xlfn.XLOOKUP(Table1_1[[#This Row],[CAS_rn]],[1]analyte_order!$C:$C,[1]analyte_order!$E:$E)</f>
        <v>33</v>
      </c>
      <c r="I869">
        <v>0.49</v>
      </c>
    </row>
    <row r="870" spans="1:9" x14ac:dyDescent="0.3">
      <c r="A870" s="2" t="s">
        <v>70</v>
      </c>
      <c r="B870" s="3">
        <v>44299.5</v>
      </c>
      <c r="C870" s="1" t="str">
        <f t="shared" si="13"/>
        <v>21104</v>
      </c>
      <c r="D870" t="s">
        <v>31</v>
      </c>
      <c r="E870" s="2" t="s">
        <v>27</v>
      </c>
      <c r="F870" s="2" t="str">
        <f>_xlfn.XLOOKUP(Table1_1[[#This Row],[CAS_rn]],[1]analyte_order!$C:$C,[1]analyte_order!$B:$B)</f>
        <v>HFPO-DA</v>
      </c>
      <c r="G870" t="s">
        <v>137</v>
      </c>
      <c r="H870" s="2">
        <f>_xlfn.XLOOKUP(Table1_1[[#This Row],[CAS_rn]],[1]analyte_order!$C:$C,[1]analyte_order!$E:$E)</f>
        <v>34</v>
      </c>
      <c r="I870">
        <v>0.29499999999999998</v>
      </c>
    </row>
    <row r="871" spans="1:9" x14ac:dyDescent="0.3">
      <c r="A871" s="2" t="s">
        <v>70</v>
      </c>
      <c r="B871" s="3">
        <v>44299.5</v>
      </c>
      <c r="C871" s="1" t="str">
        <f t="shared" si="13"/>
        <v>21104</v>
      </c>
      <c r="D871" t="s">
        <v>31</v>
      </c>
      <c r="E871" s="2" t="s">
        <v>27</v>
      </c>
      <c r="F871" s="2" t="str">
        <f>_xlfn.XLOOKUP(Table1_1[[#This Row],[CAS_rn]],[1]analyte_order!$C:$C,[1]analyte_order!$B:$B)</f>
        <v>ADONA</v>
      </c>
      <c r="G871" t="s">
        <v>138</v>
      </c>
      <c r="H871" s="2">
        <f>_xlfn.XLOOKUP(Table1_1[[#This Row],[CAS_rn]],[1]analyte_order!$C:$C,[1]analyte_order!$E:$E)</f>
        <v>35</v>
      </c>
      <c r="I871">
        <v>0.19500000000000001</v>
      </c>
    </row>
    <row r="872" spans="1:9" x14ac:dyDescent="0.3">
      <c r="A872" s="2" t="s">
        <v>70</v>
      </c>
      <c r="B872" s="3">
        <v>44299.5</v>
      </c>
      <c r="C872" s="1" t="str">
        <f t="shared" si="13"/>
        <v>21104</v>
      </c>
      <c r="D872" t="s">
        <v>31</v>
      </c>
      <c r="E872" s="2" t="s">
        <v>27</v>
      </c>
      <c r="F872" s="2" t="str">
        <f>_xlfn.XLOOKUP(Table1_1[[#This Row],[CAS_rn]],[1]analyte_order!$C:$C,[1]analyte_order!$B:$B)</f>
        <v>PFMBA</v>
      </c>
      <c r="G872" t="s">
        <v>139</v>
      </c>
      <c r="H872" s="2">
        <f>_xlfn.XLOOKUP(Table1_1[[#This Row],[CAS_rn]],[1]analyte_order!$C:$C,[1]analyte_order!$E:$E)</f>
        <v>48</v>
      </c>
      <c r="I872">
        <v>0.1</v>
      </c>
    </row>
    <row r="873" spans="1:9" x14ac:dyDescent="0.3">
      <c r="A873" s="2" t="s">
        <v>70</v>
      </c>
      <c r="B873" s="3">
        <v>44299.5</v>
      </c>
      <c r="C873" s="1" t="str">
        <f t="shared" si="13"/>
        <v>21104</v>
      </c>
      <c r="D873" t="s">
        <v>31</v>
      </c>
      <c r="E873" s="2" t="s">
        <v>27</v>
      </c>
      <c r="F873" s="2" t="str">
        <f>_xlfn.XLOOKUP(Table1_1[[#This Row],[CAS_rn]],[1]analyte_order!$C:$C,[1]analyte_order!$B:$B)</f>
        <v>NFDHA</v>
      </c>
      <c r="G873" t="s">
        <v>140</v>
      </c>
      <c r="H873" s="2">
        <f>_xlfn.XLOOKUP(Table1_1[[#This Row],[CAS_rn]],[1]analyte_order!$C:$C,[1]analyte_order!$E:$E)</f>
        <v>50</v>
      </c>
      <c r="I873">
        <v>0.1</v>
      </c>
    </row>
    <row r="874" spans="1:9" x14ac:dyDescent="0.3">
      <c r="A874" s="2" t="s">
        <v>70</v>
      </c>
      <c r="B874" s="3">
        <v>44299.5</v>
      </c>
      <c r="C874" s="1" t="str">
        <f t="shared" si="13"/>
        <v>21104</v>
      </c>
      <c r="D874" t="s">
        <v>31</v>
      </c>
      <c r="E874" s="2" t="s">
        <v>27</v>
      </c>
      <c r="F874" s="2" t="str">
        <f>_xlfn.XLOOKUP(Table1_1[[#This Row],[CAS_rn]],[1]analyte_order!$C:$C,[1]analyte_order!$B:$B)</f>
        <v>9Cl-PF3ONS</v>
      </c>
      <c r="G874" t="s">
        <v>141</v>
      </c>
      <c r="H874" s="2">
        <f>_xlfn.XLOOKUP(Table1_1[[#This Row],[CAS_rn]],[1]analyte_order!$C:$C,[1]analyte_order!$E:$E)</f>
        <v>36</v>
      </c>
      <c r="I874">
        <v>0.19500000000000001</v>
      </c>
    </row>
    <row r="875" spans="1:9" x14ac:dyDescent="0.3">
      <c r="A875" s="2" t="s">
        <v>70</v>
      </c>
      <c r="B875" s="3">
        <v>44299.5</v>
      </c>
      <c r="C875" s="1" t="str">
        <f t="shared" si="13"/>
        <v>21104</v>
      </c>
      <c r="D875" t="s">
        <v>31</v>
      </c>
      <c r="E875" s="2" t="s">
        <v>27</v>
      </c>
      <c r="F875" s="2" t="str">
        <f>_xlfn.XLOOKUP(Table1_1[[#This Row],[CAS_rn]],[1]analyte_order!$C:$C,[1]analyte_order!$B:$B)</f>
        <v>11Cl-PF3OUdS</v>
      </c>
      <c r="G875" t="s">
        <v>142</v>
      </c>
      <c r="H875" s="2">
        <f>_xlfn.XLOOKUP(Table1_1[[#This Row],[CAS_rn]],[1]analyte_order!$C:$C,[1]analyte_order!$E:$E)</f>
        <v>37</v>
      </c>
      <c r="I875">
        <v>0.19500000000000001</v>
      </c>
    </row>
    <row r="876" spans="1:9" x14ac:dyDescent="0.3">
      <c r="A876" s="2" t="s">
        <v>70</v>
      </c>
      <c r="B876" s="3">
        <v>44299.5</v>
      </c>
      <c r="C876" s="1" t="str">
        <f t="shared" si="13"/>
        <v>21104</v>
      </c>
      <c r="D876" t="s">
        <v>31</v>
      </c>
      <c r="E876" s="2" t="s">
        <v>27</v>
      </c>
      <c r="F876" s="2" t="str">
        <f>_xlfn.XLOOKUP(Table1_1[[#This Row],[CAS_rn]],[1]analyte_order!$C:$C,[1]analyte_order!$B:$B)</f>
        <v>PFEESA</v>
      </c>
      <c r="G876" t="s">
        <v>143</v>
      </c>
      <c r="H876" s="2">
        <f>_xlfn.XLOOKUP(Table1_1[[#This Row],[CAS_rn]],[1]analyte_order!$C:$C,[1]analyte_order!$E:$E)</f>
        <v>47</v>
      </c>
      <c r="I876">
        <v>0.1</v>
      </c>
    </row>
    <row r="877" spans="1:9" x14ac:dyDescent="0.3">
      <c r="A877" s="2" t="s">
        <v>70</v>
      </c>
      <c r="B877" s="3">
        <v>44299.5</v>
      </c>
      <c r="C877" s="1" t="str">
        <f t="shared" si="13"/>
        <v>21104</v>
      </c>
      <c r="D877" t="s">
        <v>31</v>
      </c>
      <c r="E877" s="2" t="s">
        <v>27</v>
      </c>
      <c r="F877" s="2" t="str">
        <f>_xlfn.XLOOKUP(Table1_1[[#This Row],[CAS_rn]],[1]analyte_order!$C:$C,[1]analyte_order!$B:$B)</f>
        <v>3:3 FTCA</v>
      </c>
      <c r="G877" t="s">
        <v>144</v>
      </c>
      <c r="H877" s="2">
        <f>_xlfn.XLOOKUP(Table1_1[[#This Row],[CAS_rn]],[1]analyte_order!$C:$C,[1]analyte_order!$E:$E)</f>
        <v>38</v>
      </c>
      <c r="I877">
        <v>0.245</v>
      </c>
    </row>
    <row r="878" spans="1:9" x14ac:dyDescent="0.3">
      <c r="A878" s="2" t="s">
        <v>70</v>
      </c>
      <c r="B878" s="3">
        <v>44299.5</v>
      </c>
      <c r="C878" s="1" t="str">
        <f t="shared" si="13"/>
        <v>21104</v>
      </c>
      <c r="D878" t="s">
        <v>31</v>
      </c>
      <c r="E878" s="2" t="s">
        <v>27</v>
      </c>
      <c r="F878" s="2" t="str">
        <f>_xlfn.XLOOKUP(Table1_1[[#This Row],[CAS_rn]],[1]analyte_order!$C:$C,[1]analyte_order!$B:$B)</f>
        <v>5:3 FTCA</v>
      </c>
      <c r="G878" t="s">
        <v>145</v>
      </c>
      <c r="H878" s="2">
        <f>_xlfn.XLOOKUP(Table1_1[[#This Row],[CAS_rn]],[1]analyte_order!$C:$C,[1]analyte_order!$E:$E)</f>
        <v>39</v>
      </c>
      <c r="I878">
        <v>1.25</v>
      </c>
    </row>
    <row r="879" spans="1:9" x14ac:dyDescent="0.3">
      <c r="A879" s="2" t="s">
        <v>70</v>
      </c>
      <c r="B879" s="3">
        <v>44299.5</v>
      </c>
      <c r="C879" s="1" t="str">
        <f t="shared" si="13"/>
        <v>21104</v>
      </c>
      <c r="D879" t="s">
        <v>31</v>
      </c>
      <c r="E879" s="2" t="s">
        <v>27</v>
      </c>
      <c r="F879" s="2" t="str">
        <f>_xlfn.XLOOKUP(Table1_1[[#This Row],[CAS_rn]],[1]analyte_order!$C:$C,[1]analyte_order!$B:$B)</f>
        <v>7:3 FTCA</v>
      </c>
      <c r="G879" t="s">
        <v>146</v>
      </c>
      <c r="H879" s="2">
        <f>_xlfn.XLOOKUP(Table1_1[[#This Row],[CAS_rn]],[1]analyte_order!$C:$C,[1]analyte_order!$E:$E)</f>
        <v>40</v>
      </c>
      <c r="I879">
        <v>1.25</v>
      </c>
    </row>
    <row r="880" spans="1:9" x14ac:dyDescent="0.3">
      <c r="A880" s="2" t="s">
        <v>70</v>
      </c>
      <c r="B880" s="3">
        <v>44299.5</v>
      </c>
      <c r="C880" s="1" t="str">
        <f t="shared" si="13"/>
        <v>21104</v>
      </c>
      <c r="D880" t="s">
        <v>31</v>
      </c>
      <c r="E880" s="2" t="s">
        <v>27</v>
      </c>
      <c r="F880" s="2" t="str">
        <f>_xlfn.XLOOKUP(Table1_1[[#This Row],[CAS_rn]],[1]analyte_order!$C:$C,[1]analyte_order!$B:$B)</f>
        <v>PFDS</v>
      </c>
      <c r="G880" t="s">
        <v>147</v>
      </c>
      <c r="H880" s="2">
        <f>_xlfn.XLOOKUP(Table1_1[[#This Row],[CAS_rn]],[1]analyte_order!$C:$C,[1]analyte_order!$E:$E)</f>
        <v>20</v>
      </c>
      <c r="I880">
        <v>4.9000000000000002E-2</v>
      </c>
    </row>
    <row r="881" spans="1:9" x14ac:dyDescent="0.3">
      <c r="A881" s="2" t="s">
        <v>70</v>
      </c>
      <c r="B881" s="3">
        <v>44299.5</v>
      </c>
      <c r="C881" s="1" t="str">
        <f t="shared" si="13"/>
        <v>21104</v>
      </c>
      <c r="D881" t="s">
        <v>31</v>
      </c>
      <c r="E881" s="2" t="s">
        <v>27</v>
      </c>
      <c r="F881" s="2" t="str">
        <f>_xlfn.XLOOKUP(Table1_1[[#This Row],[CAS_rn]],[1]analyte_order!$C:$C,[1]analyte_order!$B:$B)</f>
        <v>PFMPA</v>
      </c>
      <c r="G881" t="s">
        <v>148</v>
      </c>
      <c r="H881" s="2">
        <f>_xlfn.XLOOKUP(Table1_1[[#This Row],[CAS_rn]],[1]analyte_order!$C:$C,[1]analyte_order!$E:$E)</f>
        <v>49</v>
      </c>
      <c r="I881">
        <v>0.1</v>
      </c>
    </row>
    <row r="882" spans="1:9" x14ac:dyDescent="0.3">
      <c r="A882" s="2" t="s">
        <v>71</v>
      </c>
      <c r="B882" s="3">
        <v>44299.5</v>
      </c>
      <c r="C882" s="1" t="str">
        <f t="shared" si="13"/>
        <v>21104</v>
      </c>
      <c r="D882" t="s">
        <v>33</v>
      </c>
      <c r="E882" s="2" t="s">
        <v>27</v>
      </c>
      <c r="F882" s="2" t="str">
        <f>_xlfn.XLOOKUP(Table1_1[[#This Row],[CAS_rn]],[1]analyte_order!$C:$C,[1]analyte_order!$B:$B)</f>
        <v>PFBA</v>
      </c>
      <c r="G882" t="s">
        <v>109</v>
      </c>
      <c r="H882" s="2">
        <f>_xlfn.XLOOKUP(Table1_1[[#This Row],[CAS_rn]],[1]analyte_order!$C:$C,[1]analyte_order!$E:$E)</f>
        <v>1</v>
      </c>
      <c r="I882">
        <v>0.19500000000000001</v>
      </c>
    </row>
    <row r="883" spans="1:9" x14ac:dyDescent="0.3">
      <c r="A883" s="2" t="s">
        <v>71</v>
      </c>
      <c r="B883" s="3">
        <v>44299.5</v>
      </c>
      <c r="C883" s="1" t="str">
        <f t="shared" si="13"/>
        <v>21104</v>
      </c>
      <c r="D883" t="s">
        <v>33</v>
      </c>
      <c r="E883" s="2" t="s">
        <v>27</v>
      </c>
      <c r="F883" s="2" t="str">
        <f>_xlfn.XLOOKUP(Table1_1[[#This Row],[CAS_rn]],[1]analyte_order!$C:$C,[1]analyte_order!$B:$B)</f>
        <v>PFPeA</v>
      </c>
      <c r="G883" t="s">
        <v>110</v>
      </c>
      <c r="H883" s="2">
        <f>_xlfn.XLOOKUP(Table1_1[[#This Row],[CAS_rn]],[1]analyte_order!$C:$C,[1]analyte_order!$E:$E)</f>
        <v>2</v>
      </c>
      <c r="I883">
        <v>0.1</v>
      </c>
    </row>
    <row r="884" spans="1:9" x14ac:dyDescent="0.3">
      <c r="A884" s="2" t="s">
        <v>71</v>
      </c>
      <c r="B884" s="3">
        <v>44299.5</v>
      </c>
      <c r="C884" s="1" t="str">
        <f t="shared" si="13"/>
        <v>21104</v>
      </c>
      <c r="D884" t="s">
        <v>33</v>
      </c>
      <c r="E884" s="2" t="s">
        <v>27</v>
      </c>
      <c r="F884" s="2" t="str">
        <f>_xlfn.XLOOKUP(Table1_1[[#This Row],[CAS_rn]],[1]analyte_order!$C:$C,[1]analyte_order!$B:$B)</f>
        <v>PFHxA</v>
      </c>
      <c r="G884" t="s">
        <v>111</v>
      </c>
      <c r="H884" s="2">
        <f>_xlfn.XLOOKUP(Table1_1[[#This Row],[CAS_rn]],[1]analyte_order!$C:$C,[1]analyte_order!$E:$E)</f>
        <v>3</v>
      </c>
      <c r="I884">
        <v>0.09</v>
      </c>
    </row>
    <row r="885" spans="1:9" x14ac:dyDescent="0.3">
      <c r="A885" s="2" t="s">
        <v>71</v>
      </c>
      <c r="B885" s="3">
        <v>44299.5</v>
      </c>
      <c r="C885" s="1" t="str">
        <f t="shared" si="13"/>
        <v>21104</v>
      </c>
      <c r="D885" t="s">
        <v>33</v>
      </c>
      <c r="E885" s="2" t="s">
        <v>27</v>
      </c>
      <c r="F885" s="2" t="str">
        <f>_xlfn.XLOOKUP(Table1_1[[#This Row],[CAS_rn]],[1]analyte_order!$C:$C,[1]analyte_order!$B:$B)</f>
        <v>PFHpA</v>
      </c>
      <c r="G885" t="s">
        <v>112</v>
      </c>
      <c r="H885" s="2">
        <f>_xlfn.XLOOKUP(Table1_1[[#This Row],[CAS_rn]],[1]analyte_order!$C:$C,[1]analyte_order!$E:$E)</f>
        <v>4</v>
      </c>
      <c r="I885">
        <v>0.09</v>
      </c>
    </row>
    <row r="886" spans="1:9" x14ac:dyDescent="0.3">
      <c r="A886" s="2" t="s">
        <v>71</v>
      </c>
      <c r="B886" s="3">
        <v>44299.5</v>
      </c>
      <c r="C886" s="1" t="str">
        <f t="shared" si="13"/>
        <v>21104</v>
      </c>
      <c r="D886" t="s">
        <v>33</v>
      </c>
      <c r="E886" s="2" t="s">
        <v>27</v>
      </c>
      <c r="F886" s="2" t="str">
        <f>_xlfn.XLOOKUP(Table1_1[[#This Row],[CAS_rn]],[1]analyte_order!$C:$C,[1]analyte_order!$B:$B)</f>
        <v>PFOA</v>
      </c>
      <c r="G886" t="s">
        <v>113</v>
      </c>
      <c r="H886" s="2">
        <f>_xlfn.XLOOKUP(Table1_1[[#This Row],[CAS_rn]],[1]analyte_order!$C:$C,[1]analyte_order!$E:$E)</f>
        <v>5</v>
      </c>
      <c r="I886">
        <v>0.08</v>
      </c>
    </row>
    <row r="887" spans="1:9" x14ac:dyDescent="0.3">
      <c r="A887" s="2" t="s">
        <v>71</v>
      </c>
      <c r="B887" s="3">
        <v>44299.5</v>
      </c>
      <c r="C887" s="1" t="str">
        <f t="shared" si="13"/>
        <v>21104</v>
      </c>
      <c r="D887" t="s">
        <v>33</v>
      </c>
      <c r="E887" s="2" t="s">
        <v>27</v>
      </c>
      <c r="F887" s="2" t="str">
        <f>_xlfn.XLOOKUP(Table1_1[[#This Row],[CAS_rn]],[1]analyte_order!$C:$C,[1]analyte_order!$B:$B)</f>
        <v>PFNA</v>
      </c>
      <c r="G887" t="s">
        <v>114</v>
      </c>
      <c r="H887" s="2">
        <f>_xlfn.XLOOKUP(Table1_1[[#This Row],[CAS_rn]],[1]analyte_order!$C:$C,[1]analyte_order!$E:$E)</f>
        <v>6</v>
      </c>
      <c r="I887">
        <v>4.9500000000000002E-2</v>
      </c>
    </row>
    <row r="888" spans="1:9" x14ac:dyDescent="0.3">
      <c r="A888" s="2" t="s">
        <v>71</v>
      </c>
      <c r="B888" s="3">
        <v>44299.5</v>
      </c>
      <c r="C888" s="1" t="str">
        <f t="shared" si="13"/>
        <v>21104</v>
      </c>
      <c r="D888" t="s">
        <v>33</v>
      </c>
      <c r="E888" s="2" t="s">
        <v>27</v>
      </c>
      <c r="F888" s="2" t="str">
        <f>_xlfn.XLOOKUP(Table1_1[[#This Row],[CAS_rn]],[1]analyte_order!$C:$C,[1]analyte_order!$B:$B)</f>
        <v>PFDA</v>
      </c>
      <c r="G888" t="s">
        <v>115</v>
      </c>
      <c r="H888" s="2">
        <f>_xlfn.XLOOKUP(Table1_1[[#This Row],[CAS_rn]],[1]analyte_order!$C:$C,[1]analyte_order!$E:$E)</f>
        <v>7</v>
      </c>
      <c r="I888">
        <v>4.9500000000000002E-2</v>
      </c>
    </row>
    <row r="889" spans="1:9" x14ac:dyDescent="0.3">
      <c r="A889" s="2" t="s">
        <v>71</v>
      </c>
      <c r="B889" s="3">
        <v>44299.5</v>
      </c>
      <c r="C889" s="1" t="str">
        <f t="shared" si="13"/>
        <v>21104</v>
      </c>
      <c r="D889" t="s">
        <v>33</v>
      </c>
      <c r="E889" s="2" t="s">
        <v>27</v>
      </c>
      <c r="F889" s="2" t="str">
        <f>_xlfn.XLOOKUP(Table1_1[[#This Row],[CAS_rn]],[1]analyte_order!$C:$C,[1]analyte_order!$B:$B)</f>
        <v>PFUnA</v>
      </c>
      <c r="G889" t="s">
        <v>116</v>
      </c>
      <c r="H889" s="2">
        <f>_xlfn.XLOOKUP(Table1_1[[#This Row],[CAS_rn]],[1]analyte_order!$C:$C,[1]analyte_order!$E:$E)</f>
        <v>8</v>
      </c>
      <c r="I889">
        <v>4.9500000000000002E-2</v>
      </c>
    </row>
    <row r="890" spans="1:9" x14ac:dyDescent="0.3">
      <c r="A890" s="2" t="s">
        <v>71</v>
      </c>
      <c r="B890" s="3">
        <v>44299.5</v>
      </c>
      <c r="C890" s="1" t="str">
        <f t="shared" si="13"/>
        <v>21104</v>
      </c>
      <c r="D890" t="s">
        <v>33</v>
      </c>
      <c r="E890" s="2" t="s">
        <v>27</v>
      </c>
      <c r="F890" s="2" t="str">
        <f>_xlfn.XLOOKUP(Table1_1[[#This Row],[CAS_rn]],[1]analyte_order!$C:$C,[1]analyte_order!$B:$B)</f>
        <v>PFDoA</v>
      </c>
      <c r="G890" t="s">
        <v>117</v>
      </c>
      <c r="H890" s="2">
        <f>_xlfn.XLOOKUP(Table1_1[[#This Row],[CAS_rn]],[1]analyte_order!$C:$C,[1]analyte_order!$E:$E)</f>
        <v>9</v>
      </c>
      <c r="I890">
        <v>4.9500000000000002E-2</v>
      </c>
    </row>
    <row r="891" spans="1:9" x14ac:dyDescent="0.3">
      <c r="A891" s="2" t="s">
        <v>71</v>
      </c>
      <c r="B891" s="3">
        <v>44299.5</v>
      </c>
      <c r="C891" s="1" t="str">
        <f t="shared" si="13"/>
        <v>21104</v>
      </c>
      <c r="D891" t="s">
        <v>33</v>
      </c>
      <c r="E891" s="2" t="s">
        <v>27</v>
      </c>
      <c r="F891" s="2" t="str">
        <f>_xlfn.XLOOKUP(Table1_1[[#This Row],[CAS_rn]],[1]analyte_order!$C:$C,[1]analyte_order!$B:$B)</f>
        <v>PFTrDA</v>
      </c>
      <c r="G891" t="s">
        <v>118</v>
      </c>
      <c r="H891" s="2">
        <f>_xlfn.XLOOKUP(Table1_1[[#This Row],[CAS_rn]],[1]analyte_order!$C:$C,[1]analyte_order!$E:$E)</f>
        <v>10</v>
      </c>
      <c r="I891">
        <v>4.9500000000000002E-2</v>
      </c>
    </row>
    <row r="892" spans="1:9" x14ac:dyDescent="0.3">
      <c r="A892" s="2" t="s">
        <v>71</v>
      </c>
      <c r="B892" s="3">
        <v>44299.5</v>
      </c>
      <c r="C892" s="1" t="str">
        <f t="shared" si="13"/>
        <v>21104</v>
      </c>
      <c r="D892" t="s">
        <v>33</v>
      </c>
      <c r="E892" s="2" t="s">
        <v>27</v>
      </c>
      <c r="F892" s="2" t="str">
        <f>_xlfn.XLOOKUP(Table1_1[[#This Row],[CAS_rn]],[1]analyte_order!$C:$C,[1]analyte_order!$B:$B)</f>
        <v>PFTeDA</v>
      </c>
      <c r="G892" t="s">
        <v>119</v>
      </c>
      <c r="H892" s="2">
        <f>_xlfn.XLOOKUP(Table1_1[[#This Row],[CAS_rn]],[1]analyte_order!$C:$C,[1]analyte_order!$E:$E)</f>
        <v>11</v>
      </c>
      <c r="I892">
        <v>4.9500000000000002E-2</v>
      </c>
    </row>
    <row r="893" spans="1:9" x14ac:dyDescent="0.3">
      <c r="A893" s="2" t="s">
        <v>71</v>
      </c>
      <c r="B893" s="3">
        <v>44299.5</v>
      </c>
      <c r="C893" s="1" t="str">
        <f t="shared" si="13"/>
        <v>21104</v>
      </c>
      <c r="D893" t="s">
        <v>33</v>
      </c>
      <c r="E893" s="2" t="s">
        <v>27</v>
      </c>
      <c r="F893" s="2" t="str">
        <f>_xlfn.XLOOKUP(Table1_1[[#This Row],[CAS_rn]],[1]analyte_order!$C:$C,[1]analyte_order!$B:$B)</f>
        <v>PFBS</v>
      </c>
      <c r="G893" t="s">
        <v>120</v>
      </c>
      <c r="H893" s="2">
        <f>_xlfn.XLOOKUP(Table1_1[[#This Row],[CAS_rn]],[1]analyte_order!$C:$C,[1]analyte_order!$E:$E)</f>
        <v>14</v>
      </c>
      <c r="I893">
        <v>4.9500000000000002E-2</v>
      </c>
    </row>
    <row r="894" spans="1:9" x14ac:dyDescent="0.3">
      <c r="A894" s="2" t="s">
        <v>71</v>
      </c>
      <c r="B894" s="3">
        <v>44299.5</v>
      </c>
      <c r="C894" s="1" t="str">
        <f t="shared" si="13"/>
        <v>21104</v>
      </c>
      <c r="D894" t="s">
        <v>33</v>
      </c>
      <c r="E894" s="2" t="s">
        <v>27</v>
      </c>
      <c r="F894" s="2" t="str">
        <f>_xlfn.XLOOKUP(Table1_1[[#This Row],[CAS_rn]],[1]analyte_order!$C:$C,[1]analyte_order!$B:$B)</f>
        <v>PFPeS</v>
      </c>
      <c r="G894" t="s">
        <v>121</v>
      </c>
      <c r="H894" s="2">
        <f>_xlfn.XLOOKUP(Table1_1[[#This Row],[CAS_rn]],[1]analyte_order!$C:$C,[1]analyte_order!$E:$E)</f>
        <v>15</v>
      </c>
      <c r="I894">
        <v>4.9500000000000002E-2</v>
      </c>
    </row>
    <row r="895" spans="1:9" x14ac:dyDescent="0.3">
      <c r="A895" s="2" t="s">
        <v>71</v>
      </c>
      <c r="B895" s="3">
        <v>44299.5</v>
      </c>
      <c r="C895" s="1" t="str">
        <f t="shared" si="13"/>
        <v>21104</v>
      </c>
      <c r="D895" t="s">
        <v>33</v>
      </c>
      <c r="E895" s="2" t="s">
        <v>27</v>
      </c>
      <c r="F895" s="2" t="str">
        <f>_xlfn.XLOOKUP(Table1_1[[#This Row],[CAS_rn]],[1]analyte_order!$C:$C,[1]analyte_order!$B:$B)</f>
        <v>PFHxS</v>
      </c>
      <c r="G895" t="s">
        <v>122</v>
      </c>
      <c r="H895" s="2">
        <f>_xlfn.XLOOKUP(Table1_1[[#This Row],[CAS_rn]],[1]analyte_order!$C:$C,[1]analyte_order!$E:$E)</f>
        <v>16</v>
      </c>
      <c r="I895">
        <v>0.22</v>
      </c>
    </row>
    <row r="896" spans="1:9" x14ac:dyDescent="0.3">
      <c r="A896" s="2" t="s">
        <v>71</v>
      </c>
      <c r="B896" s="3">
        <v>44299.5</v>
      </c>
      <c r="C896" s="1" t="str">
        <f t="shared" si="13"/>
        <v>21104</v>
      </c>
      <c r="D896" t="s">
        <v>33</v>
      </c>
      <c r="E896" s="2" t="s">
        <v>27</v>
      </c>
      <c r="F896" s="2" t="str">
        <f>_xlfn.XLOOKUP(Table1_1[[#This Row],[CAS_rn]],[1]analyte_order!$C:$C,[1]analyte_order!$B:$B)</f>
        <v>PFHpS</v>
      </c>
      <c r="G896" t="s">
        <v>123</v>
      </c>
      <c r="H896" s="2">
        <f>_xlfn.XLOOKUP(Table1_1[[#This Row],[CAS_rn]],[1]analyte_order!$C:$C,[1]analyte_order!$E:$E)</f>
        <v>17</v>
      </c>
      <c r="I896">
        <v>4.9500000000000002E-2</v>
      </c>
    </row>
    <row r="897" spans="1:9" x14ac:dyDescent="0.3">
      <c r="A897" s="2" t="s">
        <v>71</v>
      </c>
      <c r="B897" s="3">
        <v>44299.5</v>
      </c>
      <c r="C897" s="1" t="str">
        <f t="shared" si="13"/>
        <v>21104</v>
      </c>
      <c r="D897" t="s">
        <v>33</v>
      </c>
      <c r="E897" s="2" t="s">
        <v>27</v>
      </c>
      <c r="F897" s="2" t="str">
        <f>_xlfn.XLOOKUP(Table1_1[[#This Row],[CAS_rn]],[1]analyte_order!$C:$C,[1]analyte_order!$B:$B)</f>
        <v>PFOS</v>
      </c>
      <c r="G897" t="s">
        <v>124</v>
      </c>
      <c r="H897" s="2">
        <f>_xlfn.XLOOKUP(Table1_1[[#This Row],[CAS_rn]],[1]analyte_order!$C:$C,[1]analyte_order!$E:$E)</f>
        <v>18</v>
      </c>
      <c r="I897">
        <v>1.2</v>
      </c>
    </row>
    <row r="898" spans="1:9" x14ac:dyDescent="0.3">
      <c r="A898" s="2" t="s">
        <v>71</v>
      </c>
      <c r="B898" s="3">
        <v>44299.5</v>
      </c>
      <c r="C898" s="1" t="str">
        <f t="shared" si="13"/>
        <v>21104</v>
      </c>
      <c r="D898" t="s">
        <v>33</v>
      </c>
      <c r="E898" s="2" t="s">
        <v>27</v>
      </c>
      <c r="F898" s="2" t="str">
        <f>_xlfn.XLOOKUP(Table1_1[[#This Row],[CAS_rn]],[1]analyte_order!$C:$C,[1]analyte_order!$B:$B)</f>
        <v>PFNS</v>
      </c>
      <c r="G898" t="s">
        <v>125</v>
      </c>
      <c r="H898" s="2">
        <f>_xlfn.XLOOKUP(Table1_1[[#This Row],[CAS_rn]],[1]analyte_order!$C:$C,[1]analyte_order!$E:$E)</f>
        <v>19</v>
      </c>
      <c r="I898">
        <v>4.9500000000000002E-2</v>
      </c>
    </row>
    <row r="899" spans="1:9" x14ac:dyDescent="0.3">
      <c r="A899" s="2" t="s">
        <v>71</v>
      </c>
      <c r="B899" s="3">
        <v>44299.5</v>
      </c>
      <c r="C899" s="1" t="str">
        <f t="shared" ref="C899:C962" si="14">TEXT(B899,"yy")&amp;TEXT((B899-DATEVALUE("1/1/"&amp;TEXT(B899,"yy"))+1),"000")</f>
        <v>21104</v>
      </c>
      <c r="D899" t="s">
        <v>33</v>
      </c>
      <c r="E899" s="2" t="s">
        <v>27</v>
      </c>
      <c r="F899" s="2" t="str">
        <f>_xlfn.XLOOKUP(Table1_1[[#This Row],[CAS_rn]],[1]analyte_order!$C:$C,[1]analyte_order!$B:$B)</f>
        <v>PFDoS</v>
      </c>
      <c r="G899" t="s">
        <v>126</v>
      </c>
      <c r="H899" s="2">
        <f>_xlfn.XLOOKUP(Table1_1[[#This Row],[CAS_rn]],[1]analyte_order!$C:$C,[1]analyte_order!$E:$E)</f>
        <v>21</v>
      </c>
      <c r="I899">
        <v>4.9500000000000002E-2</v>
      </c>
    </row>
    <row r="900" spans="1:9" x14ac:dyDescent="0.3">
      <c r="A900" s="2" t="s">
        <v>71</v>
      </c>
      <c r="B900" s="3">
        <v>44299.5</v>
      </c>
      <c r="C900" s="1" t="str">
        <f t="shared" si="14"/>
        <v>21104</v>
      </c>
      <c r="D900" t="s">
        <v>33</v>
      </c>
      <c r="E900" s="2" t="s">
        <v>27</v>
      </c>
      <c r="F900" s="2" t="str">
        <f>_xlfn.XLOOKUP(Table1_1[[#This Row],[CAS_rn]],[1]analyte_order!$C:$C,[1]analyte_order!$B:$B)</f>
        <v>4:2 FTS</v>
      </c>
      <c r="G900" t="s">
        <v>127</v>
      </c>
      <c r="H900" s="2">
        <f>_xlfn.XLOOKUP(Table1_1[[#This Row],[CAS_rn]],[1]analyte_order!$C:$C,[1]analyte_order!$E:$E)</f>
        <v>22</v>
      </c>
      <c r="I900">
        <v>0.19500000000000001</v>
      </c>
    </row>
    <row r="901" spans="1:9" x14ac:dyDescent="0.3">
      <c r="A901" s="2" t="s">
        <v>71</v>
      </c>
      <c r="B901" s="3">
        <v>44299.5</v>
      </c>
      <c r="C901" s="1" t="str">
        <f t="shared" si="14"/>
        <v>21104</v>
      </c>
      <c r="D901" t="s">
        <v>33</v>
      </c>
      <c r="E901" s="2" t="s">
        <v>27</v>
      </c>
      <c r="F901" s="2" t="str">
        <f>_xlfn.XLOOKUP(Table1_1[[#This Row],[CAS_rn]],[1]analyte_order!$C:$C,[1]analyte_order!$B:$B)</f>
        <v>6:2 FTS</v>
      </c>
      <c r="G901" t="s">
        <v>128</v>
      </c>
      <c r="H901" s="2">
        <f>_xlfn.XLOOKUP(Table1_1[[#This Row],[CAS_rn]],[1]analyte_order!$C:$C,[1]analyte_order!$E:$E)</f>
        <v>23</v>
      </c>
      <c r="I901">
        <v>0.39500000000000002</v>
      </c>
    </row>
    <row r="902" spans="1:9" x14ac:dyDescent="0.3">
      <c r="A902" s="2" t="s">
        <v>71</v>
      </c>
      <c r="B902" s="3">
        <v>44299.5</v>
      </c>
      <c r="C902" s="1" t="str">
        <f t="shared" si="14"/>
        <v>21104</v>
      </c>
      <c r="D902" t="s">
        <v>33</v>
      </c>
      <c r="E902" s="2" t="s">
        <v>27</v>
      </c>
      <c r="F902" s="2" t="str">
        <f>_xlfn.XLOOKUP(Table1_1[[#This Row],[CAS_rn]],[1]analyte_order!$C:$C,[1]analyte_order!$B:$B)</f>
        <v>8:2 FTS</v>
      </c>
      <c r="G902" t="s">
        <v>129</v>
      </c>
      <c r="H902" s="2">
        <f>_xlfn.XLOOKUP(Table1_1[[#This Row],[CAS_rn]],[1]analyte_order!$C:$C,[1]analyte_order!$E:$E)</f>
        <v>24</v>
      </c>
      <c r="I902">
        <v>0.39500000000000002</v>
      </c>
    </row>
    <row r="903" spans="1:9" x14ac:dyDescent="0.3">
      <c r="A903" s="2" t="s">
        <v>71</v>
      </c>
      <c r="B903" s="3">
        <v>44299.5</v>
      </c>
      <c r="C903" s="1" t="str">
        <f t="shared" si="14"/>
        <v>21104</v>
      </c>
      <c r="D903" t="s">
        <v>33</v>
      </c>
      <c r="E903" s="2" t="s">
        <v>27</v>
      </c>
      <c r="F903" s="2" t="str">
        <f>_xlfn.XLOOKUP(Table1_1[[#This Row],[CAS_rn]],[1]analyte_order!$C:$C,[1]analyte_order!$B:$B)</f>
        <v>FOSA</v>
      </c>
      <c r="G903" t="s">
        <v>130</v>
      </c>
      <c r="H903" s="2">
        <f>_xlfn.XLOOKUP(Table1_1[[#This Row],[CAS_rn]],[1]analyte_order!$C:$C,[1]analyte_order!$E:$E)</f>
        <v>28</v>
      </c>
      <c r="I903">
        <v>0.09</v>
      </c>
    </row>
    <row r="904" spans="1:9" x14ac:dyDescent="0.3">
      <c r="A904" s="2" t="s">
        <v>71</v>
      </c>
      <c r="B904" s="3">
        <v>44299.5</v>
      </c>
      <c r="C904" s="1" t="str">
        <f t="shared" si="14"/>
        <v>21104</v>
      </c>
      <c r="D904" t="s">
        <v>33</v>
      </c>
      <c r="E904" s="2" t="s">
        <v>27</v>
      </c>
      <c r="F904" s="2" t="str">
        <f>_xlfn.XLOOKUP(Table1_1[[#This Row],[CAS_rn]],[1]analyte_order!$C:$C,[1]analyte_order!$B:$B)</f>
        <v>N-MeFOSA</v>
      </c>
      <c r="G904" t="s">
        <v>131</v>
      </c>
      <c r="H904" s="2">
        <f>_xlfn.XLOOKUP(Table1_1[[#This Row],[CAS_rn]],[1]analyte_order!$C:$C,[1]analyte_order!$E:$E)</f>
        <v>30</v>
      </c>
      <c r="I904">
        <v>4.9500000000000002E-2</v>
      </c>
    </row>
    <row r="905" spans="1:9" x14ac:dyDescent="0.3">
      <c r="A905" s="2" t="s">
        <v>71</v>
      </c>
      <c r="B905" s="3">
        <v>44299.5</v>
      </c>
      <c r="C905" s="1" t="str">
        <f t="shared" si="14"/>
        <v>21104</v>
      </c>
      <c r="D905" t="s">
        <v>33</v>
      </c>
      <c r="E905" s="2" t="s">
        <v>27</v>
      </c>
      <c r="F905" s="2" t="str">
        <f>_xlfn.XLOOKUP(Table1_1[[#This Row],[CAS_rn]],[1]analyte_order!$C:$C,[1]analyte_order!$B:$B)</f>
        <v>N-MeFOSAA</v>
      </c>
      <c r="G905" t="s">
        <v>132</v>
      </c>
      <c r="H905" s="2">
        <f>_xlfn.XLOOKUP(Table1_1[[#This Row],[CAS_rn]],[1]analyte_order!$C:$C,[1]analyte_order!$E:$E)</f>
        <v>26</v>
      </c>
      <c r="I905">
        <v>4.9500000000000002E-2</v>
      </c>
    </row>
    <row r="906" spans="1:9" x14ac:dyDescent="0.3">
      <c r="A906" s="2" t="s">
        <v>71</v>
      </c>
      <c r="B906" s="3">
        <v>44299.5</v>
      </c>
      <c r="C906" s="1" t="str">
        <f t="shared" si="14"/>
        <v>21104</v>
      </c>
      <c r="D906" t="s">
        <v>33</v>
      </c>
      <c r="E906" s="2" t="s">
        <v>27</v>
      </c>
      <c r="F906" s="2" t="str">
        <f>_xlfn.XLOOKUP(Table1_1[[#This Row],[CAS_rn]],[1]analyte_order!$C:$C,[1]analyte_order!$B:$B)</f>
        <v>N-EtFOSA</v>
      </c>
      <c r="G906" t="s">
        <v>133</v>
      </c>
      <c r="H906" s="2">
        <f>_xlfn.XLOOKUP(Table1_1[[#This Row],[CAS_rn]],[1]analyte_order!$C:$C,[1]analyte_order!$E:$E)</f>
        <v>31</v>
      </c>
      <c r="I906">
        <v>4.9500000000000002E-2</v>
      </c>
    </row>
    <row r="907" spans="1:9" x14ac:dyDescent="0.3">
      <c r="A907" s="2" t="s">
        <v>71</v>
      </c>
      <c r="B907" s="3">
        <v>44299.5</v>
      </c>
      <c r="C907" s="1" t="str">
        <f t="shared" si="14"/>
        <v>21104</v>
      </c>
      <c r="D907" t="s">
        <v>33</v>
      </c>
      <c r="E907" s="2" t="s">
        <v>27</v>
      </c>
      <c r="F907" s="2" t="str">
        <f>_xlfn.XLOOKUP(Table1_1[[#This Row],[CAS_rn]],[1]analyte_order!$C:$C,[1]analyte_order!$B:$B)</f>
        <v>N-EtFOSAA</v>
      </c>
      <c r="G907" t="s">
        <v>134</v>
      </c>
      <c r="H907" s="2">
        <f>_xlfn.XLOOKUP(Table1_1[[#This Row],[CAS_rn]],[1]analyte_order!$C:$C,[1]analyte_order!$E:$E)</f>
        <v>27</v>
      </c>
      <c r="I907">
        <v>4.9500000000000002E-2</v>
      </c>
    </row>
    <row r="908" spans="1:9" x14ac:dyDescent="0.3">
      <c r="A908" s="2" t="s">
        <v>71</v>
      </c>
      <c r="B908" s="3">
        <v>44299.5</v>
      </c>
      <c r="C908" s="1" t="str">
        <f t="shared" si="14"/>
        <v>21104</v>
      </c>
      <c r="D908" t="s">
        <v>33</v>
      </c>
      <c r="E908" s="2" t="s">
        <v>27</v>
      </c>
      <c r="F908" s="2" t="str">
        <f>_xlfn.XLOOKUP(Table1_1[[#This Row],[CAS_rn]],[1]analyte_order!$C:$C,[1]analyte_order!$B:$B)</f>
        <v>N-MeFOSE</v>
      </c>
      <c r="G908" t="s">
        <v>135</v>
      </c>
      <c r="H908" s="2">
        <f>_xlfn.XLOOKUP(Table1_1[[#This Row],[CAS_rn]],[1]analyte_order!$C:$C,[1]analyte_order!$E:$E)</f>
        <v>32</v>
      </c>
      <c r="I908">
        <v>0.495</v>
      </c>
    </row>
    <row r="909" spans="1:9" x14ac:dyDescent="0.3">
      <c r="A909" s="2" t="s">
        <v>71</v>
      </c>
      <c r="B909" s="3">
        <v>44299.5</v>
      </c>
      <c r="C909" s="1" t="str">
        <f t="shared" si="14"/>
        <v>21104</v>
      </c>
      <c r="D909" t="s">
        <v>33</v>
      </c>
      <c r="E909" s="2" t="s">
        <v>27</v>
      </c>
      <c r="F909" s="2" t="str">
        <f>_xlfn.XLOOKUP(Table1_1[[#This Row],[CAS_rn]],[1]analyte_order!$C:$C,[1]analyte_order!$B:$B)</f>
        <v>N-EtFOSE</v>
      </c>
      <c r="G909" t="s">
        <v>136</v>
      </c>
      <c r="H909" s="2">
        <f>_xlfn.XLOOKUP(Table1_1[[#This Row],[CAS_rn]],[1]analyte_order!$C:$C,[1]analyte_order!$E:$E)</f>
        <v>33</v>
      </c>
      <c r="I909">
        <v>0.495</v>
      </c>
    </row>
    <row r="910" spans="1:9" x14ac:dyDescent="0.3">
      <c r="A910" s="2" t="s">
        <v>71</v>
      </c>
      <c r="B910" s="3">
        <v>44299.5</v>
      </c>
      <c r="C910" s="1" t="str">
        <f t="shared" si="14"/>
        <v>21104</v>
      </c>
      <c r="D910" t="s">
        <v>33</v>
      </c>
      <c r="E910" s="2" t="s">
        <v>27</v>
      </c>
      <c r="F910" s="2" t="str">
        <f>_xlfn.XLOOKUP(Table1_1[[#This Row],[CAS_rn]],[1]analyte_order!$C:$C,[1]analyte_order!$B:$B)</f>
        <v>HFPO-DA</v>
      </c>
      <c r="G910" t="s">
        <v>137</v>
      </c>
      <c r="H910" s="2">
        <f>_xlfn.XLOOKUP(Table1_1[[#This Row],[CAS_rn]],[1]analyte_order!$C:$C,[1]analyte_order!$E:$E)</f>
        <v>34</v>
      </c>
      <c r="I910">
        <v>0.29499999999999998</v>
      </c>
    </row>
    <row r="911" spans="1:9" x14ac:dyDescent="0.3">
      <c r="A911" s="2" t="s">
        <v>71</v>
      </c>
      <c r="B911" s="3">
        <v>44299.5</v>
      </c>
      <c r="C911" s="1" t="str">
        <f t="shared" si="14"/>
        <v>21104</v>
      </c>
      <c r="D911" t="s">
        <v>33</v>
      </c>
      <c r="E911" s="2" t="s">
        <v>27</v>
      </c>
      <c r="F911" s="2" t="str">
        <f>_xlfn.XLOOKUP(Table1_1[[#This Row],[CAS_rn]],[1]analyte_order!$C:$C,[1]analyte_order!$B:$B)</f>
        <v>ADONA</v>
      </c>
      <c r="G911" t="s">
        <v>138</v>
      </c>
      <c r="H911" s="2">
        <f>_xlfn.XLOOKUP(Table1_1[[#This Row],[CAS_rn]],[1]analyte_order!$C:$C,[1]analyte_order!$E:$E)</f>
        <v>35</v>
      </c>
      <c r="I911">
        <v>0.19500000000000001</v>
      </c>
    </row>
    <row r="912" spans="1:9" x14ac:dyDescent="0.3">
      <c r="A912" s="2" t="s">
        <v>71</v>
      </c>
      <c r="B912" s="3">
        <v>44299.5</v>
      </c>
      <c r="C912" s="1" t="str">
        <f t="shared" si="14"/>
        <v>21104</v>
      </c>
      <c r="D912" t="s">
        <v>33</v>
      </c>
      <c r="E912" s="2" t="s">
        <v>27</v>
      </c>
      <c r="F912" s="2" t="str">
        <f>_xlfn.XLOOKUP(Table1_1[[#This Row],[CAS_rn]],[1]analyte_order!$C:$C,[1]analyte_order!$B:$B)</f>
        <v>PFMBA</v>
      </c>
      <c r="G912" t="s">
        <v>139</v>
      </c>
      <c r="H912" s="2">
        <f>_xlfn.XLOOKUP(Table1_1[[#This Row],[CAS_rn]],[1]analyte_order!$C:$C,[1]analyte_order!$E:$E)</f>
        <v>48</v>
      </c>
      <c r="I912">
        <v>0.1</v>
      </c>
    </row>
    <row r="913" spans="1:9" x14ac:dyDescent="0.3">
      <c r="A913" s="2" t="s">
        <v>71</v>
      </c>
      <c r="B913" s="3">
        <v>44299.5</v>
      </c>
      <c r="C913" s="1" t="str">
        <f t="shared" si="14"/>
        <v>21104</v>
      </c>
      <c r="D913" t="s">
        <v>33</v>
      </c>
      <c r="E913" s="2" t="s">
        <v>27</v>
      </c>
      <c r="F913" s="2" t="str">
        <f>_xlfn.XLOOKUP(Table1_1[[#This Row],[CAS_rn]],[1]analyte_order!$C:$C,[1]analyte_order!$B:$B)</f>
        <v>NFDHA</v>
      </c>
      <c r="G913" t="s">
        <v>140</v>
      </c>
      <c r="H913" s="2">
        <f>_xlfn.XLOOKUP(Table1_1[[#This Row],[CAS_rn]],[1]analyte_order!$C:$C,[1]analyte_order!$E:$E)</f>
        <v>50</v>
      </c>
      <c r="I913">
        <v>0.1</v>
      </c>
    </row>
    <row r="914" spans="1:9" x14ac:dyDescent="0.3">
      <c r="A914" s="2" t="s">
        <v>71</v>
      </c>
      <c r="B914" s="3">
        <v>44299.5</v>
      </c>
      <c r="C914" s="1" t="str">
        <f t="shared" si="14"/>
        <v>21104</v>
      </c>
      <c r="D914" t="s">
        <v>33</v>
      </c>
      <c r="E914" s="2" t="s">
        <v>27</v>
      </c>
      <c r="F914" s="2" t="str">
        <f>_xlfn.XLOOKUP(Table1_1[[#This Row],[CAS_rn]],[1]analyte_order!$C:$C,[1]analyte_order!$B:$B)</f>
        <v>9Cl-PF3ONS</v>
      </c>
      <c r="G914" t="s">
        <v>141</v>
      </c>
      <c r="H914" s="2">
        <f>_xlfn.XLOOKUP(Table1_1[[#This Row],[CAS_rn]],[1]analyte_order!$C:$C,[1]analyte_order!$E:$E)</f>
        <v>36</v>
      </c>
      <c r="I914">
        <v>0.19500000000000001</v>
      </c>
    </row>
    <row r="915" spans="1:9" x14ac:dyDescent="0.3">
      <c r="A915" s="2" t="s">
        <v>71</v>
      </c>
      <c r="B915" s="3">
        <v>44299.5</v>
      </c>
      <c r="C915" s="1" t="str">
        <f t="shared" si="14"/>
        <v>21104</v>
      </c>
      <c r="D915" t="s">
        <v>33</v>
      </c>
      <c r="E915" s="2" t="s">
        <v>27</v>
      </c>
      <c r="F915" s="2" t="str">
        <f>_xlfn.XLOOKUP(Table1_1[[#This Row],[CAS_rn]],[1]analyte_order!$C:$C,[1]analyte_order!$B:$B)</f>
        <v>11Cl-PF3OUdS</v>
      </c>
      <c r="G915" t="s">
        <v>142</v>
      </c>
      <c r="H915" s="2">
        <f>_xlfn.XLOOKUP(Table1_1[[#This Row],[CAS_rn]],[1]analyte_order!$C:$C,[1]analyte_order!$E:$E)</f>
        <v>37</v>
      </c>
      <c r="I915">
        <v>0.19500000000000001</v>
      </c>
    </row>
    <row r="916" spans="1:9" x14ac:dyDescent="0.3">
      <c r="A916" s="2" t="s">
        <v>71</v>
      </c>
      <c r="B916" s="3">
        <v>44299.5</v>
      </c>
      <c r="C916" s="1" t="str">
        <f t="shared" si="14"/>
        <v>21104</v>
      </c>
      <c r="D916" t="s">
        <v>33</v>
      </c>
      <c r="E916" s="2" t="s">
        <v>27</v>
      </c>
      <c r="F916" s="2" t="str">
        <f>_xlfn.XLOOKUP(Table1_1[[#This Row],[CAS_rn]],[1]analyte_order!$C:$C,[1]analyte_order!$B:$B)</f>
        <v>PFEESA</v>
      </c>
      <c r="G916" t="s">
        <v>143</v>
      </c>
      <c r="H916" s="2">
        <f>_xlfn.XLOOKUP(Table1_1[[#This Row],[CAS_rn]],[1]analyte_order!$C:$C,[1]analyte_order!$E:$E)</f>
        <v>47</v>
      </c>
      <c r="I916">
        <v>0.1</v>
      </c>
    </row>
    <row r="917" spans="1:9" x14ac:dyDescent="0.3">
      <c r="A917" s="2" t="s">
        <v>71</v>
      </c>
      <c r="B917" s="3">
        <v>44299.5</v>
      </c>
      <c r="C917" s="1" t="str">
        <f t="shared" si="14"/>
        <v>21104</v>
      </c>
      <c r="D917" t="s">
        <v>33</v>
      </c>
      <c r="E917" s="2" t="s">
        <v>27</v>
      </c>
      <c r="F917" s="2" t="str">
        <f>_xlfn.XLOOKUP(Table1_1[[#This Row],[CAS_rn]],[1]analyte_order!$C:$C,[1]analyte_order!$B:$B)</f>
        <v>3:3 FTCA</v>
      </c>
      <c r="G917" t="s">
        <v>144</v>
      </c>
      <c r="H917" s="2">
        <f>_xlfn.XLOOKUP(Table1_1[[#This Row],[CAS_rn]],[1]analyte_order!$C:$C,[1]analyte_order!$E:$E)</f>
        <v>38</v>
      </c>
      <c r="I917">
        <v>0.245</v>
      </c>
    </row>
    <row r="918" spans="1:9" x14ac:dyDescent="0.3">
      <c r="A918" s="2" t="s">
        <v>71</v>
      </c>
      <c r="B918" s="3">
        <v>44299.5</v>
      </c>
      <c r="C918" s="1" t="str">
        <f t="shared" si="14"/>
        <v>21104</v>
      </c>
      <c r="D918" t="s">
        <v>33</v>
      </c>
      <c r="E918" s="2" t="s">
        <v>27</v>
      </c>
      <c r="F918" s="2" t="str">
        <f>_xlfn.XLOOKUP(Table1_1[[#This Row],[CAS_rn]],[1]analyte_order!$C:$C,[1]analyte_order!$B:$B)</f>
        <v>5:3 FTCA</v>
      </c>
      <c r="G918" t="s">
        <v>145</v>
      </c>
      <c r="H918" s="2">
        <f>_xlfn.XLOOKUP(Table1_1[[#This Row],[CAS_rn]],[1]analyte_order!$C:$C,[1]analyte_order!$E:$E)</f>
        <v>39</v>
      </c>
      <c r="I918">
        <v>1.25</v>
      </c>
    </row>
    <row r="919" spans="1:9" x14ac:dyDescent="0.3">
      <c r="A919" s="2" t="s">
        <v>71</v>
      </c>
      <c r="B919" s="3">
        <v>44299.5</v>
      </c>
      <c r="C919" s="1" t="str">
        <f t="shared" si="14"/>
        <v>21104</v>
      </c>
      <c r="D919" t="s">
        <v>33</v>
      </c>
      <c r="E919" s="2" t="s">
        <v>27</v>
      </c>
      <c r="F919" s="2" t="str">
        <f>_xlfn.XLOOKUP(Table1_1[[#This Row],[CAS_rn]],[1]analyte_order!$C:$C,[1]analyte_order!$B:$B)</f>
        <v>7:3 FTCA</v>
      </c>
      <c r="G919" t="s">
        <v>146</v>
      </c>
      <c r="H919" s="2">
        <f>_xlfn.XLOOKUP(Table1_1[[#This Row],[CAS_rn]],[1]analyte_order!$C:$C,[1]analyte_order!$E:$E)</f>
        <v>40</v>
      </c>
      <c r="I919">
        <v>1.25</v>
      </c>
    </row>
    <row r="920" spans="1:9" x14ac:dyDescent="0.3">
      <c r="A920" s="2" t="s">
        <v>71</v>
      </c>
      <c r="B920" s="3">
        <v>44299.5</v>
      </c>
      <c r="C920" s="1" t="str">
        <f t="shared" si="14"/>
        <v>21104</v>
      </c>
      <c r="D920" t="s">
        <v>33</v>
      </c>
      <c r="E920" s="2" t="s">
        <v>27</v>
      </c>
      <c r="F920" s="2" t="str">
        <f>_xlfn.XLOOKUP(Table1_1[[#This Row],[CAS_rn]],[1]analyte_order!$C:$C,[1]analyte_order!$B:$B)</f>
        <v>PFDS</v>
      </c>
      <c r="G920" t="s">
        <v>147</v>
      </c>
      <c r="H920" s="2">
        <f>_xlfn.XLOOKUP(Table1_1[[#This Row],[CAS_rn]],[1]analyte_order!$C:$C,[1]analyte_order!$E:$E)</f>
        <v>20</v>
      </c>
      <c r="I920">
        <v>4.9500000000000002E-2</v>
      </c>
    </row>
    <row r="921" spans="1:9" x14ac:dyDescent="0.3">
      <c r="A921" s="2" t="s">
        <v>71</v>
      </c>
      <c r="B921" s="3">
        <v>44299.5</v>
      </c>
      <c r="C921" s="1" t="str">
        <f t="shared" si="14"/>
        <v>21104</v>
      </c>
      <c r="D921" t="s">
        <v>33</v>
      </c>
      <c r="E921" s="2" t="s">
        <v>27</v>
      </c>
      <c r="F921" s="2" t="str">
        <f>_xlfn.XLOOKUP(Table1_1[[#This Row],[CAS_rn]],[1]analyte_order!$C:$C,[1]analyte_order!$B:$B)</f>
        <v>PFMPA</v>
      </c>
      <c r="G921" t="s">
        <v>148</v>
      </c>
      <c r="H921" s="2">
        <f>_xlfn.XLOOKUP(Table1_1[[#This Row],[CAS_rn]],[1]analyte_order!$C:$C,[1]analyte_order!$E:$E)</f>
        <v>49</v>
      </c>
      <c r="I921">
        <v>0.1</v>
      </c>
    </row>
    <row r="922" spans="1:9" x14ac:dyDescent="0.3">
      <c r="A922" s="2" t="s">
        <v>72</v>
      </c>
      <c r="B922" s="3">
        <v>44299.5</v>
      </c>
      <c r="C922" s="1" t="str">
        <f t="shared" si="14"/>
        <v>21104</v>
      </c>
      <c r="D922" t="s">
        <v>29</v>
      </c>
      <c r="E922" s="2" t="s">
        <v>27</v>
      </c>
      <c r="F922" s="2" t="str">
        <f>_xlfn.XLOOKUP(Table1_1[[#This Row],[CAS_rn]],[1]analyte_order!$C:$C,[1]analyte_order!$B:$B)</f>
        <v>PFBA</v>
      </c>
      <c r="G922" t="s">
        <v>109</v>
      </c>
      <c r="H922" s="2">
        <f>_xlfn.XLOOKUP(Table1_1[[#This Row],[CAS_rn]],[1]analyte_order!$C:$C,[1]analyte_order!$E:$E)</f>
        <v>1</v>
      </c>
      <c r="I922">
        <v>0.2</v>
      </c>
    </row>
    <row r="923" spans="1:9" x14ac:dyDescent="0.3">
      <c r="A923" s="2" t="s">
        <v>72</v>
      </c>
      <c r="B923" s="3">
        <v>44299.5</v>
      </c>
      <c r="C923" s="1" t="str">
        <f t="shared" si="14"/>
        <v>21104</v>
      </c>
      <c r="D923" t="s">
        <v>29</v>
      </c>
      <c r="E923" s="2" t="s">
        <v>27</v>
      </c>
      <c r="F923" s="2" t="str">
        <f>_xlfn.XLOOKUP(Table1_1[[#This Row],[CAS_rn]],[1]analyte_order!$C:$C,[1]analyte_order!$B:$B)</f>
        <v>PFPeA</v>
      </c>
      <c r="G923" t="s">
        <v>110</v>
      </c>
      <c r="H923" s="2">
        <f>_xlfn.XLOOKUP(Table1_1[[#This Row],[CAS_rn]],[1]analyte_order!$C:$C,[1]analyte_order!$E:$E)</f>
        <v>2</v>
      </c>
      <c r="I923">
        <v>0.1</v>
      </c>
    </row>
    <row r="924" spans="1:9" x14ac:dyDescent="0.3">
      <c r="A924" s="2" t="s">
        <v>72</v>
      </c>
      <c r="B924" s="3">
        <v>44299.5</v>
      </c>
      <c r="C924" s="1" t="str">
        <f t="shared" si="14"/>
        <v>21104</v>
      </c>
      <c r="D924" t="s">
        <v>29</v>
      </c>
      <c r="E924" s="2" t="s">
        <v>27</v>
      </c>
      <c r="F924" s="2" t="str">
        <f>_xlfn.XLOOKUP(Table1_1[[#This Row],[CAS_rn]],[1]analyte_order!$C:$C,[1]analyte_order!$B:$B)</f>
        <v>PFHxA</v>
      </c>
      <c r="G924" t="s">
        <v>111</v>
      </c>
      <c r="H924" s="2">
        <f>_xlfn.XLOOKUP(Table1_1[[#This Row],[CAS_rn]],[1]analyte_order!$C:$C,[1]analyte_order!$E:$E)</f>
        <v>3</v>
      </c>
      <c r="I924">
        <v>0.09</v>
      </c>
    </row>
    <row r="925" spans="1:9" x14ac:dyDescent="0.3">
      <c r="A925" s="2" t="s">
        <v>72</v>
      </c>
      <c r="B925" s="3">
        <v>44299.5</v>
      </c>
      <c r="C925" s="1" t="str">
        <f t="shared" si="14"/>
        <v>21104</v>
      </c>
      <c r="D925" t="s">
        <v>29</v>
      </c>
      <c r="E925" s="2" t="s">
        <v>27</v>
      </c>
      <c r="F925" s="2" t="str">
        <f>_xlfn.XLOOKUP(Table1_1[[#This Row],[CAS_rn]],[1]analyte_order!$C:$C,[1]analyte_order!$B:$B)</f>
        <v>PFHpA</v>
      </c>
      <c r="G925" t="s">
        <v>112</v>
      </c>
      <c r="H925" s="2">
        <f>_xlfn.XLOOKUP(Table1_1[[#This Row],[CAS_rn]],[1]analyte_order!$C:$C,[1]analyte_order!$E:$E)</f>
        <v>4</v>
      </c>
      <c r="I925">
        <v>0.09</v>
      </c>
    </row>
    <row r="926" spans="1:9" x14ac:dyDescent="0.3">
      <c r="A926" s="2" t="s">
        <v>72</v>
      </c>
      <c r="B926" s="3">
        <v>44299.5</v>
      </c>
      <c r="C926" s="1" t="str">
        <f t="shared" si="14"/>
        <v>21104</v>
      </c>
      <c r="D926" t="s">
        <v>29</v>
      </c>
      <c r="E926" s="2" t="s">
        <v>27</v>
      </c>
      <c r="F926" s="2" t="str">
        <f>_xlfn.XLOOKUP(Table1_1[[#This Row],[CAS_rn]],[1]analyte_order!$C:$C,[1]analyte_order!$B:$B)</f>
        <v>PFOA</v>
      </c>
      <c r="G926" t="s">
        <v>113</v>
      </c>
      <c r="H926" s="2">
        <f>_xlfn.XLOOKUP(Table1_1[[#This Row],[CAS_rn]],[1]analyte_order!$C:$C,[1]analyte_order!$E:$E)</f>
        <v>5</v>
      </c>
      <c r="I926">
        <v>9.0999999999999998E-2</v>
      </c>
    </row>
    <row r="927" spans="1:9" x14ac:dyDescent="0.3">
      <c r="A927" s="2" t="s">
        <v>72</v>
      </c>
      <c r="B927" s="3">
        <v>44299.5</v>
      </c>
      <c r="C927" s="1" t="str">
        <f t="shared" si="14"/>
        <v>21104</v>
      </c>
      <c r="D927" t="s">
        <v>29</v>
      </c>
      <c r="E927" s="2" t="s">
        <v>27</v>
      </c>
      <c r="F927" s="2" t="str">
        <f>_xlfn.XLOOKUP(Table1_1[[#This Row],[CAS_rn]],[1]analyte_order!$C:$C,[1]analyte_order!$B:$B)</f>
        <v>PFNA</v>
      </c>
      <c r="G927" t="s">
        <v>114</v>
      </c>
      <c r="H927" s="2">
        <f>_xlfn.XLOOKUP(Table1_1[[#This Row],[CAS_rn]],[1]analyte_order!$C:$C,[1]analyte_order!$E:$E)</f>
        <v>6</v>
      </c>
      <c r="I927">
        <v>4.9500000000000002E-2</v>
      </c>
    </row>
    <row r="928" spans="1:9" x14ac:dyDescent="0.3">
      <c r="A928" s="2" t="s">
        <v>72</v>
      </c>
      <c r="B928" s="3">
        <v>44299.5</v>
      </c>
      <c r="C928" s="1" t="str">
        <f t="shared" si="14"/>
        <v>21104</v>
      </c>
      <c r="D928" t="s">
        <v>29</v>
      </c>
      <c r="E928" s="2" t="s">
        <v>27</v>
      </c>
      <c r="F928" s="2" t="str">
        <f>_xlfn.XLOOKUP(Table1_1[[#This Row],[CAS_rn]],[1]analyte_order!$C:$C,[1]analyte_order!$B:$B)</f>
        <v>PFDA</v>
      </c>
      <c r="G928" t="s">
        <v>115</v>
      </c>
      <c r="H928" s="2">
        <f>_xlfn.XLOOKUP(Table1_1[[#This Row],[CAS_rn]],[1]analyte_order!$C:$C,[1]analyte_order!$E:$E)</f>
        <v>7</v>
      </c>
      <c r="I928">
        <v>4.9500000000000002E-2</v>
      </c>
    </row>
    <row r="929" spans="1:9" x14ac:dyDescent="0.3">
      <c r="A929" s="2" t="s">
        <v>72</v>
      </c>
      <c r="B929" s="3">
        <v>44299.5</v>
      </c>
      <c r="C929" s="1" t="str">
        <f t="shared" si="14"/>
        <v>21104</v>
      </c>
      <c r="D929" t="s">
        <v>29</v>
      </c>
      <c r="E929" s="2" t="s">
        <v>27</v>
      </c>
      <c r="F929" s="2" t="str">
        <f>_xlfn.XLOOKUP(Table1_1[[#This Row],[CAS_rn]],[1]analyte_order!$C:$C,[1]analyte_order!$B:$B)</f>
        <v>PFUnA</v>
      </c>
      <c r="G929" t="s">
        <v>116</v>
      </c>
      <c r="H929" s="2">
        <f>_xlfn.XLOOKUP(Table1_1[[#This Row],[CAS_rn]],[1]analyte_order!$C:$C,[1]analyte_order!$E:$E)</f>
        <v>8</v>
      </c>
      <c r="I929">
        <v>4.9500000000000002E-2</v>
      </c>
    </row>
    <row r="930" spans="1:9" x14ac:dyDescent="0.3">
      <c r="A930" s="2" t="s">
        <v>72</v>
      </c>
      <c r="B930" s="3">
        <v>44299.5</v>
      </c>
      <c r="C930" s="1" t="str">
        <f t="shared" si="14"/>
        <v>21104</v>
      </c>
      <c r="D930" t="s">
        <v>29</v>
      </c>
      <c r="E930" s="2" t="s">
        <v>27</v>
      </c>
      <c r="F930" s="2" t="str">
        <f>_xlfn.XLOOKUP(Table1_1[[#This Row],[CAS_rn]],[1]analyte_order!$C:$C,[1]analyte_order!$B:$B)</f>
        <v>PFDoA</v>
      </c>
      <c r="G930" t="s">
        <v>117</v>
      </c>
      <c r="H930" s="2">
        <f>_xlfn.XLOOKUP(Table1_1[[#This Row],[CAS_rn]],[1]analyte_order!$C:$C,[1]analyte_order!$E:$E)</f>
        <v>9</v>
      </c>
      <c r="I930">
        <v>4.9500000000000002E-2</v>
      </c>
    </row>
    <row r="931" spans="1:9" x14ac:dyDescent="0.3">
      <c r="A931" s="2" t="s">
        <v>72</v>
      </c>
      <c r="B931" s="3">
        <v>44299.5</v>
      </c>
      <c r="C931" s="1" t="str">
        <f t="shared" si="14"/>
        <v>21104</v>
      </c>
      <c r="D931" t="s">
        <v>29</v>
      </c>
      <c r="E931" s="2" t="s">
        <v>27</v>
      </c>
      <c r="F931" s="2" t="str">
        <f>_xlfn.XLOOKUP(Table1_1[[#This Row],[CAS_rn]],[1]analyte_order!$C:$C,[1]analyte_order!$B:$B)</f>
        <v>PFTrDA</v>
      </c>
      <c r="G931" t="s">
        <v>118</v>
      </c>
      <c r="H931" s="2">
        <f>_xlfn.XLOOKUP(Table1_1[[#This Row],[CAS_rn]],[1]analyte_order!$C:$C,[1]analyte_order!$E:$E)</f>
        <v>10</v>
      </c>
      <c r="I931">
        <v>4.9500000000000002E-2</v>
      </c>
    </row>
    <row r="932" spans="1:9" x14ac:dyDescent="0.3">
      <c r="A932" s="2" t="s">
        <v>72</v>
      </c>
      <c r="B932" s="3">
        <v>44299.5</v>
      </c>
      <c r="C932" s="1" t="str">
        <f t="shared" si="14"/>
        <v>21104</v>
      </c>
      <c r="D932" t="s">
        <v>29</v>
      </c>
      <c r="E932" s="2" t="s">
        <v>27</v>
      </c>
      <c r="F932" s="2" t="str">
        <f>_xlfn.XLOOKUP(Table1_1[[#This Row],[CAS_rn]],[1]analyte_order!$C:$C,[1]analyte_order!$B:$B)</f>
        <v>PFTeDA</v>
      </c>
      <c r="G932" t="s">
        <v>119</v>
      </c>
      <c r="H932" s="2">
        <f>_xlfn.XLOOKUP(Table1_1[[#This Row],[CAS_rn]],[1]analyte_order!$C:$C,[1]analyte_order!$E:$E)</f>
        <v>11</v>
      </c>
      <c r="I932">
        <v>4.9500000000000002E-2</v>
      </c>
    </row>
    <row r="933" spans="1:9" x14ac:dyDescent="0.3">
      <c r="A933" s="2" t="s">
        <v>72</v>
      </c>
      <c r="B933" s="3">
        <v>44299.5</v>
      </c>
      <c r="C933" s="1" t="str">
        <f t="shared" si="14"/>
        <v>21104</v>
      </c>
      <c r="D933" t="s">
        <v>29</v>
      </c>
      <c r="E933" s="2" t="s">
        <v>27</v>
      </c>
      <c r="F933" s="2" t="str">
        <f>_xlfn.XLOOKUP(Table1_1[[#This Row],[CAS_rn]],[1]analyte_order!$C:$C,[1]analyte_order!$B:$B)</f>
        <v>PFBS</v>
      </c>
      <c r="G933" t="s">
        <v>120</v>
      </c>
      <c r="H933" s="2">
        <f>_xlfn.XLOOKUP(Table1_1[[#This Row],[CAS_rn]],[1]analyte_order!$C:$C,[1]analyte_order!$E:$E)</f>
        <v>14</v>
      </c>
      <c r="I933">
        <v>4.9500000000000002E-2</v>
      </c>
    </row>
    <row r="934" spans="1:9" x14ac:dyDescent="0.3">
      <c r="A934" s="2" t="s">
        <v>72</v>
      </c>
      <c r="B934" s="3">
        <v>44299.5</v>
      </c>
      <c r="C934" s="1" t="str">
        <f t="shared" si="14"/>
        <v>21104</v>
      </c>
      <c r="D934" t="s">
        <v>29</v>
      </c>
      <c r="E934" s="2" t="s">
        <v>27</v>
      </c>
      <c r="F934" s="2" t="str">
        <f>_xlfn.XLOOKUP(Table1_1[[#This Row],[CAS_rn]],[1]analyte_order!$C:$C,[1]analyte_order!$B:$B)</f>
        <v>PFPeS</v>
      </c>
      <c r="G934" t="s">
        <v>121</v>
      </c>
      <c r="H934" s="2">
        <f>_xlfn.XLOOKUP(Table1_1[[#This Row],[CAS_rn]],[1]analyte_order!$C:$C,[1]analyte_order!$E:$E)</f>
        <v>15</v>
      </c>
      <c r="I934">
        <v>4.9500000000000002E-2</v>
      </c>
    </row>
    <row r="935" spans="1:9" x14ac:dyDescent="0.3">
      <c r="A935" s="2" t="s">
        <v>72</v>
      </c>
      <c r="B935" s="3">
        <v>44299.5</v>
      </c>
      <c r="C935" s="1" t="str">
        <f t="shared" si="14"/>
        <v>21104</v>
      </c>
      <c r="D935" t="s">
        <v>29</v>
      </c>
      <c r="E935" s="2" t="s">
        <v>27</v>
      </c>
      <c r="F935" s="2" t="str">
        <f>_xlfn.XLOOKUP(Table1_1[[#This Row],[CAS_rn]],[1]analyte_order!$C:$C,[1]analyte_order!$B:$B)</f>
        <v>PFHxS</v>
      </c>
      <c r="G935" t="s">
        <v>122</v>
      </c>
      <c r="H935" s="2">
        <f>_xlfn.XLOOKUP(Table1_1[[#This Row],[CAS_rn]],[1]analyte_order!$C:$C,[1]analyte_order!$E:$E)</f>
        <v>16</v>
      </c>
      <c r="I935">
        <v>0.18</v>
      </c>
    </row>
    <row r="936" spans="1:9" x14ac:dyDescent="0.3">
      <c r="A936" s="2" t="s">
        <v>72</v>
      </c>
      <c r="B936" s="3">
        <v>44299.5</v>
      </c>
      <c r="C936" s="1" t="str">
        <f t="shared" si="14"/>
        <v>21104</v>
      </c>
      <c r="D936" t="s">
        <v>29</v>
      </c>
      <c r="E936" s="2" t="s">
        <v>27</v>
      </c>
      <c r="F936" s="2" t="str">
        <f>_xlfn.XLOOKUP(Table1_1[[#This Row],[CAS_rn]],[1]analyte_order!$C:$C,[1]analyte_order!$B:$B)</f>
        <v>PFHpS</v>
      </c>
      <c r="G936" t="s">
        <v>123</v>
      </c>
      <c r="H936" s="2">
        <f>_xlfn.XLOOKUP(Table1_1[[#This Row],[CAS_rn]],[1]analyte_order!$C:$C,[1]analyte_order!$E:$E)</f>
        <v>17</v>
      </c>
      <c r="I936">
        <v>4.9500000000000002E-2</v>
      </c>
    </row>
    <row r="937" spans="1:9" x14ac:dyDescent="0.3">
      <c r="A937" s="2" t="s">
        <v>72</v>
      </c>
      <c r="B937" s="3">
        <v>44299.5</v>
      </c>
      <c r="C937" s="1" t="str">
        <f t="shared" si="14"/>
        <v>21104</v>
      </c>
      <c r="D937" t="s">
        <v>29</v>
      </c>
      <c r="E937" s="2" t="s">
        <v>27</v>
      </c>
      <c r="F937" s="2" t="str">
        <f>_xlfn.XLOOKUP(Table1_1[[#This Row],[CAS_rn]],[1]analyte_order!$C:$C,[1]analyte_order!$B:$B)</f>
        <v>PFOS</v>
      </c>
      <c r="G937" t="s">
        <v>124</v>
      </c>
      <c r="H937" s="2">
        <f>_xlfn.XLOOKUP(Table1_1[[#This Row],[CAS_rn]],[1]analyte_order!$C:$C,[1]analyte_order!$E:$E)</f>
        <v>18</v>
      </c>
      <c r="I937">
        <v>0.6</v>
      </c>
    </row>
    <row r="938" spans="1:9" x14ac:dyDescent="0.3">
      <c r="A938" s="2" t="s">
        <v>72</v>
      </c>
      <c r="B938" s="3">
        <v>44299.5</v>
      </c>
      <c r="C938" s="1" t="str">
        <f t="shared" si="14"/>
        <v>21104</v>
      </c>
      <c r="D938" t="s">
        <v>29</v>
      </c>
      <c r="E938" s="2" t="s">
        <v>27</v>
      </c>
      <c r="F938" s="2" t="str">
        <f>_xlfn.XLOOKUP(Table1_1[[#This Row],[CAS_rn]],[1]analyte_order!$C:$C,[1]analyte_order!$B:$B)</f>
        <v>PFNS</v>
      </c>
      <c r="G938" t="s">
        <v>125</v>
      </c>
      <c r="H938" s="2">
        <f>_xlfn.XLOOKUP(Table1_1[[#This Row],[CAS_rn]],[1]analyte_order!$C:$C,[1]analyte_order!$E:$E)</f>
        <v>19</v>
      </c>
      <c r="I938">
        <v>4.9500000000000002E-2</v>
      </c>
    </row>
    <row r="939" spans="1:9" x14ac:dyDescent="0.3">
      <c r="A939" s="2" t="s">
        <v>72</v>
      </c>
      <c r="B939" s="3">
        <v>44299.5</v>
      </c>
      <c r="C939" s="1" t="str">
        <f t="shared" si="14"/>
        <v>21104</v>
      </c>
      <c r="D939" t="s">
        <v>29</v>
      </c>
      <c r="E939" s="2" t="s">
        <v>27</v>
      </c>
      <c r="F939" s="2" t="str">
        <f>_xlfn.XLOOKUP(Table1_1[[#This Row],[CAS_rn]],[1]analyte_order!$C:$C,[1]analyte_order!$B:$B)</f>
        <v>PFDoS</v>
      </c>
      <c r="G939" t="s">
        <v>126</v>
      </c>
      <c r="H939" s="2">
        <f>_xlfn.XLOOKUP(Table1_1[[#This Row],[CAS_rn]],[1]analyte_order!$C:$C,[1]analyte_order!$E:$E)</f>
        <v>21</v>
      </c>
      <c r="I939">
        <v>4.9500000000000002E-2</v>
      </c>
    </row>
    <row r="940" spans="1:9" x14ac:dyDescent="0.3">
      <c r="A940" s="2" t="s">
        <v>72</v>
      </c>
      <c r="B940" s="3">
        <v>44299.5</v>
      </c>
      <c r="C940" s="1" t="str">
        <f t="shared" si="14"/>
        <v>21104</v>
      </c>
      <c r="D940" t="s">
        <v>29</v>
      </c>
      <c r="E940" s="2" t="s">
        <v>27</v>
      </c>
      <c r="F940" s="2" t="str">
        <f>_xlfn.XLOOKUP(Table1_1[[#This Row],[CAS_rn]],[1]analyte_order!$C:$C,[1]analyte_order!$B:$B)</f>
        <v>4:2 FTS</v>
      </c>
      <c r="G940" t="s">
        <v>127</v>
      </c>
      <c r="H940" s="2">
        <f>_xlfn.XLOOKUP(Table1_1[[#This Row],[CAS_rn]],[1]analyte_order!$C:$C,[1]analyte_order!$E:$E)</f>
        <v>22</v>
      </c>
      <c r="I940">
        <v>0.2</v>
      </c>
    </row>
    <row r="941" spans="1:9" x14ac:dyDescent="0.3">
      <c r="A941" s="2" t="s">
        <v>72</v>
      </c>
      <c r="B941" s="3">
        <v>44299.5</v>
      </c>
      <c r="C941" s="1" t="str">
        <f t="shared" si="14"/>
        <v>21104</v>
      </c>
      <c r="D941" t="s">
        <v>29</v>
      </c>
      <c r="E941" s="2" t="s">
        <v>27</v>
      </c>
      <c r="F941" s="2" t="str">
        <f>_xlfn.XLOOKUP(Table1_1[[#This Row],[CAS_rn]],[1]analyte_order!$C:$C,[1]analyte_order!$B:$B)</f>
        <v>6:2 FTS</v>
      </c>
      <c r="G941" t="s">
        <v>128</v>
      </c>
      <c r="H941" s="2">
        <f>_xlfn.XLOOKUP(Table1_1[[#This Row],[CAS_rn]],[1]analyte_order!$C:$C,[1]analyte_order!$E:$E)</f>
        <v>23</v>
      </c>
      <c r="I941">
        <v>0.39500000000000002</v>
      </c>
    </row>
    <row r="942" spans="1:9" x14ac:dyDescent="0.3">
      <c r="A942" s="2" t="s">
        <v>72</v>
      </c>
      <c r="B942" s="3">
        <v>44299.5</v>
      </c>
      <c r="C942" s="1" t="str">
        <f t="shared" si="14"/>
        <v>21104</v>
      </c>
      <c r="D942" t="s">
        <v>29</v>
      </c>
      <c r="E942" s="2" t="s">
        <v>27</v>
      </c>
      <c r="F942" s="2" t="str">
        <f>_xlfn.XLOOKUP(Table1_1[[#This Row],[CAS_rn]],[1]analyte_order!$C:$C,[1]analyte_order!$B:$B)</f>
        <v>8:2 FTS</v>
      </c>
      <c r="G942" t="s">
        <v>129</v>
      </c>
      <c r="H942" s="2">
        <f>_xlfn.XLOOKUP(Table1_1[[#This Row],[CAS_rn]],[1]analyte_order!$C:$C,[1]analyte_order!$E:$E)</f>
        <v>24</v>
      </c>
      <c r="I942">
        <v>0.39500000000000002</v>
      </c>
    </row>
    <row r="943" spans="1:9" x14ac:dyDescent="0.3">
      <c r="A943" s="2" t="s">
        <v>72</v>
      </c>
      <c r="B943" s="3">
        <v>44299.5</v>
      </c>
      <c r="C943" s="1" t="str">
        <f t="shared" si="14"/>
        <v>21104</v>
      </c>
      <c r="D943" t="s">
        <v>29</v>
      </c>
      <c r="E943" s="2" t="s">
        <v>27</v>
      </c>
      <c r="F943" s="2" t="str">
        <f>_xlfn.XLOOKUP(Table1_1[[#This Row],[CAS_rn]],[1]analyte_order!$C:$C,[1]analyte_order!$B:$B)</f>
        <v>FOSA</v>
      </c>
      <c r="G943" t="s">
        <v>130</v>
      </c>
      <c r="H943" s="2">
        <f>_xlfn.XLOOKUP(Table1_1[[#This Row],[CAS_rn]],[1]analyte_order!$C:$C,[1]analyte_order!$E:$E)</f>
        <v>28</v>
      </c>
      <c r="I943">
        <v>0.09</v>
      </c>
    </row>
    <row r="944" spans="1:9" x14ac:dyDescent="0.3">
      <c r="A944" s="2" t="s">
        <v>72</v>
      </c>
      <c r="B944" s="3">
        <v>44299.5</v>
      </c>
      <c r="C944" s="1" t="str">
        <f t="shared" si="14"/>
        <v>21104</v>
      </c>
      <c r="D944" t="s">
        <v>29</v>
      </c>
      <c r="E944" s="2" t="s">
        <v>27</v>
      </c>
      <c r="F944" s="2" t="str">
        <f>_xlfn.XLOOKUP(Table1_1[[#This Row],[CAS_rn]],[1]analyte_order!$C:$C,[1]analyte_order!$B:$B)</f>
        <v>N-MeFOSA</v>
      </c>
      <c r="G944" t="s">
        <v>131</v>
      </c>
      <c r="H944" s="2">
        <f>_xlfn.XLOOKUP(Table1_1[[#This Row],[CAS_rn]],[1]analyte_order!$C:$C,[1]analyte_order!$E:$E)</f>
        <v>30</v>
      </c>
      <c r="I944">
        <v>4.9500000000000002E-2</v>
      </c>
    </row>
    <row r="945" spans="1:9" x14ac:dyDescent="0.3">
      <c r="A945" s="2" t="s">
        <v>72</v>
      </c>
      <c r="B945" s="3">
        <v>44299.5</v>
      </c>
      <c r="C945" s="1" t="str">
        <f t="shared" si="14"/>
        <v>21104</v>
      </c>
      <c r="D945" t="s">
        <v>29</v>
      </c>
      <c r="E945" s="2" t="s">
        <v>27</v>
      </c>
      <c r="F945" s="2" t="str">
        <f>_xlfn.XLOOKUP(Table1_1[[#This Row],[CAS_rn]],[1]analyte_order!$C:$C,[1]analyte_order!$B:$B)</f>
        <v>N-MeFOSAA</v>
      </c>
      <c r="G945" t="s">
        <v>132</v>
      </c>
      <c r="H945" s="2">
        <f>_xlfn.XLOOKUP(Table1_1[[#This Row],[CAS_rn]],[1]analyte_order!$C:$C,[1]analyte_order!$E:$E)</f>
        <v>26</v>
      </c>
      <c r="I945">
        <v>4.9500000000000002E-2</v>
      </c>
    </row>
    <row r="946" spans="1:9" x14ac:dyDescent="0.3">
      <c r="A946" s="2" t="s">
        <v>72</v>
      </c>
      <c r="B946" s="3">
        <v>44299.5</v>
      </c>
      <c r="C946" s="1" t="str">
        <f t="shared" si="14"/>
        <v>21104</v>
      </c>
      <c r="D946" t="s">
        <v>29</v>
      </c>
      <c r="E946" s="2" t="s">
        <v>27</v>
      </c>
      <c r="F946" s="2" t="str">
        <f>_xlfn.XLOOKUP(Table1_1[[#This Row],[CAS_rn]],[1]analyte_order!$C:$C,[1]analyte_order!$B:$B)</f>
        <v>N-EtFOSA</v>
      </c>
      <c r="G946" t="s">
        <v>133</v>
      </c>
      <c r="H946" s="2">
        <f>_xlfn.XLOOKUP(Table1_1[[#This Row],[CAS_rn]],[1]analyte_order!$C:$C,[1]analyte_order!$E:$E)</f>
        <v>31</v>
      </c>
      <c r="I946">
        <v>4.9500000000000002E-2</v>
      </c>
    </row>
    <row r="947" spans="1:9" x14ac:dyDescent="0.3">
      <c r="A947" s="2" t="s">
        <v>72</v>
      </c>
      <c r="B947" s="3">
        <v>44299.5</v>
      </c>
      <c r="C947" s="1" t="str">
        <f t="shared" si="14"/>
        <v>21104</v>
      </c>
      <c r="D947" t="s">
        <v>29</v>
      </c>
      <c r="E947" s="2" t="s">
        <v>27</v>
      </c>
      <c r="F947" s="2" t="str">
        <f>_xlfn.XLOOKUP(Table1_1[[#This Row],[CAS_rn]],[1]analyte_order!$C:$C,[1]analyte_order!$B:$B)</f>
        <v>N-EtFOSAA</v>
      </c>
      <c r="G947" t="s">
        <v>134</v>
      </c>
      <c r="H947" s="2">
        <f>_xlfn.XLOOKUP(Table1_1[[#This Row],[CAS_rn]],[1]analyte_order!$C:$C,[1]analyte_order!$E:$E)</f>
        <v>27</v>
      </c>
      <c r="I947">
        <v>4.9500000000000002E-2</v>
      </c>
    </row>
    <row r="948" spans="1:9" x14ac:dyDescent="0.3">
      <c r="A948" s="2" t="s">
        <v>72</v>
      </c>
      <c r="B948" s="3">
        <v>44299.5</v>
      </c>
      <c r="C948" s="1" t="str">
        <f t="shared" si="14"/>
        <v>21104</v>
      </c>
      <c r="D948" t="s">
        <v>29</v>
      </c>
      <c r="E948" s="2" t="s">
        <v>27</v>
      </c>
      <c r="F948" s="2" t="str">
        <f>_xlfn.XLOOKUP(Table1_1[[#This Row],[CAS_rn]],[1]analyte_order!$C:$C,[1]analyte_order!$B:$B)</f>
        <v>N-MeFOSE</v>
      </c>
      <c r="G948" t="s">
        <v>135</v>
      </c>
      <c r="H948" s="2">
        <f>_xlfn.XLOOKUP(Table1_1[[#This Row],[CAS_rn]],[1]analyte_order!$C:$C,[1]analyte_order!$E:$E)</f>
        <v>32</v>
      </c>
      <c r="I948">
        <v>0.495</v>
      </c>
    </row>
    <row r="949" spans="1:9" x14ac:dyDescent="0.3">
      <c r="A949" s="2" t="s">
        <v>72</v>
      </c>
      <c r="B949" s="3">
        <v>44299.5</v>
      </c>
      <c r="C949" s="1" t="str">
        <f t="shared" si="14"/>
        <v>21104</v>
      </c>
      <c r="D949" t="s">
        <v>29</v>
      </c>
      <c r="E949" s="2" t="s">
        <v>27</v>
      </c>
      <c r="F949" s="2" t="str">
        <f>_xlfn.XLOOKUP(Table1_1[[#This Row],[CAS_rn]],[1]analyte_order!$C:$C,[1]analyte_order!$B:$B)</f>
        <v>N-EtFOSE</v>
      </c>
      <c r="G949" t="s">
        <v>136</v>
      </c>
      <c r="H949" s="2">
        <f>_xlfn.XLOOKUP(Table1_1[[#This Row],[CAS_rn]],[1]analyte_order!$C:$C,[1]analyte_order!$E:$E)</f>
        <v>33</v>
      </c>
      <c r="I949">
        <v>0.495</v>
      </c>
    </row>
    <row r="950" spans="1:9" x14ac:dyDescent="0.3">
      <c r="A950" s="2" t="s">
        <v>72</v>
      </c>
      <c r="B950" s="3">
        <v>44299.5</v>
      </c>
      <c r="C950" s="1" t="str">
        <f t="shared" si="14"/>
        <v>21104</v>
      </c>
      <c r="D950" t="s">
        <v>29</v>
      </c>
      <c r="E950" s="2" t="s">
        <v>27</v>
      </c>
      <c r="F950" s="2" t="str">
        <f>_xlfn.XLOOKUP(Table1_1[[#This Row],[CAS_rn]],[1]analyte_order!$C:$C,[1]analyte_order!$B:$B)</f>
        <v>HFPO-DA</v>
      </c>
      <c r="G950" t="s">
        <v>137</v>
      </c>
      <c r="H950" s="2">
        <f>_xlfn.XLOOKUP(Table1_1[[#This Row],[CAS_rn]],[1]analyte_order!$C:$C,[1]analyte_order!$E:$E)</f>
        <v>34</v>
      </c>
      <c r="I950">
        <v>0.29499999999999998</v>
      </c>
    </row>
    <row r="951" spans="1:9" x14ac:dyDescent="0.3">
      <c r="A951" s="2" t="s">
        <v>72</v>
      </c>
      <c r="B951" s="3">
        <v>44299.5</v>
      </c>
      <c r="C951" s="1" t="str">
        <f t="shared" si="14"/>
        <v>21104</v>
      </c>
      <c r="D951" t="s">
        <v>29</v>
      </c>
      <c r="E951" s="2" t="s">
        <v>27</v>
      </c>
      <c r="F951" s="2" t="str">
        <f>_xlfn.XLOOKUP(Table1_1[[#This Row],[CAS_rn]],[1]analyte_order!$C:$C,[1]analyte_order!$B:$B)</f>
        <v>ADONA</v>
      </c>
      <c r="G951" t="s">
        <v>138</v>
      </c>
      <c r="H951" s="2">
        <f>_xlfn.XLOOKUP(Table1_1[[#This Row],[CAS_rn]],[1]analyte_order!$C:$C,[1]analyte_order!$E:$E)</f>
        <v>35</v>
      </c>
      <c r="I951">
        <v>0.2</v>
      </c>
    </row>
    <row r="952" spans="1:9" x14ac:dyDescent="0.3">
      <c r="A952" s="2" t="s">
        <v>72</v>
      </c>
      <c r="B952" s="3">
        <v>44299.5</v>
      </c>
      <c r="C952" s="1" t="str">
        <f t="shared" si="14"/>
        <v>21104</v>
      </c>
      <c r="D952" t="s">
        <v>29</v>
      </c>
      <c r="E952" s="2" t="s">
        <v>27</v>
      </c>
      <c r="F952" s="2" t="str">
        <f>_xlfn.XLOOKUP(Table1_1[[#This Row],[CAS_rn]],[1]analyte_order!$C:$C,[1]analyte_order!$B:$B)</f>
        <v>PFMBA</v>
      </c>
      <c r="G952" t="s">
        <v>139</v>
      </c>
      <c r="H952" s="2">
        <f>_xlfn.XLOOKUP(Table1_1[[#This Row],[CAS_rn]],[1]analyte_order!$C:$C,[1]analyte_order!$E:$E)</f>
        <v>48</v>
      </c>
      <c r="I952">
        <v>0.1</v>
      </c>
    </row>
    <row r="953" spans="1:9" x14ac:dyDescent="0.3">
      <c r="A953" s="2" t="s">
        <v>72</v>
      </c>
      <c r="B953" s="3">
        <v>44299.5</v>
      </c>
      <c r="C953" s="1" t="str">
        <f t="shared" si="14"/>
        <v>21104</v>
      </c>
      <c r="D953" t="s">
        <v>29</v>
      </c>
      <c r="E953" s="2" t="s">
        <v>27</v>
      </c>
      <c r="F953" s="2" t="str">
        <f>_xlfn.XLOOKUP(Table1_1[[#This Row],[CAS_rn]],[1]analyte_order!$C:$C,[1]analyte_order!$B:$B)</f>
        <v>NFDHA</v>
      </c>
      <c r="G953" t="s">
        <v>140</v>
      </c>
      <c r="H953" s="2">
        <f>_xlfn.XLOOKUP(Table1_1[[#This Row],[CAS_rn]],[1]analyte_order!$C:$C,[1]analyte_order!$E:$E)</f>
        <v>50</v>
      </c>
      <c r="I953">
        <v>0.1</v>
      </c>
    </row>
    <row r="954" spans="1:9" x14ac:dyDescent="0.3">
      <c r="A954" s="2" t="s">
        <v>72</v>
      </c>
      <c r="B954" s="3">
        <v>44299.5</v>
      </c>
      <c r="C954" s="1" t="str">
        <f t="shared" si="14"/>
        <v>21104</v>
      </c>
      <c r="D954" t="s">
        <v>29</v>
      </c>
      <c r="E954" s="2" t="s">
        <v>27</v>
      </c>
      <c r="F954" s="2" t="str">
        <f>_xlfn.XLOOKUP(Table1_1[[#This Row],[CAS_rn]],[1]analyte_order!$C:$C,[1]analyte_order!$B:$B)</f>
        <v>9Cl-PF3ONS</v>
      </c>
      <c r="G954" t="s">
        <v>141</v>
      </c>
      <c r="H954" s="2">
        <f>_xlfn.XLOOKUP(Table1_1[[#This Row],[CAS_rn]],[1]analyte_order!$C:$C,[1]analyte_order!$E:$E)</f>
        <v>36</v>
      </c>
      <c r="I954">
        <v>0.2</v>
      </c>
    </row>
    <row r="955" spans="1:9" x14ac:dyDescent="0.3">
      <c r="A955" s="2" t="s">
        <v>72</v>
      </c>
      <c r="B955" s="3">
        <v>44299.5</v>
      </c>
      <c r="C955" s="1" t="str">
        <f t="shared" si="14"/>
        <v>21104</v>
      </c>
      <c r="D955" t="s">
        <v>29</v>
      </c>
      <c r="E955" s="2" t="s">
        <v>27</v>
      </c>
      <c r="F955" s="2" t="str">
        <f>_xlfn.XLOOKUP(Table1_1[[#This Row],[CAS_rn]],[1]analyte_order!$C:$C,[1]analyte_order!$B:$B)</f>
        <v>11Cl-PF3OUdS</v>
      </c>
      <c r="G955" t="s">
        <v>142</v>
      </c>
      <c r="H955" s="2">
        <f>_xlfn.XLOOKUP(Table1_1[[#This Row],[CAS_rn]],[1]analyte_order!$C:$C,[1]analyte_order!$E:$E)</f>
        <v>37</v>
      </c>
      <c r="I955">
        <v>0.2</v>
      </c>
    </row>
    <row r="956" spans="1:9" x14ac:dyDescent="0.3">
      <c r="A956" s="2" t="s">
        <v>72</v>
      </c>
      <c r="B956" s="3">
        <v>44299.5</v>
      </c>
      <c r="C956" s="1" t="str">
        <f t="shared" si="14"/>
        <v>21104</v>
      </c>
      <c r="D956" t="s">
        <v>29</v>
      </c>
      <c r="E956" s="2" t="s">
        <v>27</v>
      </c>
      <c r="F956" s="2" t="str">
        <f>_xlfn.XLOOKUP(Table1_1[[#This Row],[CAS_rn]],[1]analyte_order!$C:$C,[1]analyte_order!$B:$B)</f>
        <v>PFEESA</v>
      </c>
      <c r="G956" t="s">
        <v>143</v>
      </c>
      <c r="H956" s="2">
        <f>_xlfn.XLOOKUP(Table1_1[[#This Row],[CAS_rn]],[1]analyte_order!$C:$C,[1]analyte_order!$E:$E)</f>
        <v>47</v>
      </c>
      <c r="I956">
        <v>0.1</v>
      </c>
    </row>
    <row r="957" spans="1:9" x14ac:dyDescent="0.3">
      <c r="A957" s="2" t="s">
        <v>72</v>
      </c>
      <c r="B957" s="3">
        <v>44299.5</v>
      </c>
      <c r="C957" s="1" t="str">
        <f t="shared" si="14"/>
        <v>21104</v>
      </c>
      <c r="D957" t="s">
        <v>29</v>
      </c>
      <c r="E957" s="2" t="s">
        <v>27</v>
      </c>
      <c r="F957" s="2" t="str">
        <f>_xlfn.XLOOKUP(Table1_1[[#This Row],[CAS_rn]],[1]analyte_order!$C:$C,[1]analyte_order!$B:$B)</f>
        <v>3:3 FTCA</v>
      </c>
      <c r="G957" t="s">
        <v>144</v>
      </c>
      <c r="H957" s="2">
        <f>_xlfn.XLOOKUP(Table1_1[[#This Row],[CAS_rn]],[1]analyte_order!$C:$C,[1]analyte_order!$E:$E)</f>
        <v>38</v>
      </c>
      <c r="I957">
        <v>0.25</v>
      </c>
    </row>
    <row r="958" spans="1:9" x14ac:dyDescent="0.3">
      <c r="A958" s="2" t="s">
        <v>72</v>
      </c>
      <c r="B958" s="3">
        <v>44299.5</v>
      </c>
      <c r="C958" s="1" t="str">
        <f t="shared" si="14"/>
        <v>21104</v>
      </c>
      <c r="D958" t="s">
        <v>29</v>
      </c>
      <c r="E958" s="2" t="s">
        <v>27</v>
      </c>
      <c r="F958" s="2" t="str">
        <f>_xlfn.XLOOKUP(Table1_1[[#This Row],[CAS_rn]],[1]analyte_order!$C:$C,[1]analyte_order!$B:$B)</f>
        <v>5:3 FTCA</v>
      </c>
      <c r="G958" t="s">
        <v>145</v>
      </c>
      <c r="H958" s="2">
        <f>_xlfn.XLOOKUP(Table1_1[[#This Row],[CAS_rn]],[1]analyte_order!$C:$C,[1]analyte_order!$E:$E)</f>
        <v>39</v>
      </c>
      <c r="I958">
        <v>1.25</v>
      </c>
    </row>
    <row r="959" spans="1:9" x14ac:dyDescent="0.3">
      <c r="A959" s="2" t="s">
        <v>72</v>
      </c>
      <c r="B959" s="3">
        <v>44299.5</v>
      </c>
      <c r="C959" s="1" t="str">
        <f t="shared" si="14"/>
        <v>21104</v>
      </c>
      <c r="D959" t="s">
        <v>29</v>
      </c>
      <c r="E959" s="2" t="s">
        <v>27</v>
      </c>
      <c r="F959" s="2" t="str">
        <f>_xlfn.XLOOKUP(Table1_1[[#This Row],[CAS_rn]],[1]analyte_order!$C:$C,[1]analyte_order!$B:$B)</f>
        <v>7:3 FTCA</v>
      </c>
      <c r="G959" t="s">
        <v>146</v>
      </c>
      <c r="H959" s="2">
        <f>_xlfn.XLOOKUP(Table1_1[[#This Row],[CAS_rn]],[1]analyte_order!$C:$C,[1]analyte_order!$E:$E)</f>
        <v>40</v>
      </c>
      <c r="I959">
        <v>1.25</v>
      </c>
    </row>
    <row r="960" spans="1:9" x14ac:dyDescent="0.3">
      <c r="A960" s="2" t="s">
        <v>72</v>
      </c>
      <c r="B960" s="3">
        <v>44299.5</v>
      </c>
      <c r="C960" s="1" t="str">
        <f t="shared" si="14"/>
        <v>21104</v>
      </c>
      <c r="D960" t="s">
        <v>29</v>
      </c>
      <c r="E960" s="2" t="s">
        <v>27</v>
      </c>
      <c r="F960" s="2" t="str">
        <f>_xlfn.XLOOKUP(Table1_1[[#This Row],[CAS_rn]],[1]analyte_order!$C:$C,[1]analyte_order!$B:$B)</f>
        <v>PFDS</v>
      </c>
      <c r="G960" t="s">
        <v>147</v>
      </c>
      <c r="H960" s="2">
        <f>_xlfn.XLOOKUP(Table1_1[[#This Row],[CAS_rn]],[1]analyte_order!$C:$C,[1]analyte_order!$E:$E)</f>
        <v>20</v>
      </c>
      <c r="I960">
        <v>4.9500000000000002E-2</v>
      </c>
    </row>
    <row r="961" spans="1:9" x14ac:dyDescent="0.3">
      <c r="A961" s="2" t="s">
        <v>72</v>
      </c>
      <c r="B961" s="3">
        <v>44299.5</v>
      </c>
      <c r="C961" s="1" t="str">
        <f t="shared" si="14"/>
        <v>21104</v>
      </c>
      <c r="D961" t="s">
        <v>29</v>
      </c>
      <c r="E961" s="2" t="s">
        <v>27</v>
      </c>
      <c r="F961" s="2" t="str">
        <f>_xlfn.XLOOKUP(Table1_1[[#This Row],[CAS_rn]],[1]analyte_order!$C:$C,[1]analyte_order!$B:$B)</f>
        <v>PFMPA</v>
      </c>
      <c r="G961" t="s">
        <v>148</v>
      </c>
      <c r="H961" s="2">
        <f>_xlfn.XLOOKUP(Table1_1[[#This Row],[CAS_rn]],[1]analyte_order!$C:$C,[1]analyte_order!$E:$E)</f>
        <v>49</v>
      </c>
      <c r="I961">
        <v>0.1</v>
      </c>
    </row>
    <row r="962" spans="1:9" x14ac:dyDescent="0.3">
      <c r="A962" s="2" t="s">
        <v>73</v>
      </c>
      <c r="B962" s="3">
        <v>44301.5</v>
      </c>
      <c r="C962" s="1" t="str">
        <f t="shared" si="14"/>
        <v>21106</v>
      </c>
      <c r="D962" t="s">
        <v>26</v>
      </c>
      <c r="E962" s="2" t="s">
        <v>27</v>
      </c>
      <c r="F962" s="2" t="str">
        <f>_xlfn.XLOOKUP(Table1_1[[#This Row],[CAS_rn]],[1]analyte_order!$C:$C,[1]analyte_order!$B:$B)</f>
        <v>PFBA</v>
      </c>
      <c r="G962" t="s">
        <v>109</v>
      </c>
      <c r="H962" s="2">
        <f>_xlfn.XLOOKUP(Table1_1[[#This Row],[CAS_rn]],[1]analyte_order!$C:$C,[1]analyte_order!$E:$E)</f>
        <v>1</v>
      </c>
      <c r="I962">
        <v>0.19500000000000001</v>
      </c>
    </row>
    <row r="963" spans="1:9" x14ac:dyDescent="0.3">
      <c r="A963" s="2" t="s">
        <v>73</v>
      </c>
      <c r="B963" s="3">
        <v>44301.5</v>
      </c>
      <c r="C963" s="1" t="str">
        <f t="shared" ref="C963:C1026" si="15">TEXT(B963,"yy")&amp;TEXT((B963-DATEVALUE("1/1/"&amp;TEXT(B963,"yy"))+1),"000")</f>
        <v>21106</v>
      </c>
      <c r="D963" t="s">
        <v>26</v>
      </c>
      <c r="E963" s="2" t="s">
        <v>27</v>
      </c>
      <c r="F963" s="2" t="str">
        <f>_xlfn.XLOOKUP(Table1_1[[#This Row],[CAS_rn]],[1]analyte_order!$C:$C,[1]analyte_order!$B:$B)</f>
        <v>PFPeA</v>
      </c>
      <c r="G963" t="s">
        <v>110</v>
      </c>
      <c r="H963" s="2">
        <f>_xlfn.XLOOKUP(Table1_1[[#This Row],[CAS_rn]],[1]analyte_order!$C:$C,[1]analyte_order!$E:$E)</f>
        <v>2</v>
      </c>
      <c r="I963">
        <v>0.1</v>
      </c>
    </row>
    <row r="964" spans="1:9" x14ac:dyDescent="0.3">
      <c r="A964" s="2" t="s">
        <v>73</v>
      </c>
      <c r="B964" s="3">
        <v>44301.5</v>
      </c>
      <c r="C964" s="1" t="str">
        <f t="shared" si="15"/>
        <v>21106</v>
      </c>
      <c r="D964" t="s">
        <v>26</v>
      </c>
      <c r="E964" s="2" t="s">
        <v>27</v>
      </c>
      <c r="F964" s="2" t="str">
        <f>_xlfn.XLOOKUP(Table1_1[[#This Row],[CAS_rn]],[1]analyte_order!$C:$C,[1]analyte_order!$B:$B)</f>
        <v>PFHxA</v>
      </c>
      <c r="G964" t="s">
        <v>111</v>
      </c>
      <c r="H964" s="2">
        <f>_xlfn.XLOOKUP(Table1_1[[#This Row],[CAS_rn]],[1]analyte_order!$C:$C,[1]analyte_order!$E:$E)</f>
        <v>3</v>
      </c>
      <c r="I964">
        <v>0.13</v>
      </c>
    </row>
    <row r="965" spans="1:9" x14ac:dyDescent="0.3">
      <c r="A965" s="2" t="s">
        <v>73</v>
      </c>
      <c r="B965" s="3">
        <v>44301.5</v>
      </c>
      <c r="C965" s="1" t="str">
        <f t="shared" si="15"/>
        <v>21106</v>
      </c>
      <c r="D965" t="s">
        <v>26</v>
      </c>
      <c r="E965" s="2" t="s">
        <v>27</v>
      </c>
      <c r="F965" s="2" t="str">
        <f>_xlfn.XLOOKUP(Table1_1[[#This Row],[CAS_rn]],[1]analyte_order!$C:$C,[1]analyte_order!$B:$B)</f>
        <v>PFHpA</v>
      </c>
      <c r="G965" t="s">
        <v>112</v>
      </c>
      <c r="H965" s="2">
        <f>_xlfn.XLOOKUP(Table1_1[[#This Row],[CAS_rn]],[1]analyte_order!$C:$C,[1]analyte_order!$E:$E)</f>
        <v>4</v>
      </c>
      <c r="I965">
        <v>0.09</v>
      </c>
    </row>
    <row r="966" spans="1:9" x14ac:dyDescent="0.3">
      <c r="A966" s="2" t="s">
        <v>73</v>
      </c>
      <c r="B966" s="3">
        <v>44301.5</v>
      </c>
      <c r="C966" s="1" t="str">
        <f t="shared" si="15"/>
        <v>21106</v>
      </c>
      <c r="D966" t="s">
        <v>26</v>
      </c>
      <c r="E966" s="2" t="s">
        <v>27</v>
      </c>
      <c r="F966" s="2" t="str">
        <f>_xlfn.XLOOKUP(Table1_1[[#This Row],[CAS_rn]],[1]analyte_order!$C:$C,[1]analyte_order!$B:$B)</f>
        <v>PFOA</v>
      </c>
      <c r="G966" t="s">
        <v>113</v>
      </c>
      <c r="H966" s="2">
        <f>_xlfn.XLOOKUP(Table1_1[[#This Row],[CAS_rn]],[1]analyte_order!$C:$C,[1]analyte_order!$E:$E)</f>
        <v>5</v>
      </c>
      <c r="I966">
        <v>0.26</v>
      </c>
    </row>
    <row r="967" spans="1:9" x14ac:dyDescent="0.3">
      <c r="A967" s="2" t="s">
        <v>73</v>
      </c>
      <c r="B967" s="3">
        <v>44301.5</v>
      </c>
      <c r="C967" s="1" t="str">
        <f t="shared" si="15"/>
        <v>21106</v>
      </c>
      <c r="D967" t="s">
        <v>26</v>
      </c>
      <c r="E967" s="2" t="s">
        <v>27</v>
      </c>
      <c r="F967" s="2" t="str">
        <f>_xlfn.XLOOKUP(Table1_1[[#This Row],[CAS_rn]],[1]analyte_order!$C:$C,[1]analyte_order!$B:$B)</f>
        <v>PFNA</v>
      </c>
      <c r="G967" t="s">
        <v>114</v>
      </c>
      <c r="H967" s="2">
        <f>_xlfn.XLOOKUP(Table1_1[[#This Row],[CAS_rn]],[1]analyte_order!$C:$C,[1]analyte_order!$E:$E)</f>
        <v>6</v>
      </c>
      <c r="I967">
        <v>4.9000000000000002E-2</v>
      </c>
    </row>
    <row r="968" spans="1:9" x14ac:dyDescent="0.3">
      <c r="A968" s="2" t="s">
        <v>73</v>
      </c>
      <c r="B968" s="3">
        <v>44301.5</v>
      </c>
      <c r="C968" s="1" t="str">
        <f t="shared" si="15"/>
        <v>21106</v>
      </c>
      <c r="D968" t="s">
        <v>26</v>
      </c>
      <c r="E968" s="2" t="s">
        <v>27</v>
      </c>
      <c r="F968" s="2" t="str">
        <f>_xlfn.XLOOKUP(Table1_1[[#This Row],[CAS_rn]],[1]analyte_order!$C:$C,[1]analyte_order!$B:$B)</f>
        <v>PFDA</v>
      </c>
      <c r="G968" t="s">
        <v>115</v>
      </c>
      <c r="H968" s="2">
        <f>_xlfn.XLOOKUP(Table1_1[[#This Row],[CAS_rn]],[1]analyte_order!$C:$C,[1]analyte_order!$E:$E)</f>
        <v>7</v>
      </c>
      <c r="I968">
        <v>4.9000000000000002E-2</v>
      </c>
    </row>
    <row r="969" spans="1:9" x14ac:dyDescent="0.3">
      <c r="A969" s="2" t="s">
        <v>73</v>
      </c>
      <c r="B969" s="3">
        <v>44301.5</v>
      </c>
      <c r="C969" s="1" t="str">
        <f t="shared" si="15"/>
        <v>21106</v>
      </c>
      <c r="D969" t="s">
        <v>26</v>
      </c>
      <c r="E969" s="2" t="s">
        <v>27</v>
      </c>
      <c r="F969" s="2" t="str">
        <f>_xlfn.XLOOKUP(Table1_1[[#This Row],[CAS_rn]],[1]analyte_order!$C:$C,[1]analyte_order!$B:$B)</f>
        <v>PFUnA</v>
      </c>
      <c r="G969" t="s">
        <v>116</v>
      </c>
      <c r="H969" s="2">
        <f>_xlfn.XLOOKUP(Table1_1[[#This Row],[CAS_rn]],[1]analyte_order!$C:$C,[1]analyte_order!$E:$E)</f>
        <v>8</v>
      </c>
      <c r="I969">
        <v>4.9000000000000002E-2</v>
      </c>
    </row>
    <row r="970" spans="1:9" x14ac:dyDescent="0.3">
      <c r="A970" s="2" t="s">
        <v>73</v>
      </c>
      <c r="B970" s="3">
        <v>44301.5</v>
      </c>
      <c r="C970" s="1" t="str">
        <f t="shared" si="15"/>
        <v>21106</v>
      </c>
      <c r="D970" t="s">
        <v>26</v>
      </c>
      <c r="E970" s="2" t="s">
        <v>27</v>
      </c>
      <c r="F970" s="2" t="str">
        <f>_xlfn.XLOOKUP(Table1_1[[#This Row],[CAS_rn]],[1]analyte_order!$C:$C,[1]analyte_order!$B:$B)</f>
        <v>PFDoA</v>
      </c>
      <c r="G970" t="s">
        <v>117</v>
      </c>
      <c r="H970" s="2">
        <f>_xlfn.XLOOKUP(Table1_1[[#This Row],[CAS_rn]],[1]analyte_order!$C:$C,[1]analyte_order!$E:$E)</f>
        <v>9</v>
      </c>
      <c r="I970">
        <v>4.9000000000000002E-2</v>
      </c>
    </row>
    <row r="971" spans="1:9" x14ac:dyDescent="0.3">
      <c r="A971" s="2" t="s">
        <v>73</v>
      </c>
      <c r="B971" s="3">
        <v>44301.5</v>
      </c>
      <c r="C971" s="1" t="str">
        <f t="shared" si="15"/>
        <v>21106</v>
      </c>
      <c r="D971" t="s">
        <v>26</v>
      </c>
      <c r="E971" s="2" t="s">
        <v>27</v>
      </c>
      <c r="F971" s="2" t="str">
        <f>_xlfn.XLOOKUP(Table1_1[[#This Row],[CAS_rn]],[1]analyte_order!$C:$C,[1]analyte_order!$B:$B)</f>
        <v>PFTrDA</v>
      </c>
      <c r="G971" t="s">
        <v>118</v>
      </c>
      <c r="H971" s="2">
        <f>_xlfn.XLOOKUP(Table1_1[[#This Row],[CAS_rn]],[1]analyte_order!$C:$C,[1]analyte_order!$E:$E)</f>
        <v>10</v>
      </c>
      <c r="I971">
        <v>4.9000000000000002E-2</v>
      </c>
    </row>
    <row r="972" spans="1:9" x14ac:dyDescent="0.3">
      <c r="A972" s="2" t="s">
        <v>73</v>
      </c>
      <c r="B972" s="3">
        <v>44301.5</v>
      </c>
      <c r="C972" s="1" t="str">
        <f t="shared" si="15"/>
        <v>21106</v>
      </c>
      <c r="D972" t="s">
        <v>26</v>
      </c>
      <c r="E972" s="2" t="s">
        <v>27</v>
      </c>
      <c r="F972" s="2" t="str">
        <f>_xlfn.XLOOKUP(Table1_1[[#This Row],[CAS_rn]],[1]analyte_order!$C:$C,[1]analyte_order!$B:$B)</f>
        <v>PFTeDA</v>
      </c>
      <c r="G972" t="s">
        <v>119</v>
      </c>
      <c r="H972" s="2">
        <f>_xlfn.XLOOKUP(Table1_1[[#This Row],[CAS_rn]],[1]analyte_order!$C:$C,[1]analyte_order!$E:$E)</f>
        <v>11</v>
      </c>
      <c r="I972">
        <v>4.9000000000000002E-2</v>
      </c>
    </row>
    <row r="973" spans="1:9" x14ac:dyDescent="0.3">
      <c r="A973" s="2" t="s">
        <v>73</v>
      </c>
      <c r="B973" s="3">
        <v>44301.5</v>
      </c>
      <c r="C973" s="1" t="str">
        <f t="shared" si="15"/>
        <v>21106</v>
      </c>
      <c r="D973" t="s">
        <v>26</v>
      </c>
      <c r="E973" s="2" t="s">
        <v>27</v>
      </c>
      <c r="F973" s="2" t="str">
        <f>_xlfn.XLOOKUP(Table1_1[[#This Row],[CAS_rn]],[1]analyte_order!$C:$C,[1]analyte_order!$B:$B)</f>
        <v>PFBS</v>
      </c>
      <c r="G973" t="s">
        <v>120</v>
      </c>
      <c r="H973" s="2">
        <f>_xlfn.XLOOKUP(Table1_1[[#This Row],[CAS_rn]],[1]analyte_order!$C:$C,[1]analyte_order!$E:$E)</f>
        <v>14</v>
      </c>
      <c r="I973">
        <v>4.9000000000000002E-2</v>
      </c>
    </row>
    <row r="974" spans="1:9" x14ac:dyDescent="0.3">
      <c r="A974" s="2" t="s">
        <v>73</v>
      </c>
      <c r="B974" s="3">
        <v>44301.5</v>
      </c>
      <c r="C974" s="1" t="str">
        <f t="shared" si="15"/>
        <v>21106</v>
      </c>
      <c r="D974" t="s">
        <v>26</v>
      </c>
      <c r="E974" s="2" t="s">
        <v>27</v>
      </c>
      <c r="F974" s="2" t="str">
        <f>_xlfn.XLOOKUP(Table1_1[[#This Row],[CAS_rn]],[1]analyte_order!$C:$C,[1]analyte_order!$B:$B)</f>
        <v>PFPeS</v>
      </c>
      <c r="G974" t="s">
        <v>121</v>
      </c>
      <c r="H974" s="2">
        <f>_xlfn.XLOOKUP(Table1_1[[#This Row],[CAS_rn]],[1]analyte_order!$C:$C,[1]analyte_order!$E:$E)</f>
        <v>15</v>
      </c>
      <c r="I974">
        <v>4.9000000000000002E-2</v>
      </c>
    </row>
    <row r="975" spans="1:9" x14ac:dyDescent="0.3">
      <c r="A975" s="2" t="s">
        <v>73</v>
      </c>
      <c r="B975" s="3">
        <v>44301.5</v>
      </c>
      <c r="C975" s="1" t="str">
        <f t="shared" si="15"/>
        <v>21106</v>
      </c>
      <c r="D975" t="s">
        <v>26</v>
      </c>
      <c r="E975" s="2" t="s">
        <v>27</v>
      </c>
      <c r="F975" s="2" t="str">
        <f>_xlfn.XLOOKUP(Table1_1[[#This Row],[CAS_rn]],[1]analyte_order!$C:$C,[1]analyte_order!$B:$B)</f>
        <v>PFHxS</v>
      </c>
      <c r="G975" t="s">
        <v>122</v>
      </c>
      <c r="H975" s="2">
        <f>_xlfn.XLOOKUP(Table1_1[[#This Row],[CAS_rn]],[1]analyte_order!$C:$C,[1]analyte_order!$E:$E)</f>
        <v>16</v>
      </c>
      <c r="I975">
        <v>0.28000000000000003</v>
      </c>
    </row>
    <row r="976" spans="1:9" x14ac:dyDescent="0.3">
      <c r="A976" s="2" t="s">
        <v>73</v>
      </c>
      <c r="B976" s="3">
        <v>44301.5</v>
      </c>
      <c r="C976" s="1" t="str">
        <f t="shared" si="15"/>
        <v>21106</v>
      </c>
      <c r="D976" t="s">
        <v>26</v>
      </c>
      <c r="E976" s="2" t="s">
        <v>27</v>
      </c>
      <c r="F976" s="2" t="str">
        <f>_xlfn.XLOOKUP(Table1_1[[#This Row],[CAS_rn]],[1]analyte_order!$C:$C,[1]analyte_order!$B:$B)</f>
        <v>PFHpS</v>
      </c>
      <c r="G976" t="s">
        <v>123</v>
      </c>
      <c r="H976" s="2">
        <f>_xlfn.XLOOKUP(Table1_1[[#This Row],[CAS_rn]],[1]analyte_order!$C:$C,[1]analyte_order!$E:$E)</f>
        <v>17</v>
      </c>
      <c r="I976">
        <v>4.9000000000000002E-2</v>
      </c>
    </row>
    <row r="977" spans="1:9" x14ac:dyDescent="0.3">
      <c r="A977" s="2" t="s">
        <v>73</v>
      </c>
      <c r="B977" s="3">
        <v>44301.5</v>
      </c>
      <c r="C977" s="1" t="str">
        <f t="shared" si="15"/>
        <v>21106</v>
      </c>
      <c r="D977" t="s">
        <v>26</v>
      </c>
      <c r="E977" s="2" t="s">
        <v>27</v>
      </c>
      <c r="F977" s="2" t="str">
        <f>_xlfn.XLOOKUP(Table1_1[[#This Row],[CAS_rn]],[1]analyte_order!$C:$C,[1]analyte_order!$B:$B)</f>
        <v>PFOS</v>
      </c>
      <c r="G977" t="s">
        <v>124</v>
      </c>
      <c r="H977" s="2">
        <f>_xlfn.XLOOKUP(Table1_1[[#This Row],[CAS_rn]],[1]analyte_order!$C:$C,[1]analyte_order!$E:$E)</f>
        <v>18</v>
      </c>
      <c r="I977">
        <v>0.79</v>
      </c>
    </row>
    <row r="978" spans="1:9" x14ac:dyDescent="0.3">
      <c r="A978" s="2" t="s">
        <v>73</v>
      </c>
      <c r="B978" s="3">
        <v>44301.5</v>
      </c>
      <c r="C978" s="1" t="str">
        <f t="shared" si="15"/>
        <v>21106</v>
      </c>
      <c r="D978" t="s">
        <v>26</v>
      </c>
      <c r="E978" s="2" t="s">
        <v>27</v>
      </c>
      <c r="F978" s="2" t="str">
        <f>_xlfn.XLOOKUP(Table1_1[[#This Row],[CAS_rn]],[1]analyte_order!$C:$C,[1]analyte_order!$B:$B)</f>
        <v>PFNS</v>
      </c>
      <c r="G978" t="s">
        <v>125</v>
      </c>
      <c r="H978" s="2">
        <f>_xlfn.XLOOKUP(Table1_1[[#This Row],[CAS_rn]],[1]analyte_order!$C:$C,[1]analyte_order!$E:$E)</f>
        <v>19</v>
      </c>
      <c r="I978">
        <v>4.9000000000000002E-2</v>
      </c>
    </row>
    <row r="979" spans="1:9" x14ac:dyDescent="0.3">
      <c r="A979" s="2" t="s">
        <v>73</v>
      </c>
      <c r="B979" s="3">
        <v>44301.5</v>
      </c>
      <c r="C979" s="1" t="str">
        <f t="shared" si="15"/>
        <v>21106</v>
      </c>
      <c r="D979" t="s">
        <v>26</v>
      </c>
      <c r="E979" s="2" t="s">
        <v>27</v>
      </c>
      <c r="F979" s="2" t="str">
        <f>_xlfn.XLOOKUP(Table1_1[[#This Row],[CAS_rn]],[1]analyte_order!$C:$C,[1]analyte_order!$B:$B)</f>
        <v>PFDoS</v>
      </c>
      <c r="G979" t="s">
        <v>126</v>
      </c>
      <c r="H979" s="2">
        <f>_xlfn.XLOOKUP(Table1_1[[#This Row],[CAS_rn]],[1]analyte_order!$C:$C,[1]analyte_order!$E:$E)</f>
        <v>21</v>
      </c>
      <c r="I979">
        <v>4.9000000000000002E-2</v>
      </c>
    </row>
    <row r="980" spans="1:9" x14ac:dyDescent="0.3">
      <c r="A980" s="2" t="s">
        <v>73</v>
      </c>
      <c r="B980" s="3">
        <v>44301.5</v>
      </c>
      <c r="C980" s="1" t="str">
        <f t="shared" si="15"/>
        <v>21106</v>
      </c>
      <c r="D980" t="s">
        <v>26</v>
      </c>
      <c r="E980" s="2" t="s">
        <v>27</v>
      </c>
      <c r="F980" s="2" t="str">
        <f>_xlfn.XLOOKUP(Table1_1[[#This Row],[CAS_rn]],[1]analyte_order!$C:$C,[1]analyte_order!$B:$B)</f>
        <v>4:2 FTS</v>
      </c>
      <c r="G980" t="s">
        <v>127</v>
      </c>
      <c r="H980" s="2">
        <f>_xlfn.XLOOKUP(Table1_1[[#This Row],[CAS_rn]],[1]analyte_order!$C:$C,[1]analyte_order!$E:$E)</f>
        <v>22</v>
      </c>
      <c r="I980">
        <v>0.19500000000000001</v>
      </c>
    </row>
    <row r="981" spans="1:9" x14ac:dyDescent="0.3">
      <c r="A981" s="2" t="s">
        <v>73</v>
      </c>
      <c r="B981" s="3">
        <v>44301.5</v>
      </c>
      <c r="C981" s="1" t="str">
        <f t="shared" si="15"/>
        <v>21106</v>
      </c>
      <c r="D981" t="s">
        <v>26</v>
      </c>
      <c r="E981" s="2" t="s">
        <v>27</v>
      </c>
      <c r="F981" s="2" t="str">
        <f>_xlfn.XLOOKUP(Table1_1[[#This Row],[CAS_rn]],[1]analyte_order!$C:$C,[1]analyte_order!$B:$B)</f>
        <v>6:2 FTS</v>
      </c>
      <c r="G981" t="s">
        <v>128</v>
      </c>
      <c r="H981" s="2">
        <f>_xlfn.XLOOKUP(Table1_1[[#This Row],[CAS_rn]],[1]analyte_order!$C:$C,[1]analyte_order!$E:$E)</f>
        <v>23</v>
      </c>
      <c r="I981">
        <v>0.39500000000000002</v>
      </c>
    </row>
    <row r="982" spans="1:9" x14ac:dyDescent="0.3">
      <c r="A982" s="2" t="s">
        <v>73</v>
      </c>
      <c r="B982" s="3">
        <v>44301.5</v>
      </c>
      <c r="C982" s="1" t="str">
        <f t="shared" si="15"/>
        <v>21106</v>
      </c>
      <c r="D982" t="s">
        <v>26</v>
      </c>
      <c r="E982" s="2" t="s">
        <v>27</v>
      </c>
      <c r="F982" s="2" t="str">
        <f>_xlfn.XLOOKUP(Table1_1[[#This Row],[CAS_rn]],[1]analyte_order!$C:$C,[1]analyte_order!$B:$B)</f>
        <v>8:2 FTS</v>
      </c>
      <c r="G982" t="s">
        <v>129</v>
      </c>
      <c r="H982" s="2">
        <f>_xlfn.XLOOKUP(Table1_1[[#This Row],[CAS_rn]],[1]analyte_order!$C:$C,[1]analyte_order!$E:$E)</f>
        <v>24</v>
      </c>
      <c r="I982">
        <v>0.39500000000000002</v>
      </c>
    </row>
    <row r="983" spans="1:9" x14ac:dyDescent="0.3">
      <c r="A983" s="2" t="s">
        <v>73</v>
      </c>
      <c r="B983" s="3">
        <v>44301.5</v>
      </c>
      <c r="C983" s="1" t="str">
        <f t="shared" si="15"/>
        <v>21106</v>
      </c>
      <c r="D983" t="s">
        <v>26</v>
      </c>
      <c r="E983" s="2" t="s">
        <v>27</v>
      </c>
      <c r="F983" s="2" t="str">
        <f>_xlfn.XLOOKUP(Table1_1[[#This Row],[CAS_rn]],[1]analyte_order!$C:$C,[1]analyte_order!$B:$B)</f>
        <v>FOSA</v>
      </c>
      <c r="G983" t="s">
        <v>130</v>
      </c>
      <c r="H983" s="2">
        <f>_xlfn.XLOOKUP(Table1_1[[#This Row],[CAS_rn]],[1]analyte_order!$C:$C,[1]analyte_order!$E:$E)</f>
        <v>28</v>
      </c>
      <c r="I983">
        <v>0.09</v>
      </c>
    </row>
    <row r="984" spans="1:9" x14ac:dyDescent="0.3">
      <c r="A984" s="2" t="s">
        <v>73</v>
      </c>
      <c r="B984" s="3">
        <v>44301.5</v>
      </c>
      <c r="C984" s="1" t="str">
        <f t="shared" si="15"/>
        <v>21106</v>
      </c>
      <c r="D984" t="s">
        <v>26</v>
      </c>
      <c r="E984" s="2" t="s">
        <v>27</v>
      </c>
      <c r="F984" s="2" t="str">
        <f>_xlfn.XLOOKUP(Table1_1[[#This Row],[CAS_rn]],[1]analyte_order!$C:$C,[1]analyte_order!$B:$B)</f>
        <v>N-MeFOSA</v>
      </c>
      <c r="G984" t="s">
        <v>131</v>
      </c>
      <c r="H984" s="2">
        <f>_xlfn.XLOOKUP(Table1_1[[#This Row],[CAS_rn]],[1]analyte_order!$C:$C,[1]analyte_order!$E:$E)</f>
        <v>30</v>
      </c>
      <c r="I984">
        <v>4.9000000000000002E-2</v>
      </c>
    </row>
    <row r="985" spans="1:9" x14ac:dyDescent="0.3">
      <c r="A985" s="2" t="s">
        <v>73</v>
      </c>
      <c r="B985" s="3">
        <v>44301.5</v>
      </c>
      <c r="C985" s="1" t="str">
        <f t="shared" si="15"/>
        <v>21106</v>
      </c>
      <c r="D985" t="s">
        <v>26</v>
      </c>
      <c r="E985" s="2" t="s">
        <v>27</v>
      </c>
      <c r="F985" s="2" t="str">
        <f>_xlfn.XLOOKUP(Table1_1[[#This Row],[CAS_rn]],[1]analyte_order!$C:$C,[1]analyte_order!$B:$B)</f>
        <v>N-MeFOSAA</v>
      </c>
      <c r="G985" t="s">
        <v>132</v>
      </c>
      <c r="H985" s="2">
        <f>_xlfn.XLOOKUP(Table1_1[[#This Row],[CAS_rn]],[1]analyte_order!$C:$C,[1]analyte_order!$E:$E)</f>
        <v>26</v>
      </c>
      <c r="I985">
        <v>4.9000000000000002E-2</v>
      </c>
    </row>
    <row r="986" spans="1:9" x14ac:dyDescent="0.3">
      <c r="A986" s="2" t="s">
        <v>73</v>
      </c>
      <c r="B986" s="3">
        <v>44301.5</v>
      </c>
      <c r="C986" s="1" t="str">
        <f t="shared" si="15"/>
        <v>21106</v>
      </c>
      <c r="D986" t="s">
        <v>26</v>
      </c>
      <c r="E986" s="2" t="s">
        <v>27</v>
      </c>
      <c r="F986" s="2" t="str">
        <f>_xlfn.XLOOKUP(Table1_1[[#This Row],[CAS_rn]],[1]analyte_order!$C:$C,[1]analyte_order!$B:$B)</f>
        <v>N-EtFOSA</v>
      </c>
      <c r="G986" t="s">
        <v>133</v>
      </c>
      <c r="H986" s="2">
        <f>_xlfn.XLOOKUP(Table1_1[[#This Row],[CAS_rn]],[1]analyte_order!$C:$C,[1]analyte_order!$E:$E)</f>
        <v>31</v>
      </c>
      <c r="I986">
        <v>4.9000000000000002E-2</v>
      </c>
    </row>
    <row r="987" spans="1:9" x14ac:dyDescent="0.3">
      <c r="A987" s="2" t="s">
        <v>73</v>
      </c>
      <c r="B987" s="3">
        <v>44301.5</v>
      </c>
      <c r="C987" s="1" t="str">
        <f t="shared" si="15"/>
        <v>21106</v>
      </c>
      <c r="D987" t="s">
        <v>26</v>
      </c>
      <c r="E987" s="2" t="s">
        <v>27</v>
      </c>
      <c r="F987" s="2" t="str">
        <f>_xlfn.XLOOKUP(Table1_1[[#This Row],[CAS_rn]],[1]analyte_order!$C:$C,[1]analyte_order!$B:$B)</f>
        <v>N-EtFOSAA</v>
      </c>
      <c r="G987" t="s">
        <v>134</v>
      </c>
      <c r="H987" s="2">
        <f>_xlfn.XLOOKUP(Table1_1[[#This Row],[CAS_rn]],[1]analyte_order!$C:$C,[1]analyte_order!$E:$E)</f>
        <v>27</v>
      </c>
      <c r="I987">
        <v>4.9000000000000002E-2</v>
      </c>
    </row>
    <row r="988" spans="1:9" x14ac:dyDescent="0.3">
      <c r="A988" s="2" t="s">
        <v>73</v>
      </c>
      <c r="B988" s="3">
        <v>44301.5</v>
      </c>
      <c r="C988" s="1" t="str">
        <f t="shared" si="15"/>
        <v>21106</v>
      </c>
      <c r="D988" t="s">
        <v>26</v>
      </c>
      <c r="E988" s="2" t="s">
        <v>27</v>
      </c>
      <c r="F988" s="2" t="str">
        <f>_xlfn.XLOOKUP(Table1_1[[#This Row],[CAS_rn]],[1]analyte_order!$C:$C,[1]analyte_order!$B:$B)</f>
        <v>N-MeFOSE</v>
      </c>
      <c r="G988" t="s">
        <v>135</v>
      </c>
      <c r="H988" s="2">
        <f>_xlfn.XLOOKUP(Table1_1[[#This Row],[CAS_rn]],[1]analyte_order!$C:$C,[1]analyte_order!$E:$E)</f>
        <v>32</v>
      </c>
      <c r="I988">
        <v>0.49</v>
      </c>
    </row>
    <row r="989" spans="1:9" x14ac:dyDescent="0.3">
      <c r="A989" s="2" t="s">
        <v>73</v>
      </c>
      <c r="B989" s="3">
        <v>44301.5</v>
      </c>
      <c r="C989" s="1" t="str">
        <f t="shared" si="15"/>
        <v>21106</v>
      </c>
      <c r="D989" t="s">
        <v>26</v>
      </c>
      <c r="E989" s="2" t="s">
        <v>27</v>
      </c>
      <c r="F989" s="2" t="str">
        <f>_xlfn.XLOOKUP(Table1_1[[#This Row],[CAS_rn]],[1]analyte_order!$C:$C,[1]analyte_order!$B:$B)</f>
        <v>N-EtFOSE</v>
      </c>
      <c r="G989" t="s">
        <v>136</v>
      </c>
      <c r="H989" s="2">
        <f>_xlfn.XLOOKUP(Table1_1[[#This Row],[CAS_rn]],[1]analyte_order!$C:$C,[1]analyte_order!$E:$E)</f>
        <v>33</v>
      </c>
      <c r="I989">
        <v>0.49</v>
      </c>
    </row>
    <row r="990" spans="1:9" x14ac:dyDescent="0.3">
      <c r="A990" s="2" t="s">
        <v>73</v>
      </c>
      <c r="B990" s="3">
        <v>44301.5</v>
      </c>
      <c r="C990" s="1" t="str">
        <f t="shared" si="15"/>
        <v>21106</v>
      </c>
      <c r="D990" t="s">
        <v>26</v>
      </c>
      <c r="E990" s="2" t="s">
        <v>27</v>
      </c>
      <c r="F990" s="2" t="str">
        <f>_xlfn.XLOOKUP(Table1_1[[#This Row],[CAS_rn]],[1]analyte_order!$C:$C,[1]analyte_order!$B:$B)</f>
        <v>HFPO-DA</v>
      </c>
      <c r="G990" t="s">
        <v>137</v>
      </c>
      <c r="H990" s="2">
        <f>_xlfn.XLOOKUP(Table1_1[[#This Row],[CAS_rn]],[1]analyte_order!$C:$C,[1]analyte_order!$E:$E)</f>
        <v>34</v>
      </c>
      <c r="I990">
        <v>0.29499999999999998</v>
      </c>
    </row>
    <row r="991" spans="1:9" x14ac:dyDescent="0.3">
      <c r="A991" s="2" t="s">
        <v>73</v>
      </c>
      <c r="B991" s="3">
        <v>44301.5</v>
      </c>
      <c r="C991" s="1" t="str">
        <f t="shared" si="15"/>
        <v>21106</v>
      </c>
      <c r="D991" t="s">
        <v>26</v>
      </c>
      <c r="E991" s="2" t="s">
        <v>27</v>
      </c>
      <c r="F991" s="2" t="str">
        <f>_xlfn.XLOOKUP(Table1_1[[#This Row],[CAS_rn]],[1]analyte_order!$C:$C,[1]analyte_order!$B:$B)</f>
        <v>ADONA</v>
      </c>
      <c r="G991" t="s">
        <v>138</v>
      </c>
      <c r="H991" s="2">
        <f>_xlfn.XLOOKUP(Table1_1[[#This Row],[CAS_rn]],[1]analyte_order!$C:$C,[1]analyte_order!$E:$E)</f>
        <v>35</v>
      </c>
      <c r="I991">
        <v>0.19500000000000001</v>
      </c>
    </row>
    <row r="992" spans="1:9" x14ac:dyDescent="0.3">
      <c r="A992" s="2" t="s">
        <v>73</v>
      </c>
      <c r="B992" s="3">
        <v>44301.5</v>
      </c>
      <c r="C992" s="1" t="str">
        <f t="shared" si="15"/>
        <v>21106</v>
      </c>
      <c r="D992" t="s">
        <v>26</v>
      </c>
      <c r="E992" s="2" t="s">
        <v>27</v>
      </c>
      <c r="F992" s="2" t="str">
        <f>_xlfn.XLOOKUP(Table1_1[[#This Row],[CAS_rn]],[1]analyte_order!$C:$C,[1]analyte_order!$B:$B)</f>
        <v>PFMBA</v>
      </c>
      <c r="G992" t="s">
        <v>139</v>
      </c>
      <c r="H992" s="2">
        <f>_xlfn.XLOOKUP(Table1_1[[#This Row],[CAS_rn]],[1]analyte_order!$C:$C,[1]analyte_order!$E:$E)</f>
        <v>48</v>
      </c>
      <c r="I992">
        <v>0.1</v>
      </c>
    </row>
    <row r="993" spans="1:9" x14ac:dyDescent="0.3">
      <c r="A993" s="2" t="s">
        <v>73</v>
      </c>
      <c r="B993" s="3">
        <v>44301.5</v>
      </c>
      <c r="C993" s="1" t="str">
        <f t="shared" si="15"/>
        <v>21106</v>
      </c>
      <c r="D993" t="s">
        <v>26</v>
      </c>
      <c r="E993" s="2" t="s">
        <v>27</v>
      </c>
      <c r="F993" s="2" t="str">
        <f>_xlfn.XLOOKUP(Table1_1[[#This Row],[CAS_rn]],[1]analyte_order!$C:$C,[1]analyte_order!$B:$B)</f>
        <v>NFDHA</v>
      </c>
      <c r="G993" t="s">
        <v>140</v>
      </c>
      <c r="H993" s="2">
        <f>_xlfn.XLOOKUP(Table1_1[[#This Row],[CAS_rn]],[1]analyte_order!$C:$C,[1]analyte_order!$E:$E)</f>
        <v>50</v>
      </c>
      <c r="I993">
        <v>0.1</v>
      </c>
    </row>
    <row r="994" spans="1:9" x14ac:dyDescent="0.3">
      <c r="A994" s="2" t="s">
        <v>73</v>
      </c>
      <c r="B994" s="3">
        <v>44301.5</v>
      </c>
      <c r="C994" s="1" t="str">
        <f t="shared" si="15"/>
        <v>21106</v>
      </c>
      <c r="D994" t="s">
        <v>26</v>
      </c>
      <c r="E994" s="2" t="s">
        <v>27</v>
      </c>
      <c r="F994" s="2" t="str">
        <f>_xlfn.XLOOKUP(Table1_1[[#This Row],[CAS_rn]],[1]analyte_order!$C:$C,[1]analyte_order!$B:$B)</f>
        <v>9Cl-PF3ONS</v>
      </c>
      <c r="G994" t="s">
        <v>141</v>
      </c>
      <c r="H994" s="2">
        <f>_xlfn.XLOOKUP(Table1_1[[#This Row],[CAS_rn]],[1]analyte_order!$C:$C,[1]analyte_order!$E:$E)</f>
        <v>36</v>
      </c>
      <c r="I994">
        <v>0.19500000000000001</v>
      </c>
    </row>
    <row r="995" spans="1:9" x14ac:dyDescent="0.3">
      <c r="A995" s="2" t="s">
        <v>73</v>
      </c>
      <c r="B995" s="3">
        <v>44301.5</v>
      </c>
      <c r="C995" s="1" t="str">
        <f t="shared" si="15"/>
        <v>21106</v>
      </c>
      <c r="D995" t="s">
        <v>26</v>
      </c>
      <c r="E995" s="2" t="s">
        <v>27</v>
      </c>
      <c r="F995" s="2" t="str">
        <f>_xlfn.XLOOKUP(Table1_1[[#This Row],[CAS_rn]],[1]analyte_order!$C:$C,[1]analyte_order!$B:$B)</f>
        <v>11Cl-PF3OUdS</v>
      </c>
      <c r="G995" t="s">
        <v>142</v>
      </c>
      <c r="H995" s="2">
        <f>_xlfn.XLOOKUP(Table1_1[[#This Row],[CAS_rn]],[1]analyte_order!$C:$C,[1]analyte_order!$E:$E)</f>
        <v>37</v>
      </c>
      <c r="I995">
        <v>0.19500000000000001</v>
      </c>
    </row>
    <row r="996" spans="1:9" x14ac:dyDescent="0.3">
      <c r="A996" s="2" t="s">
        <v>73</v>
      </c>
      <c r="B996" s="3">
        <v>44301.5</v>
      </c>
      <c r="C996" s="1" t="str">
        <f t="shared" si="15"/>
        <v>21106</v>
      </c>
      <c r="D996" t="s">
        <v>26</v>
      </c>
      <c r="E996" s="2" t="s">
        <v>27</v>
      </c>
      <c r="F996" s="2" t="str">
        <f>_xlfn.XLOOKUP(Table1_1[[#This Row],[CAS_rn]],[1]analyte_order!$C:$C,[1]analyte_order!$B:$B)</f>
        <v>PFEESA</v>
      </c>
      <c r="G996" t="s">
        <v>143</v>
      </c>
      <c r="H996" s="2">
        <f>_xlfn.XLOOKUP(Table1_1[[#This Row],[CAS_rn]],[1]analyte_order!$C:$C,[1]analyte_order!$E:$E)</f>
        <v>47</v>
      </c>
      <c r="I996">
        <v>0.1</v>
      </c>
    </row>
    <row r="997" spans="1:9" x14ac:dyDescent="0.3">
      <c r="A997" s="2" t="s">
        <v>73</v>
      </c>
      <c r="B997" s="3">
        <v>44301.5</v>
      </c>
      <c r="C997" s="1" t="str">
        <f t="shared" si="15"/>
        <v>21106</v>
      </c>
      <c r="D997" t="s">
        <v>26</v>
      </c>
      <c r="E997" s="2" t="s">
        <v>27</v>
      </c>
      <c r="F997" s="2" t="str">
        <f>_xlfn.XLOOKUP(Table1_1[[#This Row],[CAS_rn]],[1]analyte_order!$C:$C,[1]analyte_order!$B:$B)</f>
        <v>3:3 FTCA</v>
      </c>
      <c r="G997" t="s">
        <v>144</v>
      </c>
      <c r="H997" s="2">
        <f>_xlfn.XLOOKUP(Table1_1[[#This Row],[CAS_rn]],[1]analyte_order!$C:$C,[1]analyte_order!$E:$E)</f>
        <v>38</v>
      </c>
      <c r="I997">
        <v>0.245</v>
      </c>
    </row>
    <row r="998" spans="1:9" x14ac:dyDescent="0.3">
      <c r="A998" s="2" t="s">
        <v>73</v>
      </c>
      <c r="B998" s="3">
        <v>44301.5</v>
      </c>
      <c r="C998" s="1" t="str">
        <f t="shared" si="15"/>
        <v>21106</v>
      </c>
      <c r="D998" t="s">
        <v>26</v>
      </c>
      <c r="E998" s="2" t="s">
        <v>27</v>
      </c>
      <c r="F998" s="2" t="str">
        <f>_xlfn.XLOOKUP(Table1_1[[#This Row],[CAS_rn]],[1]analyte_order!$C:$C,[1]analyte_order!$B:$B)</f>
        <v>5:3 FTCA</v>
      </c>
      <c r="G998" t="s">
        <v>145</v>
      </c>
      <c r="H998" s="2">
        <f>_xlfn.XLOOKUP(Table1_1[[#This Row],[CAS_rn]],[1]analyte_order!$C:$C,[1]analyte_order!$E:$E)</f>
        <v>39</v>
      </c>
      <c r="I998">
        <v>1.25</v>
      </c>
    </row>
    <row r="999" spans="1:9" x14ac:dyDescent="0.3">
      <c r="A999" s="2" t="s">
        <v>73</v>
      </c>
      <c r="B999" s="3">
        <v>44301.5</v>
      </c>
      <c r="C999" s="1" t="str">
        <f t="shared" si="15"/>
        <v>21106</v>
      </c>
      <c r="D999" t="s">
        <v>26</v>
      </c>
      <c r="E999" s="2" t="s">
        <v>27</v>
      </c>
      <c r="F999" s="2" t="str">
        <f>_xlfn.XLOOKUP(Table1_1[[#This Row],[CAS_rn]],[1]analyte_order!$C:$C,[1]analyte_order!$B:$B)</f>
        <v>7:3 FTCA</v>
      </c>
      <c r="G999" t="s">
        <v>146</v>
      </c>
      <c r="H999" s="2">
        <f>_xlfn.XLOOKUP(Table1_1[[#This Row],[CAS_rn]],[1]analyte_order!$C:$C,[1]analyte_order!$E:$E)</f>
        <v>40</v>
      </c>
      <c r="I999">
        <v>1.25</v>
      </c>
    </row>
    <row r="1000" spans="1:9" x14ac:dyDescent="0.3">
      <c r="A1000" s="2" t="s">
        <v>73</v>
      </c>
      <c r="B1000" s="3">
        <v>44301.5</v>
      </c>
      <c r="C1000" s="1" t="str">
        <f t="shared" si="15"/>
        <v>21106</v>
      </c>
      <c r="D1000" t="s">
        <v>26</v>
      </c>
      <c r="E1000" s="2" t="s">
        <v>27</v>
      </c>
      <c r="F1000" s="2" t="str">
        <f>_xlfn.XLOOKUP(Table1_1[[#This Row],[CAS_rn]],[1]analyte_order!$C:$C,[1]analyte_order!$B:$B)</f>
        <v>PFDS</v>
      </c>
      <c r="G1000" t="s">
        <v>147</v>
      </c>
      <c r="H1000" s="2">
        <f>_xlfn.XLOOKUP(Table1_1[[#This Row],[CAS_rn]],[1]analyte_order!$C:$C,[1]analyte_order!$E:$E)</f>
        <v>20</v>
      </c>
      <c r="I1000">
        <v>4.9000000000000002E-2</v>
      </c>
    </row>
    <row r="1001" spans="1:9" x14ac:dyDescent="0.3">
      <c r="A1001" s="2" t="s">
        <v>73</v>
      </c>
      <c r="B1001" s="3">
        <v>44301.5</v>
      </c>
      <c r="C1001" s="1" t="str">
        <f t="shared" si="15"/>
        <v>21106</v>
      </c>
      <c r="D1001" t="s">
        <v>26</v>
      </c>
      <c r="E1001" s="2" t="s">
        <v>27</v>
      </c>
      <c r="F1001" s="2" t="str">
        <f>_xlfn.XLOOKUP(Table1_1[[#This Row],[CAS_rn]],[1]analyte_order!$C:$C,[1]analyte_order!$B:$B)</f>
        <v>PFMPA</v>
      </c>
      <c r="G1001" t="s">
        <v>148</v>
      </c>
      <c r="H1001" s="2">
        <f>_xlfn.XLOOKUP(Table1_1[[#This Row],[CAS_rn]],[1]analyte_order!$C:$C,[1]analyte_order!$E:$E)</f>
        <v>49</v>
      </c>
      <c r="I1001">
        <v>0.1</v>
      </c>
    </row>
    <row r="1002" spans="1:9" x14ac:dyDescent="0.3">
      <c r="A1002" s="2" t="s">
        <v>74</v>
      </c>
      <c r="B1002" s="3">
        <v>44301.5</v>
      </c>
      <c r="C1002" s="1" t="str">
        <f t="shared" si="15"/>
        <v>21106</v>
      </c>
      <c r="D1002" t="s">
        <v>31</v>
      </c>
      <c r="E1002" s="2" t="s">
        <v>27</v>
      </c>
      <c r="F1002" s="2" t="str">
        <f>_xlfn.XLOOKUP(Table1_1[[#This Row],[CAS_rn]],[1]analyte_order!$C:$C,[1]analyte_order!$B:$B)</f>
        <v>PFBA</v>
      </c>
      <c r="G1002" t="s">
        <v>109</v>
      </c>
      <c r="H1002" s="2">
        <f>_xlfn.XLOOKUP(Table1_1[[#This Row],[CAS_rn]],[1]analyte_order!$C:$C,[1]analyte_order!$E:$E)</f>
        <v>1</v>
      </c>
      <c r="I1002">
        <v>0.2</v>
      </c>
    </row>
    <row r="1003" spans="1:9" x14ac:dyDescent="0.3">
      <c r="A1003" s="2" t="s">
        <v>74</v>
      </c>
      <c r="B1003" s="3">
        <v>44301.5</v>
      </c>
      <c r="C1003" s="1" t="str">
        <f t="shared" si="15"/>
        <v>21106</v>
      </c>
      <c r="D1003" t="s">
        <v>31</v>
      </c>
      <c r="E1003" s="2" t="s">
        <v>27</v>
      </c>
      <c r="F1003" s="2" t="str">
        <f>_xlfn.XLOOKUP(Table1_1[[#This Row],[CAS_rn]],[1]analyte_order!$C:$C,[1]analyte_order!$B:$B)</f>
        <v>PFPeA</v>
      </c>
      <c r="G1003" t="s">
        <v>110</v>
      </c>
      <c r="H1003" s="2">
        <f>_xlfn.XLOOKUP(Table1_1[[#This Row],[CAS_rn]],[1]analyte_order!$C:$C,[1]analyte_order!$E:$E)</f>
        <v>2</v>
      </c>
      <c r="I1003">
        <v>0.1</v>
      </c>
    </row>
    <row r="1004" spans="1:9" x14ac:dyDescent="0.3">
      <c r="A1004" s="2" t="s">
        <v>74</v>
      </c>
      <c r="B1004" s="3">
        <v>44301.5</v>
      </c>
      <c r="C1004" s="1" t="str">
        <f t="shared" si="15"/>
        <v>21106</v>
      </c>
      <c r="D1004" t="s">
        <v>31</v>
      </c>
      <c r="E1004" s="2" t="s">
        <v>27</v>
      </c>
      <c r="F1004" s="2" t="str">
        <f>_xlfn.XLOOKUP(Table1_1[[#This Row],[CAS_rn]],[1]analyte_order!$C:$C,[1]analyte_order!$B:$B)</f>
        <v>PFHxA</v>
      </c>
      <c r="G1004" t="s">
        <v>111</v>
      </c>
      <c r="H1004" s="2">
        <f>_xlfn.XLOOKUP(Table1_1[[#This Row],[CAS_rn]],[1]analyte_order!$C:$C,[1]analyte_order!$E:$E)</f>
        <v>3</v>
      </c>
      <c r="I1004">
        <v>9.1999999999999998E-2</v>
      </c>
    </row>
    <row r="1005" spans="1:9" x14ac:dyDescent="0.3">
      <c r="A1005" s="2" t="s">
        <v>74</v>
      </c>
      <c r="B1005" s="3">
        <v>44301.5</v>
      </c>
      <c r="C1005" s="1" t="str">
        <f t="shared" si="15"/>
        <v>21106</v>
      </c>
      <c r="D1005" t="s">
        <v>31</v>
      </c>
      <c r="E1005" s="2" t="s">
        <v>27</v>
      </c>
      <c r="F1005" s="2" t="str">
        <f>_xlfn.XLOOKUP(Table1_1[[#This Row],[CAS_rn]],[1]analyte_order!$C:$C,[1]analyte_order!$B:$B)</f>
        <v>PFHpA</v>
      </c>
      <c r="G1005" t="s">
        <v>112</v>
      </c>
      <c r="H1005" s="2">
        <f>_xlfn.XLOOKUP(Table1_1[[#This Row],[CAS_rn]],[1]analyte_order!$C:$C,[1]analyte_order!$E:$E)</f>
        <v>4</v>
      </c>
      <c r="I1005">
        <v>0.09</v>
      </c>
    </row>
    <row r="1006" spans="1:9" x14ac:dyDescent="0.3">
      <c r="A1006" s="2" t="s">
        <v>74</v>
      </c>
      <c r="B1006" s="3">
        <v>44301.5</v>
      </c>
      <c r="C1006" s="1" t="str">
        <f t="shared" si="15"/>
        <v>21106</v>
      </c>
      <c r="D1006" t="s">
        <v>31</v>
      </c>
      <c r="E1006" s="2" t="s">
        <v>27</v>
      </c>
      <c r="F1006" s="2" t="str">
        <f>_xlfn.XLOOKUP(Table1_1[[#This Row],[CAS_rn]],[1]analyte_order!$C:$C,[1]analyte_order!$B:$B)</f>
        <v>PFOA</v>
      </c>
      <c r="G1006" t="s">
        <v>113</v>
      </c>
      <c r="H1006" s="2">
        <f>_xlfn.XLOOKUP(Table1_1[[#This Row],[CAS_rn]],[1]analyte_order!$C:$C,[1]analyte_order!$E:$E)</f>
        <v>5</v>
      </c>
      <c r="I1006">
        <v>0.1</v>
      </c>
    </row>
    <row r="1007" spans="1:9" x14ac:dyDescent="0.3">
      <c r="A1007" s="2" t="s">
        <v>74</v>
      </c>
      <c r="B1007" s="3">
        <v>44301.5</v>
      </c>
      <c r="C1007" s="1" t="str">
        <f t="shared" si="15"/>
        <v>21106</v>
      </c>
      <c r="D1007" t="s">
        <v>31</v>
      </c>
      <c r="E1007" s="2" t="s">
        <v>27</v>
      </c>
      <c r="F1007" s="2" t="str">
        <f>_xlfn.XLOOKUP(Table1_1[[#This Row],[CAS_rn]],[1]analyte_order!$C:$C,[1]analyte_order!$B:$B)</f>
        <v>PFNA</v>
      </c>
      <c r="G1007" t="s">
        <v>114</v>
      </c>
      <c r="H1007" s="2">
        <f>_xlfn.XLOOKUP(Table1_1[[#This Row],[CAS_rn]],[1]analyte_order!$C:$C,[1]analyte_order!$E:$E)</f>
        <v>6</v>
      </c>
      <c r="I1007">
        <v>4.9500000000000002E-2</v>
      </c>
    </row>
    <row r="1008" spans="1:9" x14ac:dyDescent="0.3">
      <c r="A1008" s="2" t="s">
        <v>74</v>
      </c>
      <c r="B1008" s="3">
        <v>44301.5</v>
      </c>
      <c r="C1008" s="1" t="str">
        <f t="shared" si="15"/>
        <v>21106</v>
      </c>
      <c r="D1008" t="s">
        <v>31</v>
      </c>
      <c r="E1008" s="2" t="s">
        <v>27</v>
      </c>
      <c r="F1008" s="2" t="str">
        <f>_xlfn.XLOOKUP(Table1_1[[#This Row],[CAS_rn]],[1]analyte_order!$C:$C,[1]analyte_order!$B:$B)</f>
        <v>PFDA</v>
      </c>
      <c r="G1008" t="s">
        <v>115</v>
      </c>
      <c r="H1008" s="2">
        <f>_xlfn.XLOOKUP(Table1_1[[#This Row],[CAS_rn]],[1]analyte_order!$C:$C,[1]analyte_order!$E:$E)</f>
        <v>7</v>
      </c>
      <c r="I1008">
        <v>4.9500000000000002E-2</v>
      </c>
    </row>
    <row r="1009" spans="1:9" x14ac:dyDescent="0.3">
      <c r="A1009" s="2" t="s">
        <v>74</v>
      </c>
      <c r="B1009" s="3">
        <v>44301.5</v>
      </c>
      <c r="C1009" s="1" t="str">
        <f t="shared" si="15"/>
        <v>21106</v>
      </c>
      <c r="D1009" t="s">
        <v>31</v>
      </c>
      <c r="E1009" s="2" t="s">
        <v>27</v>
      </c>
      <c r="F1009" s="2" t="str">
        <f>_xlfn.XLOOKUP(Table1_1[[#This Row],[CAS_rn]],[1]analyte_order!$C:$C,[1]analyte_order!$B:$B)</f>
        <v>PFUnA</v>
      </c>
      <c r="G1009" t="s">
        <v>116</v>
      </c>
      <c r="H1009" s="2">
        <f>_xlfn.XLOOKUP(Table1_1[[#This Row],[CAS_rn]],[1]analyte_order!$C:$C,[1]analyte_order!$E:$E)</f>
        <v>8</v>
      </c>
      <c r="I1009">
        <v>4.9500000000000002E-2</v>
      </c>
    </row>
    <row r="1010" spans="1:9" x14ac:dyDescent="0.3">
      <c r="A1010" s="2" t="s">
        <v>74</v>
      </c>
      <c r="B1010" s="3">
        <v>44301.5</v>
      </c>
      <c r="C1010" s="1" t="str">
        <f t="shared" si="15"/>
        <v>21106</v>
      </c>
      <c r="D1010" t="s">
        <v>31</v>
      </c>
      <c r="E1010" s="2" t="s">
        <v>27</v>
      </c>
      <c r="F1010" s="2" t="str">
        <f>_xlfn.XLOOKUP(Table1_1[[#This Row],[CAS_rn]],[1]analyte_order!$C:$C,[1]analyte_order!$B:$B)</f>
        <v>PFDoA</v>
      </c>
      <c r="G1010" t="s">
        <v>117</v>
      </c>
      <c r="H1010" s="2">
        <f>_xlfn.XLOOKUP(Table1_1[[#This Row],[CAS_rn]],[1]analyte_order!$C:$C,[1]analyte_order!$E:$E)</f>
        <v>9</v>
      </c>
      <c r="I1010">
        <v>4.9500000000000002E-2</v>
      </c>
    </row>
    <row r="1011" spans="1:9" x14ac:dyDescent="0.3">
      <c r="A1011" s="2" t="s">
        <v>74</v>
      </c>
      <c r="B1011" s="3">
        <v>44301.5</v>
      </c>
      <c r="C1011" s="1" t="str">
        <f t="shared" si="15"/>
        <v>21106</v>
      </c>
      <c r="D1011" t="s">
        <v>31</v>
      </c>
      <c r="E1011" s="2" t="s">
        <v>27</v>
      </c>
      <c r="F1011" s="2" t="str">
        <f>_xlfn.XLOOKUP(Table1_1[[#This Row],[CAS_rn]],[1]analyte_order!$C:$C,[1]analyte_order!$B:$B)</f>
        <v>PFTrDA</v>
      </c>
      <c r="G1011" t="s">
        <v>118</v>
      </c>
      <c r="H1011" s="2">
        <f>_xlfn.XLOOKUP(Table1_1[[#This Row],[CAS_rn]],[1]analyte_order!$C:$C,[1]analyte_order!$E:$E)</f>
        <v>10</v>
      </c>
      <c r="I1011">
        <v>0.38</v>
      </c>
    </row>
    <row r="1012" spans="1:9" x14ac:dyDescent="0.3">
      <c r="A1012" s="2" t="s">
        <v>74</v>
      </c>
      <c r="B1012" s="3">
        <v>44301.5</v>
      </c>
      <c r="C1012" s="1" t="str">
        <f t="shared" si="15"/>
        <v>21106</v>
      </c>
      <c r="D1012" t="s">
        <v>31</v>
      </c>
      <c r="E1012" s="2" t="s">
        <v>27</v>
      </c>
      <c r="F1012" s="2" t="str">
        <f>_xlfn.XLOOKUP(Table1_1[[#This Row],[CAS_rn]],[1]analyte_order!$C:$C,[1]analyte_order!$B:$B)</f>
        <v>PFTeDA</v>
      </c>
      <c r="G1012" t="s">
        <v>119</v>
      </c>
      <c r="H1012" s="2">
        <f>_xlfn.XLOOKUP(Table1_1[[#This Row],[CAS_rn]],[1]analyte_order!$C:$C,[1]analyte_order!$E:$E)</f>
        <v>11</v>
      </c>
      <c r="I1012">
        <v>4.9500000000000002E-2</v>
      </c>
    </row>
    <row r="1013" spans="1:9" x14ac:dyDescent="0.3">
      <c r="A1013" s="2" t="s">
        <v>74</v>
      </c>
      <c r="B1013" s="3">
        <v>44301.5</v>
      </c>
      <c r="C1013" s="1" t="str">
        <f t="shared" si="15"/>
        <v>21106</v>
      </c>
      <c r="D1013" t="s">
        <v>31</v>
      </c>
      <c r="E1013" s="2" t="s">
        <v>27</v>
      </c>
      <c r="F1013" s="2" t="str">
        <f>_xlfn.XLOOKUP(Table1_1[[#This Row],[CAS_rn]],[1]analyte_order!$C:$C,[1]analyte_order!$B:$B)</f>
        <v>PFBS</v>
      </c>
      <c r="G1013" t="s">
        <v>120</v>
      </c>
      <c r="H1013" s="2">
        <f>_xlfn.XLOOKUP(Table1_1[[#This Row],[CAS_rn]],[1]analyte_order!$C:$C,[1]analyte_order!$E:$E)</f>
        <v>14</v>
      </c>
      <c r="I1013">
        <v>4.9500000000000002E-2</v>
      </c>
    </row>
    <row r="1014" spans="1:9" x14ac:dyDescent="0.3">
      <c r="A1014" s="2" t="s">
        <v>74</v>
      </c>
      <c r="B1014" s="3">
        <v>44301.5</v>
      </c>
      <c r="C1014" s="1" t="str">
        <f t="shared" si="15"/>
        <v>21106</v>
      </c>
      <c r="D1014" t="s">
        <v>31</v>
      </c>
      <c r="E1014" s="2" t="s">
        <v>27</v>
      </c>
      <c r="F1014" s="2" t="str">
        <f>_xlfn.XLOOKUP(Table1_1[[#This Row],[CAS_rn]],[1]analyte_order!$C:$C,[1]analyte_order!$B:$B)</f>
        <v>PFPeS</v>
      </c>
      <c r="G1014" t="s">
        <v>121</v>
      </c>
      <c r="H1014" s="2">
        <f>_xlfn.XLOOKUP(Table1_1[[#This Row],[CAS_rn]],[1]analyte_order!$C:$C,[1]analyte_order!$E:$E)</f>
        <v>15</v>
      </c>
      <c r="I1014">
        <v>4.9500000000000002E-2</v>
      </c>
    </row>
    <row r="1015" spans="1:9" x14ac:dyDescent="0.3">
      <c r="A1015" s="2" t="s">
        <v>74</v>
      </c>
      <c r="B1015" s="3">
        <v>44301.5</v>
      </c>
      <c r="C1015" s="1" t="str">
        <f t="shared" si="15"/>
        <v>21106</v>
      </c>
      <c r="D1015" t="s">
        <v>31</v>
      </c>
      <c r="E1015" s="2" t="s">
        <v>27</v>
      </c>
      <c r="F1015" s="2" t="str">
        <f>_xlfn.XLOOKUP(Table1_1[[#This Row],[CAS_rn]],[1]analyte_order!$C:$C,[1]analyte_order!$B:$B)</f>
        <v>PFHxS</v>
      </c>
      <c r="G1015" t="s">
        <v>122</v>
      </c>
      <c r="H1015" s="2">
        <f>_xlfn.XLOOKUP(Table1_1[[#This Row],[CAS_rn]],[1]analyte_order!$C:$C,[1]analyte_order!$E:$E)</f>
        <v>16</v>
      </c>
      <c r="I1015">
        <v>0.35</v>
      </c>
    </row>
    <row r="1016" spans="1:9" x14ac:dyDescent="0.3">
      <c r="A1016" s="2" t="s">
        <v>74</v>
      </c>
      <c r="B1016" s="3">
        <v>44301.5</v>
      </c>
      <c r="C1016" s="1" t="str">
        <f t="shared" si="15"/>
        <v>21106</v>
      </c>
      <c r="D1016" t="s">
        <v>31</v>
      </c>
      <c r="E1016" s="2" t="s">
        <v>27</v>
      </c>
      <c r="F1016" s="2" t="str">
        <f>_xlfn.XLOOKUP(Table1_1[[#This Row],[CAS_rn]],[1]analyte_order!$C:$C,[1]analyte_order!$B:$B)</f>
        <v>PFHpS</v>
      </c>
      <c r="G1016" t="s">
        <v>123</v>
      </c>
      <c r="H1016" s="2">
        <f>_xlfn.XLOOKUP(Table1_1[[#This Row],[CAS_rn]],[1]analyte_order!$C:$C,[1]analyte_order!$E:$E)</f>
        <v>17</v>
      </c>
      <c r="I1016">
        <v>4.9500000000000002E-2</v>
      </c>
    </row>
    <row r="1017" spans="1:9" x14ac:dyDescent="0.3">
      <c r="A1017" s="2" t="s">
        <v>74</v>
      </c>
      <c r="B1017" s="3">
        <v>44301.5</v>
      </c>
      <c r="C1017" s="1" t="str">
        <f t="shared" si="15"/>
        <v>21106</v>
      </c>
      <c r="D1017" t="s">
        <v>31</v>
      </c>
      <c r="E1017" s="2" t="s">
        <v>27</v>
      </c>
      <c r="F1017" s="2" t="str">
        <f>_xlfn.XLOOKUP(Table1_1[[#This Row],[CAS_rn]],[1]analyte_order!$C:$C,[1]analyte_order!$B:$B)</f>
        <v>PFOS</v>
      </c>
      <c r="G1017" t="s">
        <v>124</v>
      </c>
      <c r="H1017" s="2">
        <f>_xlfn.XLOOKUP(Table1_1[[#This Row],[CAS_rn]],[1]analyte_order!$C:$C,[1]analyte_order!$E:$E)</f>
        <v>18</v>
      </c>
      <c r="I1017">
        <v>2.2000000000000002</v>
      </c>
    </row>
    <row r="1018" spans="1:9" x14ac:dyDescent="0.3">
      <c r="A1018" s="2" t="s">
        <v>74</v>
      </c>
      <c r="B1018" s="3">
        <v>44301.5</v>
      </c>
      <c r="C1018" s="1" t="str">
        <f t="shared" si="15"/>
        <v>21106</v>
      </c>
      <c r="D1018" t="s">
        <v>31</v>
      </c>
      <c r="E1018" s="2" t="s">
        <v>27</v>
      </c>
      <c r="F1018" s="2" t="str">
        <f>_xlfn.XLOOKUP(Table1_1[[#This Row],[CAS_rn]],[1]analyte_order!$C:$C,[1]analyte_order!$B:$B)</f>
        <v>PFNS</v>
      </c>
      <c r="G1018" t="s">
        <v>125</v>
      </c>
      <c r="H1018" s="2">
        <f>_xlfn.XLOOKUP(Table1_1[[#This Row],[CAS_rn]],[1]analyte_order!$C:$C,[1]analyte_order!$E:$E)</f>
        <v>19</v>
      </c>
      <c r="I1018">
        <v>4.9500000000000002E-2</v>
      </c>
    </row>
    <row r="1019" spans="1:9" x14ac:dyDescent="0.3">
      <c r="A1019" s="2" t="s">
        <v>74</v>
      </c>
      <c r="B1019" s="3">
        <v>44301.5</v>
      </c>
      <c r="C1019" s="1" t="str">
        <f t="shared" si="15"/>
        <v>21106</v>
      </c>
      <c r="D1019" t="s">
        <v>31</v>
      </c>
      <c r="E1019" s="2" t="s">
        <v>27</v>
      </c>
      <c r="F1019" s="2" t="str">
        <f>_xlfn.XLOOKUP(Table1_1[[#This Row],[CAS_rn]],[1]analyte_order!$C:$C,[1]analyte_order!$B:$B)</f>
        <v>PFDoS</v>
      </c>
      <c r="G1019" t="s">
        <v>126</v>
      </c>
      <c r="H1019" s="2">
        <f>_xlfn.XLOOKUP(Table1_1[[#This Row],[CAS_rn]],[1]analyte_order!$C:$C,[1]analyte_order!$E:$E)</f>
        <v>21</v>
      </c>
      <c r="I1019">
        <v>4.9500000000000002E-2</v>
      </c>
    </row>
    <row r="1020" spans="1:9" x14ac:dyDescent="0.3">
      <c r="A1020" s="2" t="s">
        <v>74</v>
      </c>
      <c r="B1020" s="3">
        <v>44301.5</v>
      </c>
      <c r="C1020" s="1" t="str">
        <f t="shared" si="15"/>
        <v>21106</v>
      </c>
      <c r="D1020" t="s">
        <v>31</v>
      </c>
      <c r="E1020" s="2" t="s">
        <v>27</v>
      </c>
      <c r="F1020" s="2" t="str">
        <f>_xlfn.XLOOKUP(Table1_1[[#This Row],[CAS_rn]],[1]analyte_order!$C:$C,[1]analyte_order!$B:$B)</f>
        <v>4:2 FTS</v>
      </c>
      <c r="G1020" t="s">
        <v>127</v>
      </c>
      <c r="H1020" s="2">
        <f>_xlfn.XLOOKUP(Table1_1[[#This Row],[CAS_rn]],[1]analyte_order!$C:$C,[1]analyte_order!$E:$E)</f>
        <v>22</v>
      </c>
      <c r="I1020">
        <v>0.2</v>
      </c>
    </row>
    <row r="1021" spans="1:9" x14ac:dyDescent="0.3">
      <c r="A1021" s="2" t="s">
        <v>74</v>
      </c>
      <c r="B1021" s="3">
        <v>44301.5</v>
      </c>
      <c r="C1021" s="1" t="str">
        <f t="shared" si="15"/>
        <v>21106</v>
      </c>
      <c r="D1021" t="s">
        <v>31</v>
      </c>
      <c r="E1021" s="2" t="s">
        <v>27</v>
      </c>
      <c r="F1021" s="2" t="str">
        <f>_xlfn.XLOOKUP(Table1_1[[#This Row],[CAS_rn]],[1]analyte_order!$C:$C,[1]analyte_order!$B:$B)</f>
        <v>6:2 FTS</v>
      </c>
      <c r="G1021" t="s">
        <v>128</v>
      </c>
      <c r="H1021" s="2">
        <f>_xlfn.XLOOKUP(Table1_1[[#This Row],[CAS_rn]],[1]analyte_order!$C:$C,[1]analyte_order!$E:$E)</f>
        <v>23</v>
      </c>
      <c r="I1021">
        <v>0.39500000000000002</v>
      </c>
    </row>
    <row r="1022" spans="1:9" x14ac:dyDescent="0.3">
      <c r="A1022" s="2" t="s">
        <v>74</v>
      </c>
      <c r="B1022" s="3">
        <v>44301.5</v>
      </c>
      <c r="C1022" s="1" t="str">
        <f t="shared" si="15"/>
        <v>21106</v>
      </c>
      <c r="D1022" t="s">
        <v>31</v>
      </c>
      <c r="E1022" s="2" t="s">
        <v>27</v>
      </c>
      <c r="F1022" s="2" t="str">
        <f>_xlfn.XLOOKUP(Table1_1[[#This Row],[CAS_rn]],[1]analyte_order!$C:$C,[1]analyte_order!$B:$B)</f>
        <v>8:2 FTS</v>
      </c>
      <c r="G1022" t="s">
        <v>129</v>
      </c>
      <c r="H1022" s="2">
        <f>_xlfn.XLOOKUP(Table1_1[[#This Row],[CAS_rn]],[1]analyte_order!$C:$C,[1]analyte_order!$E:$E)</f>
        <v>24</v>
      </c>
      <c r="I1022">
        <v>0.39500000000000002</v>
      </c>
    </row>
    <row r="1023" spans="1:9" x14ac:dyDescent="0.3">
      <c r="A1023" s="2" t="s">
        <v>74</v>
      </c>
      <c r="B1023" s="3">
        <v>44301.5</v>
      </c>
      <c r="C1023" s="1" t="str">
        <f t="shared" si="15"/>
        <v>21106</v>
      </c>
      <c r="D1023" t="s">
        <v>31</v>
      </c>
      <c r="E1023" s="2" t="s">
        <v>27</v>
      </c>
      <c r="F1023" s="2" t="str">
        <f>_xlfn.XLOOKUP(Table1_1[[#This Row],[CAS_rn]],[1]analyte_order!$C:$C,[1]analyte_order!$B:$B)</f>
        <v>FOSA</v>
      </c>
      <c r="G1023" t="s">
        <v>130</v>
      </c>
      <c r="H1023" s="2">
        <f>_xlfn.XLOOKUP(Table1_1[[#This Row],[CAS_rn]],[1]analyte_order!$C:$C,[1]analyte_order!$E:$E)</f>
        <v>28</v>
      </c>
      <c r="I1023">
        <v>0.13</v>
      </c>
    </row>
    <row r="1024" spans="1:9" x14ac:dyDescent="0.3">
      <c r="A1024" s="2" t="s">
        <v>74</v>
      </c>
      <c r="B1024" s="3">
        <v>44301.5</v>
      </c>
      <c r="C1024" s="1" t="str">
        <f t="shared" si="15"/>
        <v>21106</v>
      </c>
      <c r="D1024" t="s">
        <v>31</v>
      </c>
      <c r="E1024" s="2" t="s">
        <v>27</v>
      </c>
      <c r="F1024" s="2" t="str">
        <f>_xlfn.XLOOKUP(Table1_1[[#This Row],[CAS_rn]],[1]analyte_order!$C:$C,[1]analyte_order!$B:$B)</f>
        <v>N-MeFOSA</v>
      </c>
      <c r="G1024" t="s">
        <v>131</v>
      </c>
      <c r="H1024" s="2">
        <f>_xlfn.XLOOKUP(Table1_1[[#This Row],[CAS_rn]],[1]analyte_order!$C:$C,[1]analyte_order!$E:$E)</f>
        <v>30</v>
      </c>
      <c r="I1024">
        <v>4.9500000000000002E-2</v>
      </c>
    </row>
    <row r="1025" spans="1:9" x14ac:dyDescent="0.3">
      <c r="A1025" s="2" t="s">
        <v>74</v>
      </c>
      <c r="B1025" s="3">
        <v>44301.5</v>
      </c>
      <c r="C1025" s="1" t="str">
        <f t="shared" si="15"/>
        <v>21106</v>
      </c>
      <c r="D1025" t="s">
        <v>31</v>
      </c>
      <c r="E1025" s="2" t="s">
        <v>27</v>
      </c>
      <c r="F1025" s="2" t="str">
        <f>_xlfn.XLOOKUP(Table1_1[[#This Row],[CAS_rn]],[1]analyte_order!$C:$C,[1]analyte_order!$B:$B)</f>
        <v>N-MeFOSAA</v>
      </c>
      <c r="G1025" t="s">
        <v>132</v>
      </c>
      <c r="H1025" s="2">
        <f>_xlfn.XLOOKUP(Table1_1[[#This Row],[CAS_rn]],[1]analyte_order!$C:$C,[1]analyte_order!$E:$E)</f>
        <v>26</v>
      </c>
      <c r="I1025">
        <v>4.9500000000000002E-2</v>
      </c>
    </row>
    <row r="1026" spans="1:9" x14ac:dyDescent="0.3">
      <c r="A1026" s="2" t="s">
        <v>74</v>
      </c>
      <c r="B1026" s="3">
        <v>44301.5</v>
      </c>
      <c r="C1026" s="1" t="str">
        <f t="shared" si="15"/>
        <v>21106</v>
      </c>
      <c r="D1026" t="s">
        <v>31</v>
      </c>
      <c r="E1026" s="2" t="s">
        <v>27</v>
      </c>
      <c r="F1026" s="2" t="str">
        <f>_xlfn.XLOOKUP(Table1_1[[#This Row],[CAS_rn]],[1]analyte_order!$C:$C,[1]analyte_order!$B:$B)</f>
        <v>N-EtFOSA</v>
      </c>
      <c r="G1026" t="s">
        <v>133</v>
      </c>
      <c r="H1026" s="2">
        <f>_xlfn.XLOOKUP(Table1_1[[#This Row],[CAS_rn]],[1]analyte_order!$C:$C,[1]analyte_order!$E:$E)</f>
        <v>31</v>
      </c>
      <c r="I1026">
        <v>4.9500000000000002E-2</v>
      </c>
    </row>
    <row r="1027" spans="1:9" x14ac:dyDescent="0.3">
      <c r="A1027" s="2" t="s">
        <v>74</v>
      </c>
      <c r="B1027" s="3">
        <v>44301.5</v>
      </c>
      <c r="C1027" s="1" t="str">
        <f t="shared" ref="C1027:C1090" si="16">TEXT(B1027,"yy")&amp;TEXT((B1027-DATEVALUE("1/1/"&amp;TEXT(B1027,"yy"))+1),"000")</f>
        <v>21106</v>
      </c>
      <c r="D1027" t="s">
        <v>31</v>
      </c>
      <c r="E1027" s="2" t="s">
        <v>27</v>
      </c>
      <c r="F1027" s="2" t="str">
        <f>_xlfn.XLOOKUP(Table1_1[[#This Row],[CAS_rn]],[1]analyte_order!$C:$C,[1]analyte_order!$B:$B)</f>
        <v>N-EtFOSAA</v>
      </c>
      <c r="G1027" t="s">
        <v>134</v>
      </c>
      <c r="H1027" s="2">
        <f>_xlfn.XLOOKUP(Table1_1[[#This Row],[CAS_rn]],[1]analyte_order!$C:$C,[1]analyte_order!$E:$E)</f>
        <v>27</v>
      </c>
      <c r="I1027">
        <v>4.9500000000000002E-2</v>
      </c>
    </row>
    <row r="1028" spans="1:9" x14ac:dyDescent="0.3">
      <c r="A1028" s="2" t="s">
        <v>74</v>
      </c>
      <c r="B1028" s="3">
        <v>44301.5</v>
      </c>
      <c r="C1028" s="1" t="str">
        <f t="shared" si="16"/>
        <v>21106</v>
      </c>
      <c r="D1028" t="s">
        <v>31</v>
      </c>
      <c r="E1028" s="2" t="s">
        <v>27</v>
      </c>
      <c r="F1028" s="2" t="str">
        <f>_xlfn.XLOOKUP(Table1_1[[#This Row],[CAS_rn]],[1]analyte_order!$C:$C,[1]analyte_order!$B:$B)</f>
        <v>N-MeFOSE</v>
      </c>
      <c r="G1028" t="s">
        <v>135</v>
      </c>
      <c r="H1028" s="2">
        <f>_xlfn.XLOOKUP(Table1_1[[#This Row],[CAS_rn]],[1]analyte_order!$C:$C,[1]analyte_order!$E:$E)</f>
        <v>32</v>
      </c>
      <c r="I1028">
        <v>0.495</v>
      </c>
    </row>
    <row r="1029" spans="1:9" x14ac:dyDescent="0.3">
      <c r="A1029" s="2" t="s">
        <v>74</v>
      </c>
      <c r="B1029" s="3">
        <v>44301.5</v>
      </c>
      <c r="C1029" s="1" t="str">
        <f t="shared" si="16"/>
        <v>21106</v>
      </c>
      <c r="D1029" t="s">
        <v>31</v>
      </c>
      <c r="E1029" s="2" t="s">
        <v>27</v>
      </c>
      <c r="F1029" s="2" t="str">
        <f>_xlfn.XLOOKUP(Table1_1[[#This Row],[CAS_rn]],[1]analyte_order!$C:$C,[1]analyte_order!$B:$B)</f>
        <v>N-EtFOSE</v>
      </c>
      <c r="G1029" t="s">
        <v>136</v>
      </c>
      <c r="H1029" s="2">
        <f>_xlfn.XLOOKUP(Table1_1[[#This Row],[CAS_rn]],[1]analyte_order!$C:$C,[1]analyte_order!$E:$E)</f>
        <v>33</v>
      </c>
      <c r="I1029">
        <v>0.495</v>
      </c>
    </row>
    <row r="1030" spans="1:9" x14ac:dyDescent="0.3">
      <c r="A1030" s="2" t="s">
        <v>74</v>
      </c>
      <c r="B1030" s="3">
        <v>44301.5</v>
      </c>
      <c r="C1030" s="1" t="str">
        <f t="shared" si="16"/>
        <v>21106</v>
      </c>
      <c r="D1030" t="s">
        <v>31</v>
      </c>
      <c r="E1030" s="2" t="s">
        <v>27</v>
      </c>
      <c r="F1030" s="2" t="str">
        <f>_xlfn.XLOOKUP(Table1_1[[#This Row],[CAS_rn]],[1]analyte_order!$C:$C,[1]analyte_order!$B:$B)</f>
        <v>HFPO-DA</v>
      </c>
      <c r="G1030" t="s">
        <v>137</v>
      </c>
      <c r="H1030" s="2">
        <f>_xlfn.XLOOKUP(Table1_1[[#This Row],[CAS_rn]],[1]analyte_order!$C:$C,[1]analyte_order!$E:$E)</f>
        <v>34</v>
      </c>
      <c r="I1030">
        <v>0.29499999999999998</v>
      </c>
    </row>
    <row r="1031" spans="1:9" x14ac:dyDescent="0.3">
      <c r="A1031" s="2" t="s">
        <v>74</v>
      </c>
      <c r="B1031" s="3">
        <v>44301.5</v>
      </c>
      <c r="C1031" s="1" t="str">
        <f t="shared" si="16"/>
        <v>21106</v>
      </c>
      <c r="D1031" t="s">
        <v>31</v>
      </c>
      <c r="E1031" s="2" t="s">
        <v>27</v>
      </c>
      <c r="F1031" s="2" t="str">
        <f>_xlfn.XLOOKUP(Table1_1[[#This Row],[CAS_rn]],[1]analyte_order!$C:$C,[1]analyte_order!$B:$B)</f>
        <v>ADONA</v>
      </c>
      <c r="G1031" t="s">
        <v>138</v>
      </c>
      <c r="H1031" s="2">
        <f>_xlfn.XLOOKUP(Table1_1[[#This Row],[CAS_rn]],[1]analyte_order!$C:$C,[1]analyte_order!$E:$E)</f>
        <v>35</v>
      </c>
      <c r="I1031">
        <v>0.2</v>
      </c>
    </row>
    <row r="1032" spans="1:9" x14ac:dyDescent="0.3">
      <c r="A1032" s="2" t="s">
        <v>74</v>
      </c>
      <c r="B1032" s="3">
        <v>44301.5</v>
      </c>
      <c r="C1032" s="1" t="str">
        <f t="shared" si="16"/>
        <v>21106</v>
      </c>
      <c r="D1032" t="s">
        <v>31</v>
      </c>
      <c r="E1032" s="2" t="s">
        <v>27</v>
      </c>
      <c r="F1032" s="2" t="str">
        <f>_xlfn.XLOOKUP(Table1_1[[#This Row],[CAS_rn]],[1]analyte_order!$C:$C,[1]analyte_order!$B:$B)</f>
        <v>PFMBA</v>
      </c>
      <c r="G1032" t="s">
        <v>139</v>
      </c>
      <c r="H1032" s="2">
        <f>_xlfn.XLOOKUP(Table1_1[[#This Row],[CAS_rn]],[1]analyte_order!$C:$C,[1]analyte_order!$E:$E)</f>
        <v>48</v>
      </c>
      <c r="I1032">
        <v>0.1</v>
      </c>
    </row>
    <row r="1033" spans="1:9" x14ac:dyDescent="0.3">
      <c r="A1033" s="2" t="s">
        <v>74</v>
      </c>
      <c r="B1033" s="3">
        <v>44301.5</v>
      </c>
      <c r="C1033" s="1" t="str">
        <f t="shared" si="16"/>
        <v>21106</v>
      </c>
      <c r="D1033" t="s">
        <v>31</v>
      </c>
      <c r="E1033" s="2" t="s">
        <v>27</v>
      </c>
      <c r="F1033" s="2" t="str">
        <f>_xlfn.XLOOKUP(Table1_1[[#This Row],[CAS_rn]],[1]analyte_order!$C:$C,[1]analyte_order!$B:$B)</f>
        <v>NFDHA</v>
      </c>
      <c r="G1033" t="s">
        <v>140</v>
      </c>
      <c r="H1033" s="2">
        <f>_xlfn.XLOOKUP(Table1_1[[#This Row],[CAS_rn]],[1]analyte_order!$C:$C,[1]analyte_order!$E:$E)</f>
        <v>50</v>
      </c>
      <c r="I1033">
        <v>0.1</v>
      </c>
    </row>
    <row r="1034" spans="1:9" x14ac:dyDescent="0.3">
      <c r="A1034" s="2" t="s">
        <v>74</v>
      </c>
      <c r="B1034" s="3">
        <v>44301.5</v>
      </c>
      <c r="C1034" s="1" t="str">
        <f t="shared" si="16"/>
        <v>21106</v>
      </c>
      <c r="D1034" t="s">
        <v>31</v>
      </c>
      <c r="E1034" s="2" t="s">
        <v>27</v>
      </c>
      <c r="F1034" s="2" t="str">
        <f>_xlfn.XLOOKUP(Table1_1[[#This Row],[CAS_rn]],[1]analyte_order!$C:$C,[1]analyte_order!$B:$B)</f>
        <v>9Cl-PF3ONS</v>
      </c>
      <c r="G1034" t="s">
        <v>141</v>
      </c>
      <c r="H1034" s="2">
        <f>_xlfn.XLOOKUP(Table1_1[[#This Row],[CAS_rn]],[1]analyte_order!$C:$C,[1]analyte_order!$E:$E)</f>
        <v>36</v>
      </c>
      <c r="I1034">
        <v>0.2</v>
      </c>
    </row>
    <row r="1035" spans="1:9" x14ac:dyDescent="0.3">
      <c r="A1035" s="2" t="s">
        <v>74</v>
      </c>
      <c r="B1035" s="3">
        <v>44301.5</v>
      </c>
      <c r="C1035" s="1" t="str">
        <f t="shared" si="16"/>
        <v>21106</v>
      </c>
      <c r="D1035" t="s">
        <v>31</v>
      </c>
      <c r="E1035" s="2" t="s">
        <v>27</v>
      </c>
      <c r="F1035" s="2" t="str">
        <f>_xlfn.XLOOKUP(Table1_1[[#This Row],[CAS_rn]],[1]analyte_order!$C:$C,[1]analyte_order!$B:$B)</f>
        <v>11Cl-PF3OUdS</v>
      </c>
      <c r="G1035" t="s">
        <v>142</v>
      </c>
      <c r="H1035" s="2">
        <f>_xlfn.XLOOKUP(Table1_1[[#This Row],[CAS_rn]],[1]analyte_order!$C:$C,[1]analyte_order!$E:$E)</f>
        <v>37</v>
      </c>
      <c r="I1035">
        <v>0.2</v>
      </c>
    </row>
    <row r="1036" spans="1:9" x14ac:dyDescent="0.3">
      <c r="A1036" s="2" t="s">
        <v>74</v>
      </c>
      <c r="B1036" s="3">
        <v>44301.5</v>
      </c>
      <c r="C1036" s="1" t="str">
        <f t="shared" si="16"/>
        <v>21106</v>
      </c>
      <c r="D1036" t="s">
        <v>31</v>
      </c>
      <c r="E1036" s="2" t="s">
        <v>27</v>
      </c>
      <c r="F1036" s="2" t="str">
        <f>_xlfn.XLOOKUP(Table1_1[[#This Row],[CAS_rn]],[1]analyte_order!$C:$C,[1]analyte_order!$B:$B)</f>
        <v>PFEESA</v>
      </c>
      <c r="G1036" t="s">
        <v>143</v>
      </c>
      <c r="H1036" s="2">
        <f>_xlfn.XLOOKUP(Table1_1[[#This Row],[CAS_rn]],[1]analyte_order!$C:$C,[1]analyte_order!$E:$E)</f>
        <v>47</v>
      </c>
      <c r="I1036">
        <v>0.1</v>
      </c>
    </row>
    <row r="1037" spans="1:9" x14ac:dyDescent="0.3">
      <c r="A1037" s="2" t="s">
        <v>74</v>
      </c>
      <c r="B1037" s="3">
        <v>44301.5</v>
      </c>
      <c r="C1037" s="1" t="str">
        <f t="shared" si="16"/>
        <v>21106</v>
      </c>
      <c r="D1037" t="s">
        <v>31</v>
      </c>
      <c r="E1037" s="2" t="s">
        <v>27</v>
      </c>
      <c r="F1037" s="2" t="str">
        <f>_xlfn.XLOOKUP(Table1_1[[#This Row],[CAS_rn]],[1]analyte_order!$C:$C,[1]analyte_order!$B:$B)</f>
        <v>3:3 FTCA</v>
      </c>
      <c r="G1037" t="s">
        <v>144</v>
      </c>
      <c r="H1037" s="2">
        <f>_xlfn.XLOOKUP(Table1_1[[#This Row],[CAS_rn]],[1]analyte_order!$C:$C,[1]analyte_order!$E:$E)</f>
        <v>38</v>
      </c>
      <c r="I1037">
        <v>0.245</v>
      </c>
    </row>
    <row r="1038" spans="1:9" x14ac:dyDescent="0.3">
      <c r="A1038" s="2" t="s">
        <v>74</v>
      </c>
      <c r="B1038" s="3">
        <v>44301.5</v>
      </c>
      <c r="C1038" s="1" t="str">
        <f t="shared" si="16"/>
        <v>21106</v>
      </c>
      <c r="D1038" t="s">
        <v>31</v>
      </c>
      <c r="E1038" s="2" t="s">
        <v>27</v>
      </c>
      <c r="F1038" s="2" t="str">
        <f>_xlfn.XLOOKUP(Table1_1[[#This Row],[CAS_rn]],[1]analyte_order!$C:$C,[1]analyte_order!$B:$B)</f>
        <v>5:3 FTCA</v>
      </c>
      <c r="G1038" t="s">
        <v>145</v>
      </c>
      <c r="H1038" s="2">
        <f>_xlfn.XLOOKUP(Table1_1[[#This Row],[CAS_rn]],[1]analyte_order!$C:$C,[1]analyte_order!$E:$E)</f>
        <v>39</v>
      </c>
      <c r="I1038">
        <v>1.25</v>
      </c>
    </row>
    <row r="1039" spans="1:9" x14ac:dyDescent="0.3">
      <c r="A1039" s="2" t="s">
        <v>74</v>
      </c>
      <c r="B1039" s="3">
        <v>44301.5</v>
      </c>
      <c r="C1039" s="1" t="str">
        <f t="shared" si="16"/>
        <v>21106</v>
      </c>
      <c r="D1039" t="s">
        <v>31</v>
      </c>
      <c r="E1039" s="2" t="s">
        <v>27</v>
      </c>
      <c r="F1039" s="2" t="str">
        <f>_xlfn.XLOOKUP(Table1_1[[#This Row],[CAS_rn]],[1]analyte_order!$C:$C,[1]analyte_order!$B:$B)</f>
        <v>7:3 FTCA</v>
      </c>
      <c r="G1039" t="s">
        <v>146</v>
      </c>
      <c r="H1039" s="2">
        <f>_xlfn.XLOOKUP(Table1_1[[#This Row],[CAS_rn]],[1]analyte_order!$C:$C,[1]analyte_order!$E:$E)</f>
        <v>40</v>
      </c>
      <c r="I1039">
        <v>1.25</v>
      </c>
    </row>
    <row r="1040" spans="1:9" x14ac:dyDescent="0.3">
      <c r="A1040" s="2" t="s">
        <v>74</v>
      </c>
      <c r="B1040" s="3">
        <v>44301.5</v>
      </c>
      <c r="C1040" s="1" t="str">
        <f t="shared" si="16"/>
        <v>21106</v>
      </c>
      <c r="D1040" t="s">
        <v>31</v>
      </c>
      <c r="E1040" s="2" t="s">
        <v>27</v>
      </c>
      <c r="F1040" s="2" t="str">
        <f>_xlfn.XLOOKUP(Table1_1[[#This Row],[CAS_rn]],[1]analyte_order!$C:$C,[1]analyte_order!$B:$B)</f>
        <v>PFDS</v>
      </c>
      <c r="G1040" t="s">
        <v>147</v>
      </c>
      <c r="H1040" s="2">
        <f>_xlfn.XLOOKUP(Table1_1[[#This Row],[CAS_rn]],[1]analyte_order!$C:$C,[1]analyte_order!$E:$E)</f>
        <v>20</v>
      </c>
      <c r="I1040">
        <v>4.9500000000000002E-2</v>
      </c>
    </row>
    <row r="1041" spans="1:9" x14ac:dyDescent="0.3">
      <c r="A1041" s="2" t="s">
        <v>74</v>
      </c>
      <c r="B1041" s="3">
        <v>44301.5</v>
      </c>
      <c r="C1041" s="1" t="str">
        <f t="shared" si="16"/>
        <v>21106</v>
      </c>
      <c r="D1041" t="s">
        <v>31</v>
      </c>
      <c r="E1041" s="2" t="s">
        <v>27</v>
      </c>
      <c r="F1041" s="2" t="str">
        <f>_xlfn.XLOOKUP(Table1_1[[#This Row],[CAS_rn]],[1]analyte_order!$C:$C,[1]analyte_order!$B:$B)</f>
        <v>PFMPA</v>
      </c>
      <c r="G1041" t="s">
        <v>148</v>
      </c>
      <c r="H1041" s="2">
        <f>_xlfn.XLOOKUP(Table1_1[[#This Row],[CAS_rn]],[1]analyte_order!$C:$C,[1]analyte_order!$E:$E)</f>
        <v>49</v>
      </c>
      <c r="I1041">
        <v>0.1</v>
      </c>
    </row>
    <row r="1042" spans="1:9" x14ac:dyDescent="0.3">
      <c r="A1042" s="2" t="s">
        <v>75</v>
      </c>
      <c r="B1042" s="3">
        <v>44301.5</v>
      </c>
      <c r="C1042" s="1" t="str">
        <f t="shared" si="16"/>
        <v>21106</v>
      </c>
      <c r="D1042" t="s">
        <v>33</v>
      </c>
      <c r="E1042" s="2" t="s">
        <v>27</v>
      </c>
      <c r="F1042" s="2" t="str">
        <f>_xlfn.XLOOKUP(Table1_1[[#This Row],[CAS_rn]],[1]analyte_order!$C:$C,[1]analyte_order!$B:$B)</f>
        <v>PFBA</v>
      </c>
      <c r="G1042" t="s">
        <v>109</v>
      </c>
      <c r="H1042" s="2">
        <f>_xlfn.XLOOKUP(Table1_1[[#This Row],[CAS_rn]],[1]analyte_order!$C:$C,[1]analyte_order!$E:$E)</f>
        <v>1</v>
      </c>
      <c r="I1042">
        <v>0.2</v>
      </c>
    </row>
    <row r="1043" spans="1:9" x14ac:dyDescent="0.3">
      <c r="A1043" s="2" t="s">
        <v>75</v>
      </c>
      <c r="B1043" s="3">
        <v>44301.5</v>
      </c>
      <c r="C1043" s="1" t="str">
        <f t="shared" si="16"/>
        <v>21106</v>
      </c>
      <c r="D1043" t="s">
        <v>33</v>
      </c>
      <c r="E1043" s="2" t="s">
        <v>27</v>
      </c>
      <c r="F1043" s="2" t="str">
        <f>_xlfn.XLOOKUP(Table1_1[[#This Row],[CAS_rn]],[1]analyte_order!$C:$C,[1]analyte_order!$B:$B)</f>
        <v>PFPeA</v>
      </c>
      <c r="G1043" t="s">
        <v>110</v>
      </c>
      <c r="H1043" s="2">
        <f>_xlfn.XLOOKUP(Table1_1[[#This Row],[CAS_rn]],[1]analyte_order!$C:$C,[1]analyte_order!$E:$E)</f>
        <v>2</v>
      </c>
      <c r="I1043">
        <v>0.1</v>
      </c>
    </row>
    <row r="1044" spans="1:9" x14ac:dyDescent="0.3">
      <c r="A1044" s="2" t="s">
        <v>75</v>
      </c>
      <c r="B1044" s="3">
        <v>44301.5</v>
      </c>
      <c r="C1044" s="1" t="str">
        <f t="shared" si="16"/>
        <v>21106</v>
      </c>
      <c r="D1044" t="s">
        <v>33</v>
      </c>
      <c r="E1044" s="2" t="s">
        <v>27</v>
      </c>
      <c r="F1044" s="2" t="str">
        <f>_xlfn.XLOOKUP(Table1_1[[#This Row],[CAS_rn]],[1]analyte_order!$C:$C,[1]analyte_order!$B:$B)</f>
        <v>PFHxA</v>
      </c>
      <c r="G1044" t="s">
        <v>111</v>
      </c>
      <c r="H1044" s="2">
        <f>_xlfn.XLOOKUP(Table1_1[[#This Row],[CAS_rn]],[1]analyte_order!$C:$C,[1]analyte_order!$E:$E)</f>
        <v>3</v>
      </c>
      <c r="I1044">
        <v>0.09</v>
      </c>
    </row>
    <row r="1045" spans="1:9" x14ac:dyDescent="0.3">
      <c r="A1045" s="2" t="s">
        <v>75</v>
      </c>
      <c r="B1045" s="3">
        <v>44301.5</v>
      </c>
      <c r="C1045" s="1" t="str">
        <f t="shared" si="16"/>
        <v>21106</v>
      </c>
      <c r="D1045" t="s">
        <v>33</v>
      </c>
      <c r="E1045" s="2" t="s">
        <v>27</v>
      </c>
      <c r="F1045" s="2" t="str">
        <f>_xlfn.XLOOKUP(Table1_1[[#This Row],[CAS_rn]],[1]analyte_order!$C:$C,[1]analyte_order!$B:$B)</f>
        <v>PFHpA</v>
      </c>
      <c r="G1045" t="s">
        <v>112</v>
      </c>
      <c r="H1045" s="2">
        <f>_xlfn.XLOOKUP(Table1_1[[#This Row],[CAS_rn]],[1]analyte_order!$C:$C,[1]analyte_order!$E:$E)</f>
        <v>4</v>
      </c>
      <c r="I1045">
        <v>0.09</v>
      </c>
    </row>
    <row r="1046" spans="1:9" x14ac:dyDescent="0.3">
      <c r="A1046" s="2" t="s">
        <v>75</v>
      </c>
      <c r="B1046" s="3">
        <v>44301.5</v>
      </c>
      <c r="C1046" s="1" t="str">
        <f t="shared" si="16"/>
        <v>21106</v>
      </c>
      <c r="D1046" t="s">
        <v>33</v>
      </c>
      <c r="E1046" s="2" t="s">
        <v>27</v>
      </c>
      <c r="F1046" s="2" t="str">
        <f>_xlfn.XLOOKUP(Table1_1[[#This Row],[CAS_rn]],[1]analyte_order!$C:$C,[1]analyte_order!$B:$B)</f>
        <v>PFOA</v>
      </c>
      <c r="G1046" t="s">
        <v>113</v>
      </c>
      <c r="H1046" s="2">
        <f>_xlfn.XLOOKUP(Table1_1[[#This Row],[CAS_rn]],[1]analyte_order!$C:$C,[1]analyte_order!$E:$E)</f>
        <v>5</v>
      </c>
      <c r="I1046">
        <v>0.12</v>
      </c>
    </row>
    <row r="1047" spans="1:9" x14ac:dyDescent="0.3">
      <c r="A1047" s="2" t="s">
        <v>75</v>
      </c>
      <c r="B1047" s="3">
        <v>44301.5</v>
      </c>
      <c r="C1047" s="1" t="str">
        <f t="shared" si="16"/>
        <v>21106</v>
      </c>
      <c r="D1047" t="s">
        <v>33</v>
      </c>
      <c r="E1047" s="2" t="s">
        <v>27</v>
      </c>
      <c r="F1047" s="2" t="str">
        <f>_xlfn.XLOOKUP(Table1_1[[#This Row],[CAS_rn]],[1]analyte_order!$C:$C,[1]analyte_order!$B:$B)</f>
        <v>PFNA</v>
      </c>
      <c r="G1047" t="s">
        <v>114</v>
      </c>
      <c r="H1047" s="2">
        <f>_xlfn.XLOOKUP(Table1_1[[#This Row],[CAS_rn]],[1]analyte_order!$C:$C,[1]analyte_order!$E:$E)</f>
        <v>6</v>
      </c>
      <c r="I1047">
        <v>4.9500000000000002E-2</v>
      </c>
    </row>
    <row r="1048" spans="1:9" x14ac:dyDescent="0.3">
      <c r="A1048" s="2" t="s">
        <v>75</v>
      </c>
      <c r="B1048" s="3">
        <v>44301.5</v>
      </c>
      <c r="C1048" s="1" t="str">
        <f t="shared" si="16"/>
        <v>21106</v>
      </c>
      <c r="D1048" t="s">
        <v>33</v>
      </c>
      <c r="E1048" s="2" t="s">
        <v>27</v>
      </c>
      <c r="F1048" s="2" t="str">
        <f>_xlfn.XLOOKUP(Table1_1[[#This Row],[CAS_rn]],[1]analyte_order!$C:$C,[1]analyte_order!$B:$B)</f>
        <v>PFDA</v>
      </c>
      <c r="G1048" t="s">
        <v>115</v>
      </c>
      <c r="H1048" s="2">
        <f>_xlfn.XLOOKUP(Table1_1[[#This Row],[CAS_rn]],[1]analyte_order!$C:$C,[1]analyte_order!$E:$E)</f>
        <v>7</v>
      </c>
      <c r="I1048">
        <v>4.9500000000000002E-2</v>
      </c>
    </row>
    <row r="1049" spans="1:9" x14ac:dyDescent="0.3">
      <c r="A1049" s="2" t="s">
        <v>75</v>
      </c>
      <c r="B1049" s="3">
        <v>44301.5</v>
      </c>
      <c r="C1049" s="1" t="str">
        <f t="shared" si="16"/>
        <v>21106</v>
      </c>
      <c r="D1049" t="s">
        <v>33</v>
      </c>
      <c r="E1049" s="2" t="s">
        <v>27</v>
      </c>
      <c r="F1049" s="2" t="str">
        <f>_xlfn.XLOOKUP(Table1_1[[#This Row],[CAS_rn]],[1]analyte_order!$C:$C,[1]analyte_order!$B:$B)</f>
        <v>PFUnA</v>
      </c>
      <c r="G1049" t="s">
        <v>116</v>
      </c>
      <c r="H1049" s="2">
        <f>_xlfn.XLOOKUP(Table1_1[[#This Row],[CAS_rn]],[1]analyte_order!$C:$C,[1]analyte_order!$E:$E)</f>
        <v>8</v>
      </c>
      <c r="I1049">
        <v>4.9500000000000002E-2</v>
      </c>
    </row>
    <row r="1050" spans="1:9" x14ac:dyDescent="0.3">
      <c r="A1050" s="2" t="s">
        <v>75</v>
      </c>
      <c r="B1050" s="3">
        <v>44301.5</v>
      </c>
      <c r="C1050" s="1" t="str">
        <f t="shared" si="16"/>
        <v>21106</v>
      </c>
      <c r="D1050" t="s">
        <v>33</v>
      </c>
      <c r="E1050" s="2" t="s">
        <v>27</v>
      </c>
      <c r="F1050" s="2" t="str">
        <f>_xlfn.XLOOKUP(Table1_1[[#This Row],[CAS_rn]],[1]analyte_order!$C:$C,[1]analyte_order!$B:$B)</f>
        <v>PFDoA</v>
      </c>
      <c r="G1050" t="s">
        <v>117</v>
      </c>
      <c r="H1050" s="2">
        <f>_xlfn.XLOOKUP(Table1_1[[#This Row],[CAS_rn]],[1]analyte_order!$C:$C,[1]analyte_order!$E:$E)</f>
        <v>9</v>
      </c>
      <c r="I1050">
        <v>4.9500000000000002E-2</v>
      </c>
    </row>
    <row r="1051" spans="1:9" x14ac:dyDescent="0.3">
      <c r="A1051" s="2" t="s">
        <v>75</v>
      </c>
      <c r="B1051" s="3">
        <v>44301.5</v>
      </c>
      <c r="C1051" s="1" t="str">
        <f t="shared" si="16"/>
        <v>21106</v>
      </c>
      <c r="D1051" t="s">
        <v>33</v>
      </c>
      <c r="E1051" s="2" t="s">
        <v>27</v>
      </c>
      <c r="F1051" s="2" t="str">
        <f>_xlfn.XLOOKUP(Table1_1[[#This Row],[CAS_rn]],[1]analyte_order!$C:$C,[1]analyte_order!$B:$B)</f>
        <v>PFTrDA</v>
      </c>
      <c r="G1051" t="s">
        <v>118</v>
      </c>
      <c r="H1051" s="2">
        <f>_xlfn.XLOOKUP(Table1_1[[#This Row],[CAS_rn]],[1]analyte_order!$C:$C,[1]analyte_order!$E:$E)</f>
        <v>10</v>
      </c>
      <c r="I1051">
        <v>4.9500000000000002E-2</v>
      </c>
    </row>
    <row r="1052" spans="1:9" x14ac:dyDescent="0.3">
      <c r="A1052" s="2" t="s">
        <v>75</v>
      </c>
      <c r="B1052" s="3">
        <v>44301.5</v>
      </c>
      <c r="C1052" s="1" t="str">
        <f t="shared" si="16"/>
        <v>21106</v>
      </c>
      <c r="D1052" t="s">
        <v>33</v>
      </c>
      <c r="E1052" s="2" t="s">
        <v>27</v>
      </c>
      <c r="F1052" s="2" t="str">
        <f>_xlfn.XLOOKUP(Table1_1[[#This Row],[CAS_rn]],[1]analyte_order!$C:$C,[1]analyte_order!$B:$B)</f>
        <v>PFTeDA</v>
      </c>
      <c r="G1052" t="s">
        <v>119</v>
      </c>
      <c r="H1052" s="2">
        <f>_xlfn.XLOOKUP(Table1_1[[#This Row],[CAS_rn]],[1]analyte_order!$C:$C,[1]analyte_order!$E:$E)</f>
        <v>11</v>
      </c>
      <c r="I1052">
        <v>4.9500000000000002E-2</v>
      </c>
    </row>
    <row r="1053" spans="1:9" x14ac:dyDescent="0.3">
      <c r="A1053" s="2" t="s">
        <v>75</v>
      </c>
      <c r="B1053" s="3">
        <v>44301.5</v>
      </c>
      <c r="C1053" s="1" t="str">
        <f t="shared" si="16"/>
        <v>21106</v>
      </c>
      <c r="D1053" t="s">
        <v>33</v>
      </c>
      <c r="E1053" s="2" t="s">
        <v>27</v>
      </c>
      <c r="F1053" s="2" t="str">
        <f>_xlfn.XLOOKUP(Table1_1[[#This Row],[CAS_rn]],[1]analyte_order!$C:$C,[1]analyte_order!$B:$B)</f>
        <v>PFBS</v>
      </c>
      <c r="G1053" t="s">
        <v>120</v>
      </c>
      <c r="H1053" s="2">
        <f>_xlfn.XLOOKUP(Table1_1[[#This Row],[CAS_rn]],[1]analyte_order!$C:$C,[1]analyte_order!$E:$E)</f>
        <v>14</v>
      </c>
      <c r="I1053">
        <v>4.9500000000000002E-2</v>
      </c>
    </row>
    <row r="1054" spans="1:9" x14ac:dyDescent="0.3">
      <c r="A1054" s="2" t="s">
        <v>75</v>
      </c>
      <c r="B1054" s="3">
        <v>44301.5</v>
      </c>
      <c r="C1054" s="1" t="str">
        <f t="shared" si="16"/>
        <v>21106</v>
      </c>
      <c r="D1054" t="s">
        <v>33</v>
      </c>
      <c r="E1054" s="2" t="s">
        <v>27</v>
      </c>
      <c r="F1054" s="2" t="str">
        <f>_xlfn.XLOOKUP(Table1_1[[#This Row],[CAS_rn]],[1]analyte_order!$C:$C,[1]analyte_order!$B:$B)</f>
        <v>PFPeS</v>
      </c>
      <c r="G1054" t="s">
        <v>121</v>
      </c>
      <c r="H1054" s="2">
        <f>_xlfn.XLOOKUP(Table1_1[[#This Row],[CAS_rn]],[1]analyte_order!$C:$C,[1]analyte_order!$E:$E)</f>
        <v>15</v>
      </c>
      <c r="I1054">
        <v>4.9500000000000002E-2</v>
      </c>
    </row>
    <row r="1055" spans="1:9" x14ac:dyDescent="0.3">
      <c r="A1055" s="2" t="s">
        <v>75</v>
      </c>
      <c r="B1055" s="3">
        <v>44301.5</v>
      </c>
      <c r="C1055" s="1" t="str">
        <f t="shared" si="16"/>
        <v>21106</v>
      </c>
      <c r="D1055" t="s">
        <v>33</v>
      </c>
      <c r="E1055" s="2" t="s">
        <v>27</v>
      </c>
      <c r="F1055" s="2" t="str">
        <f>_xlfn.XLOOKUP(Table1_1[[#This Row],[CAS_rn]],[1]analyte_order!$C:$C,[1]analyte_order!$B:$B)</f>
        <v>PFHxS</v>
      </c>
      <c r="G1055" t="s">
        <v>122</v>
      </c>
      <c r="H1055" s="2">
        <f>_xlfn.XLOOKUP(Table1_1[[#This Row],[CAS_rn]],[1]analyte_order!$C:$C,[1]analyte_order!$E:$E)</f>
        <v>16</v>
      </c>
      <c r="I1055">
        <v>0.22</v>
      </c>
    </row>
    <row r="1056" spans="1:9" x14ac:dyDescent="0.3">
      <c r="A1056" s="2" t="s">
        <v>75</v>
      </c>
      <c r="B1056" s="3">
        <v>44301.5</v>
      </c>
      <c r="C1056" s="1" t="str">
        <f t="shared" si="16"/>
        <v>21106</v>
      </c>
      <c r="D1056" t="s">
        <v>33</v>
      </c>
      <c r="E1056" s="2" t="s">
        <v>27</v>
      </c>
      <c r="F1056" s="2" t="str">
        <f>_xlfn.XLOOKUP(Table1_1[[#This Row],[CAS_rn]],[1]analyte_order!$C:$C,[1]analyte_order!$B:$B)</f>
        <v>PFHpS</v>
      </c>
      <c r="G1056" t="s">
        <v>123</v>
      </c>
      <c r="H1056" s="2">
        <f>_xlfn.XLOOKUP(Table1_1[[#This Row],[CAS_rn]],[1]analyte_order!$C:$C,[1]analyte_order!$E:$E)</f>
        <v>17</v>
      </c>
      <c r="I1056">
        <v>4.9500000000000002E-2</v>
      </c>
    </row>
    <row r="1057" spans="1:9" x14ac:dyDescent="0.3">
      <c r="A1057" s="2" t="s">
        <v>75</v>
      </c>
      <c r="B1057" s="3">
        <v>44301.5</v>
      </c>
      <c r="C1057" s="1" t="str">
        <f t="shared" si="16"/>
        <v>21106</v>
      </c>
      <c r="D1057" t="s">
        <v>33</v>
      </c>
      <c r="E1057" s="2" t="s">
        <v>27</v>
      </c>
      <c r="F1057" s="2" t="str">
        <f>_xlfn.XLOOKUP(Table1_1[[#This Row],[CAS_rn]],[1]analyte_order!$C:$C,[1]analyte_order!$B:$B)</f>
        <v>PFOS</v>
      </c>
      <c r="G1057" t="s">
        <v>124</v>
      </c>
      <c r="H1057" s="2">
        <f>_xlfn.XLOOKUP(Table1_1[[#This Row],[CAS_rn]],[1]analyte_order!$C:$C,[1]analyte_order!$E:$E)</f>
        <v>18</v>
      </c>
      <c r="I1057">
        <v>1.2</v>
      </c>
    </row>
    <row r="1058" spans="1:9" x14ac:dyDescent="0.3">
      <c r="A1058" s="2" t="s">
        <v>75</v>
      </c>
      <c r="B1058" s="3">
        <v>44301.5</v>
      </c>
      <c r="C1058" s="1" t="str">
        <f t="shared" si="16"/>
        <v>21106</v>
      </c>
      <c r="D1058" t="s">
        <v>33</v>
      </c>
      <c r="E1058" s="2" t="s">
        <v>27</v>
      </c>
      <c r="F1058" s="2" t="str">
        <f>_xlfn.XLOOKUP(Table1_1[[#This Row],[CAS_rn]],[1]analyte_order!$C:$C,[1]analyte_order!$B:$B)</f>
        <v>PFNS</v>
      </c>
      <c r="G1058" t="s">
        <v>125</v>
      </c>
      <c r="H1058" s="2">
        <f>_xlfn.XLOOKUP(Table1_1[[#This Row],[CAS_rn]],[1]analyte_order!$C:$C,[1]analyte_order!$E:$E)</f>
        <v>19</v>
      </c>
      <c r="I1058">
        <v>4.9500000000000002E-2</v>
      </c>
    </row>
    <row r="1059" spans="1:9" x14ac:dyDescent="0.3">
      <c r="A1059" s="2" t="s">
        <v>75</v>
      </c>
      <c r="B1059" s="3">
        <v>44301.5</v>
      </c>
      <c r="C1059" s="1" t="str">
        <f t="shared" si="16"/>
        <v>21106</v>
      </c>
      <c r="D1059" t="s">
        <v>33</v>
      </c>
      <c r="E1059" s="2" t="s">
        <v>27</v>
      </c>
      <c r="F1059" s="2" t="str">
        <f>_xlfn.XLOOKUP(Table1_1[[#This Row],[CAS_rn]],[1]analyte_order!$C:$C,[1]analyte_order!$B:$B)</f>
        <v>PFDoS</v>
      </c>
      <c r="G1059" t="s">
        <v>126</v>
      </c>
      <c r="H1059" s="2">
        <f>_xlfn.XLOOKUP(Table1_1[[#This Row],[CAS_rn]],[1]analyte_order!$C:$C,[1]analyte_order!$E:$E)</f>
        <v>21</v>
      </c>
      <c r="I1059">
        <v>4.9500000000000002E-2</v>
      </c>
    </row>
    <row r="1060" spans="1:9" x14ac:dyDescent="0.3">
      <c r="A1060" s="2" t="s">
        <v>75</v>
      </c>
      <c r="B1060" s="3">
        <v>44301.5</v>
      </c>
      <c r="C1060" s="1" t="str">
        <f t="shared" si="16"/>
        <v>21106</v>
      </c>
      <c r="D1060" t="s">
        <v>33</v>
      </c>
      <c r="E1060" s="2" t="s">
        <v>27</v>
      </c>
      <c r="F1060" s="2" t="str">
        <f>_xlfn.XLOOKUP(Table1_1[[#This Row],[CAS_rn]],[1]analyte_order!$C:$C,[1]analyte_order!$B:$B)</f>
        <v>4:2 FTS</v>
      </c>
      <c r="G1060" t="s">
        <v>127</v>
      </c>
      <c r="H1060" s="2">
        <f>_xlfn.XLOOKUP(Table1_1[[#This Row],[CAS_rn]],[1]analyte_order!$C:$C,[1]analyte_order!$E:$E)</f>
        <v>22</v>
      </c>
      <c r="I1060">
        <v>0.2</v>
      </c>
    </row>
    <row r="1061" spans="1:9" x14ac:dyDescent="0.3">
      <c r="A1061" s="2" t="s">
        <v>75</v>
      </c>
      <c r="B1061" s="3">
        <v>44301.5</v>
      </c>
      <c r="C1061" s="1" t="str">
        <f t="shared" si="16"/>
        <v>21106</v>
      </c>
      <c r="D1061" t="s">
        <v>33</v>
      </c>
      <c r="E1061" s="2" t="s">
        <v>27</v>
      </c>
      <c r="F1061" s="2" t="str">
        <f>_xlfn.XLOOKUP(Table1_1[[#This Row],[CAS_rn]],[1]analyte_order!$C:$C,[1]analyte_order!$B:$B)</f>
        <v>6:2 FTS</v>
      </c>
      <c r="G1061" t="s">
        <v>128</v>
      </c>
      <c r="H1061" s="2">
        <f>_xlfn.XLOOKUP(Table1_1[[#This Row],[CAS_rn]],[1]analyte_order!$C:$C,[1]analyte_order!$E:$E)</f>
        <v>23</v>
      </c>
      <c r="I1061">
        <v>0.39500000000000002</v>
      </c>
    </row>
    <row r="1062" spans="1:9" x14ac:dyDescent="0.3">
      <c r="A1062" s="2" t="s">
        <v>75</v>
      </c>
      <c r="B1062" s="3">
        <v>44301.5</v>
      </c>
      <c r="C1062" s="1" t="str">
        <f t="shared" si="16"/>
        <v>21106</v>
      </c>
      <c r="D1062" t="s">
        <v>33</v>
      </c>
      <c r="E1062" s="2" t="s">
        <v>27</v>
      </c>
      <c r="F1062" s="2" t="str">
        <f>_xlfn.XLOOKUP(Table1_1[[#This Row],[CAS_rn]],[1]analyte_order!$C:$C,[1]analyte_order!$B:$B)</f>
        <v>8:2 FTS</v>
      </c>
      <c r="G1062" t="s">
        <v>129</v>
      </c>
      <c r="H1062" s="2">
        <f>_xlfn.XLOOKUP(Table1_1[[#This Row],[CAS_rn]],[1]analyte_order!$C:$C,[1]analyte_order!$E:$E)</f>
        <v>24</v>
      </c>
      <c r="I1062">
        <v>0.39500000000000002</v>
      </c>
    </row>
    <row r="1063" spans="1:9" x14ac:dyDescent="0.3">
      <c r="A1063" s="2" t="s">
        <v>75</v>
      </c>
      <c r="B1063" s="3">
        <v>44301.5</v>
      </c>
      <c r="C1063" s="1" t="str">
        <f t="shared" si="16"/>
        <v>21106</v>
      </c>
      <c r="D1063" t="s">
        <v>33</v>
      </c>
      <c r="E1063" s="2" t="s">
        <v>27</v>
      </c>
      <c r="F1063" s="2" t="str">
        <f>_xlfn.XLOOKUP(Table1_1[[#This Row],[CAS_rn]],[1]analyte_order!$C:$C,[1]analyte_order!$B:$B)</f>
        <v>FOSA</v>
      </c>
      <c r="G1063" t="s">
        <v>130</v>
      </c>
      <c r="H1063" s="2">
        <f>_xlfn.XLOOKUP(Table1_1[[#This Row],[CAS_rn]],[1]analyte_order!$C:$C,[1]analyte_order!$E:$E)</f>
        <v>28</v>
      </c>
      <c r="I1063">
        <v>0.09</v>
      </c>
    </row>
    <row r="1064" spans="1:9" x14ac:dyDescent="0.3">
      <c r="A1064" s="2" t="s">
        <v>75</v>
      </c>
      <c r="B1064" s="3">
        <v>44301.5</v>
      </c>
      <c r="C1064" s="1" t="str">
        <f t="shared" si="16"/>
        <v>21106</v>
      </c>
      <c r="D1064" t="s">
        <v>33</v>
      </c>
      <c r="E1064" s="2" t="s">
        <v>27</v>
      </c>
      <c r="F1064" s="2" t="str">
        <f>_xlfn.XLOOKUP(Table1_1[[#This Row],[CAS_rn]],[1]analyte_order!$C:$C,[1]analyte_order!$B:$B)</f>
        <v>N-MeFOSA</v>
      </c>
      <c r="G1064" t="s">
        <v>131</v>
      </c>
      <c r="H1064" s="2">
        <f>_xlfn.XLOOKUP(Table1_1[[#This Row],[CAS_rn]],[1]analyte_order!$C:$C,[1]analyte_order!$E:$E)</f>
        <v>30</v>
      </c>
      <c r="I1064">
        <v>4.9500000000000002E-2</v>
      </c>
    </row>
    <row r="1065" spans="1:9" x14ac:dyDescent="0.3">
      <c r="A1065" s="2" t="s">
        <v>75</v>
      </c>
      <c r="B1065" s="3">
        <v>44301.5</v>
      </c>
      <c r="C1065" s="1" t="str">
        <f t="shared" si="16"/>
        <v>21106</v>
      </c>
      <c r="D1065" t="s">
        <v>33</v>
      </c>
      <c r="E1065" s="2" t="s">
        <v>27</v>
      </c>
      <c r="F1065" s="2" t="str">
        <f>_xlfn.XLOOKUP(Table1_1[[#This Row],[CAS_rn]],[1]analyte_order!$C:$C,[1]analyte_order!$B:$B)</f>
        <v>N-MeFOSAA</v>
      </c>
      <c r="G1065" t="s">
        <v>132</v>
      </c>
      <c r="H1065" s="2">
        <f>_xlfn.XLOOKUP(Table1_1[[#This Row],[CAS_rn]],[1]analyte_order!$C:$C,[1]analyte_order!$E:$E)</f>
        <v>26</v>
      </c>
      <c r="I1065">
        <v>4.9500000000000002E-2</v>
      </c>
    </row>
    <row r="1066" spans="1:9" x14ac:dyDescent="0.3">
      <c r="A1066" s="2" t="s">
        <v>75</v>
      </c>
      <c r="B1066" s="3">
        <v>44301.5</v>
      </c>
      <c r="C1066" s="1" t="str">
        <f t="shared" si="16"/>
        <v>21106</v>
      </c>
      <c r="D1066" t="s">
        <v>33</v>
      </c>
      <c r="E1066" s="2" t="s">
        <v>27</v>
      </c>
      <c r="F1066" s="2" t="str">
        <f>_xlfn.XLOOKUP(Table1_1[[#This Row],[CAS_rn]],[1]analyte_order!$C:$C,[1]analyte_order!$B:$B)</f>
        <v>N-EtFOSA</v>
      </c>
      <c r="G1066" t="s">
        <v>133</v>
      </c>
      <c r="H1066" s="2">
        <f>_xlfn.XLOOKUP(Table1_1[[#This Row],[CAS_rn]],[1]analyte_order!$C:$C,[1]analyte_order!$E:$E)</f>
        <v>31</v>
      </c>
      <c r="I1066">
        <v>4.9500000000000002E-2</v>
      </c>
    </row>
    <row r="1067" spans="1:9" x14ac:dyDescent="0.3">
      <c r="A1067" s="2" t="s">
        <v>75</v>
      </c>
      <c r="B1067" s="3">
        <v>44301.5</v>
      </c>
      <c r="C1067" s="1" t="str">
        <f t="shared" si="16"/>
        <v>21106</v>
      </c>
      <c r="D1067" t="s">
        <v>33</v>
      </c>
      <c r="E1067" s="2" t="s">
        <v>27</v>
      </c>
      <c r="F1067" s="2" t="str">
        <f>_xlfn.XLOOKUP(Table1_1[[#This Row],[CAS_rn]],[1]analyte_order!$C:$C,[1]analyte_order!$B:$B)</f>
        <v>N-EtFOSAA</v>
      </c>
      <c r="G1067" t="s">
        <v>134</v>
      </c>
      <c r="H1067" s="2">
        <f>_xlfn.XLOOKUP(Table1_1[[#This Row],[CAS_rn]],[1]analyte_order!$C:$C,[1]analyte_order!$E:$E)</f>
        <v>27</v>
      </c>
      <c r="I1067">
        <v>4.9500000000000002E-2</v>
      </c>
    </row>
    <row r="1068" spans="1:9" x14ac:dyDescent="0.3">
      <c r="A1068" s="2" t="s">
        <v>75</v>
      </c>
      <c r="B1068" s="3">
        <v>44301.5</v>
      </c>
      <c r="C1068" s="1" t="str">
        <f t="shared" si="16"/>
        <v>21106</v>
      </c>
      <c r="D1068" t="s">
        <v>33</v>
      </c>
      <c r="E1068" s="2" t="s">
        <v>27</v>
      </c>
      <c r="F1068" s="2" t="str">
        <f>_xlfn.XLOOKUP(Table1_1[[#This Row],[CAS_rn]],[1]analyte_order!$C:$C,[1]analyte_order!$B:$B)</f>
        <v>N-MeFOSE</v>
      </c>
      <c r="G1068" t="s">
        <v>135</v>
      </c>
      <c r="H1068" s="2">
        <f>_xlfn.XLOOKUP(Table1_1[[#This Row],[CAS_rn]],[1]analyte_order!$C:$C,[1]analyte_order!$E:$E)</f>
        <v>32</v>
      </c>
      <c r="I1068">
        <v>0.495</v>
      </c>
    </row>
    <row r="1069" spans="1:9" x14ac:dyDescent="0.3">
      <c r="A1069" s="2" t="s">
        <v>75</v>
      </c>
      <c r="B1069" s="3">
        <v>44301.5</v>
      </c>
      <c r="C1069" s="1" t="str">
        <f t="shared" si="16"/>
        <v>21106</v>
      </c>
      <c r="D1069" t="s">
        <v>33</v>
      </c>
      <c r="E1069" s="2" t="s">
        <v>27</v>
      </c>
      <c r="F1069" s="2" t="str">
        <f>_xlfn.XLOOKUP(Table1_1[[#This Row],[CAS_rn]],[1]analyte_order!$C:$C,[1]analyte_order!$B:$B)</f>
        <v>N-EtFOSE</v>
      </c>
      <c r="G1069" t="s">
        <v>136</v>
      </c>
      <c r="H1069" s="2">
        <f>_xlfn.XLOOKUP(Table1_1[[#This Row],[CAS_rn]],[1]analyte_order!$C:$C,[1]analyte_order!$E:$E)</f>
        <v>33</v>
      </c>
      <c r="I1069">
        <v>0.495</v>
      </c>
    </row>
    <row r="1070" spans="1:9" x14ac:dyDescent="0.3">
      <c r="A1070" s="2" t="s">
        <v>75</v>
      </c>
      <c r="B1070" s="3">
        <v>44301.5</v>
      </c>
      <c r="C1070" s="1" t="str">
        <f t="shared" si="16"/>
        <v>21106</v>
      </c>
      <c r="D1070" t="s">
        <v>33</v>
      </c>
      <c r="E1070" s="2" t="s">
        <v>27</v>
      </c>
      <c r="F1070" s="2" t="str">
        <f>_xlfn.XLOOKUP(Table1_1[[#This Row],[CAS_rn]],[1]analyte_order!$C:$C,[1]analyte_order!$B:$B)</f>
        <v>HFPO-DA</v>
      </c>
      <c r="G1070" t="s">
        <v>137</v>
      </c>
      <c r="H1070" s="2">
        <f>_xlfn.XLOOKUP(Table1_1[[#This Row],[CAS_rn]],[1]analyte_order!$C:$C,[1]analyte_order!$E:$E)</f>
        <v>34</v>
      </c>
      <c r="I1070">
        <v>0.3</v>
      </c>
    </row>
    <row r="1071" spans="1:9" x14ac:dyDescent="0.3">
      <c r="A1071" s="2" t="s">
        <v>75</v>
      </c>
      <c r="B1071" s="3">
        <v>44301.5</v>
      </c>
      <c r="C1071" s="1" t="str">
        <f t="shared" si="16"/>
        <v>21106</v>
      </c>
      <c r="D1071" t="s">
        <v>33</v>
      </c>
      <c r="E1071" s="2" t="s">
        <v>27</v>
      </c>
      <c r="F1071" s="2" t="str">
        <f>_xlfn.XLOOKUP(Table1_1[[#This Row],[CAS_rn]],[1]analyte_order!$C:$C,[1]analyte_order!$B:$B)</f>
        <v>ADONA</v>
      </c>
      <c r="G1071" t="s">
        <v>138</v>
      </c>
      <c r="H1071" s="2">
        <f>_xlfn.XLOOKUP(Table1_1[[#This Row],[CAS_rn]],[1]analyte_order!$C:$C,[1]analyte_order!$E:$E)</f>
        <v>35</v>
      </c>
      <c r="I1071">
        <v>0.2</v>
      </c>
    </row>
    <row r="1072" spans="1:9" x14ac:dyDescent="0.3">
      <c r="A1072" s="2" t="s">
        <v>75</v>
      </c>
      <c r="B1072" s="3">
        <v>44301.5</v>
      </c>
      <c r="C1072" s="1" t="str">
        <f t="shared" si="16"/>
        <v>21106</v>
      </c>
      <c r="D1072" t="s">
        <v>33</v>
      </c>
      <c r="E1072" s="2" t="s">
        <v>27</v>
      </c>
      <c r="F1072" s="2" t="str">
        <f>_xlfn.XLOOKUP(Table1_1[[#This Row],[CAS_rn]],[1]analyte_order!$C:$C,[1]analyte_order!$B:$B)</f>
        <v>PFMBA</v>
      </c>
      <c r="G1072" t="s">
        <v>139</v>
      </c>
      <c r="H1072" s="2">
        <f>_xlfn.XLOOKUP(Table1_1[[#This Row],[CAS_rn]],[1]analyte_order!$C:$C,[1]analyte_order!$E:$E)</f>
        <v>48</v>
      </c>
      <c r="I1072">
        <v>0.1</v>
      </c>
    </row>
    <row r="1073" spans="1:9" x14ac:dyDescent="0.3">
      <c r="A1073" s="2" t="s">
        <v>75</v>
      </c>
      <c r="B1073" s="3">
        <v>44301.5</v>
      </c>
      <c r="C1073" s="1" t="str">
        <f t="shared" si="16"/>
        <v>21106</v>
      </c>
      <c r="D1073" t="s">
        <v>33</v>
      </c>
      <c r="E1073" s="2" t="s">
        <v>27</v>
      </c>
      <c r="F1073" s="2" t="str">
        <f>_xlfn.XLOOKUP(Table1_1[[#This Row],[CAS_rn]],[1]analyte_order!$C:$C,[1]analyte_order!$B:$B)</f>
        <v>NFDHA</v>
      </c>
      <c r="G1073" t="s">
        <v>140</v>
      </c>
      <c r="H1073" s="2">
        <f>_xlfn.XLOOKUP(Table1_1[[#This Row],[CAS_rn]],[1]analyte_order!$C:$C,[1]analyte_order!$E:$E)</f>
        <v>50</v>
      </c>
      <c r="I1073">
        <v>0.1</v>
      </c>
    </row>
    <row r="1074" spans="1:9" x14ac:dyDescent="0.3">
      <c r="A1074" s="2" t="s">
        <v>75</v>
      </c>
      <c r="B1074" s="3">
        <v>44301.5</v>
      </c>
      <c r="C1074" s="1" t="str">
        <f t="shared" si="16"/>
        <v>21106</v>
      </c>
      <c r="D1074" t="s">
        <v>33</v>
      </c>
      <c r="E1074" s="2" t="s">
        <v>27</v>
      </c>
      <c r="F1074" s="2" t="str">
        <f>_xlfn.XLOOKUP(Table1_1[[#This Row],[CAS_rn]],[1]analyte_order!$C:$C,[1]analyte_order!$B:$B)</f>
        <v>9Cl-PF3ONS</v>
      </c>
      <c r="G1074" t="s">
        <v>141</v>
      </c>
      <c r="H1074" s="2">
        <f>_xlfn.XLOOKUP(Table1_1[[#This Row],[CAS_rn]],[1]analyte_order!$C:$C,[1]analyte_order!$E:$E)</f>
        <v>36</v>
      </c>
      <c r="I1074">
        <v>0.2</v>
      </c>
    </row>
    <row r="1075" spans="1:9" x14ac:dyDescent="0.3">
      <c r="A1075" s="2" t="s">
        <v>75</v>
      </c>
      <c r="B1075" s="3">
        <v>44301.5</v>
      </c>
      <c r="C1075" s="1" t="str">
        <f t="shared" si="16"/>
        <v>21106</v>
      </c>
      <c r="D1075" t="s">
        <v>33</v>
      </c>
      <c r="E1075" s="2" t="s">
        <v>27</v>
      </c>
      <c r="F1075" s="2" t="str">
        <f>_xlfn.XLOOKUP(Table1_1[[#This Row],[CAS_rn]],[1]analyte_order!$C:$C,[1]analyte_order!$B:$B)</f>
        <v>11Cl-PF3OUdS</v>
      </c>
      <c r="G1075" t="s">
        <v>142</v>
      </c>
      <c r="H1075" s="2">
        <f>_xlfn.XLOOKUP(Table1_1[[#This Row],[CAS_rn]],[1]analyte_order!$C:$C,[1]analyte_order!$E:$E)</f>
        <v>37</v>
      </c>
      <c r="I1075">
        <v>0.2</v>
      </c>
    </row>
    <row r="1076" spans="1:9" x14ac:dyDescent="0.3">
      <c r="A1076" s="2" t="s">
        <v>75</v>
      </c>
      <c r="B1076" s="3">
        <v>44301.5</v>
      </c>
      <c r="C1076" s="1" t="str">
        <f t="shared" si="16"/>
        <v>21106</v>
      </c>
      <c r="D1076" t="s">
        <v>33</v>
      </c>
      <c r="E1076" s="2" t="s">
        <v>27</v>
      </c>
      <c r="F1076" s="2" t="str">
        <f>_xlfn.XLOOKUP(Table1_1[[#This Row],[CAS_rn]],[1]analyte_order!$C:$C,[1]analyte_order!$B:$B)</f>
        <v>PFEESA</v>
      </c>
      <c r="G1076" t="s">
        <v>143</v>
      </c>
      <c r="H1076" s="2">
        <f>_xlfn.XLOOKUP(Table1_1[[#This Row],[CAS_rn]],[1]analyte_order!$C:$C,[1]analyte_order!$E:$E)</f>
        <v>47</v>
      </c>
      <c r="I1076">
        <v>0.1</v>
      </c>
    </row>
    <row r="1077" spans="1:9" x14ac:dyDescent="0.3">
      <c r="A1077" s="2" t="s">
        <v>75</v>
      </c>
      <c r="B1077" s="3">
        <v>44301.5</v>
      </c>
      <c r="C1077" s="1" t="str">
        <f t="shared" si="16"/>
        <v>21106</v>
      </c>
      <c r="D1077" t="s">
        <v>33</v>
      </c>
      <c r="E1077" s="2" t="s">
        <v>27</v>
      </c>
      <c r="F1077" s="2" t="str">
        <f>_xlfn.XLOOKUP(Table1_1[[#This Row],[CAS_rn]],[1]analyte_order!$C:$C,[1]analyte_order!$B:$B)</f>
        <v>3:3 FTCA</v>
      </c>
      <c r="G1077" t="s">
        <v>144</v>
      </c>
      <c r="H1077" s="2">
        <f>_xlfn.XLOOKUP(Table1_1[[#This Row],[CAS_rn]],[1]analyte_order!$C:$C,[1]analyte_order!$E:$E)</f>
        <v>38</v>
      </c>
      <c r="I1077">
        <v>0.25</v>
      </c>
    </row>
    <row r="1078" spans="1:9" x14ac:dyDescent="0.3">
      <c r="A1078" s="2" t="s">
        <v>75</v>
      </c>
      <c r="B1078" s="3">
        <v>44301.5</v>
      </c>
      <c r="C1078" s="1" t="str">
        <f t="shared" si="16"/>
        <v>21106</v>
      </c>
      <c r="D1078" t="s">
        <v>33</v>
      </c>
      <c r="E1078" s="2" t="s">
        <v>27</v>
      </c>
      <c r="F1078" s="2" t="str">
        <f>_xlfn.XLOOKUP(Table1_1[[#This Row],[CAS_rn]],[1]analyte_order!$C:$C,[1]analyte_order!$B:$B)</f>
        <v>5:3 FTCA</v>
      </c>
      <c r="G1078" t="s">
        <v>145</v>
      </c>
      <c r="H1078" s="2">
        <f>_xlfn.XLOOKUP(Table1_1[[#This Row],[CAS_rn]],[1]analyte_order!$C:$C,[1]analyte_order!$E:$E)</f>
        <v>39</v>
      </c>
      <c r="I1078">
        <v>1.25</v>
      </c>
    </row>
    <row r="1079" spans="1:9" x14ac:dyDescent="0.3">
      <c r="A1079" s="2" t="s">
        <v>75</v>
      </c>
      <c r="B1079" s="3">
        <v>44301.5</v>
      </c>
      <c r="C1079" s="1" t="str">
        <f t="shared" si="16"/>
        <v>21106</v>
      </c>
      <c r="D1079" t="s">
        <v>33</v>
      </c>
      <c r="E1079" s="2" t="s">
        <v>27</v>
      </c>
      <c r="F1079" s="2" t="str">
        <f>_xlfn.XLOOKUP(Table1_1[[#This Row],[CAS_rn]],[1]analyte_order!$C:$C,[1]analyte_order!$B:$B)</f>
        <v>7:3 FTCA</v>
      </c>
      <c r="G1079" t="s">
        <v>146</v>
      </c>
      <c r="H1079" s="2">
        <f>_xlfn.XLOOKUP(Table1_1[[#This Row],[CAS_rn]],[1]analyte_order!$C:$C,[1]analyte_order!$E:$E)</f>
        <v>40</v>
      </c>
      <c r="I1079">
        <v>1.25</v>
      </c>
    </row>
    <row r="1080" spans="1:9" x14ac:dyDescent="0.3">
      <c r="A1080" s="2" t="s">
        <v>75</v>
      </c>
      <c r="B1080" s="3">
        <v>44301.5</v>
      </c>
      <c r="C1080" s="1" t="str">
        <f t="shared" si="16"/>
        <v>21106</v>
      </c>
      <c r="D1080" t="s">
        <v>33</v>
      </c>
      <c r="E1080" s="2" t="s">
        <v>27</v>
      </c>
      <c r="F1080" s="2" t="str">
        <f>_xlfn.XLOOKUP(Table1_1[[#This Row],[CAS_rn]],[1]analyte_order!$C:$C,[1]analyte_order!$B:$B)</f>
        <v>PFDS</v>
      </c>
      <c r="G1080" t="s">
        <v>147</v>
      </c>
      <c r="H1080" s="2">
        <f>_xlfn.XLOOKUP(Table1_1[[#This Row],[CAS_rn]],[1]analyte_order!$C:$C,[1]analyte_order!$E:$E)</f>
        <v>20</v>
      </c>
      <c r="I1080">
        <v>4.9500000000000002E-2</v>
      </c>
    </row>
    <row r="1081" spans="1:9" x14ac:dyDescent="0.3">
      <c r="A1081" s="2" t="s">
        <v>75</v>
      </c>
      <c r="B1081" s="3">
        <v>44301.5</v>
      </c>
      <c r="C1081" s="1" t="str">
        <f t="shared" si="16"/>
        <v>21106</v>
      </c>
      <c r="D1081" t="s">
        <v>33</v>
      </c>
      <c r="E1081" s="2" t="s">
        <v>27</v>
      </c>
      <c r="F1081" s="2" t="str">
        <f>_xlfn.XLOOKUP(Table1_1[[#This Row],[CAS_rn]],[1]analyte_order!$C:$C,[1]analyte_order!$B:$B)</f>
        <v>PFMPA</v>
      </c>
      <c r="G1081" t="s">
        <v>148</v>
      </c>
      <c r="H1081" s="2">
        <f>_xlfn.XLOOKUP(Table1_1[[#This Row],[CAS_rn]],[1]analyte_order!$C:$C,[1]analyte_order!$E:$E)</f>
        <v>49</v>
      </c>
      <c r="I1081">
        <v>0.1</v>
      </c>
    </row>
    <row r="1082" spans="1:9" x14ac:dyDescent="0.3">
      <c r="A1082" s="2" t="s">
        <v>76</v>
      </c>
      <c r="B1082" s="3">
        <v>44301.5</v>
      </c>
      <c r="C1082" s="1" t="str">
        <f t="shared" si="16"/>
        <v>21106</v>
      </c>
      <c r="D1082" t="s">
        <v>29</v>
      </c>
      <c r="E1082" s="2" t="s">
        <v>27</v>
      </c>
      <c r="F1082" s="2" t="str">
        <f>_xlfn.XLOOKUP(Table1_1[[#This Row],[CAS_rn]],[1]analyte_order!$C:$C,[1]analyte_order!$B:$B)</f>
        <v>PFBA</v>
      </c>
      <c r="G1082" t="s">
        <v>109</v>
      </c>
      <c r="H1082" s="2">
        <f>_xlfn.XLOOKUP(Table1_1[[#This Row],[CAS_rn]],[1]analyte_order!$C:$C,[1]analyte_order!$E:$E)</f>
        <v>1</v>
      </c>
      <c r="I1082">
        <v>0.2</v>
      </c>
    </row>
    <row r="1083" spans="1:9" x14ac:dyDescent="0.3">
      <c r="A1083" s="2" t="s">
        <v>76</v>
      </c>
      <c r="B1083" s="3">
        <v>44301.5</v>
      </c>
      <c r="C1083" s="1" t="str">
        <f t="shared" si="16"/>
        <v>21106</v>
      </c>
      <c r="D1083" t="s">
        <v>29</v>
      </c>
      <c r="E1083" s="2" t="s">
        <v>27</v>
      </c>
      <c r="F1083" s="2" t="str">
        <f>_xlfn.XLOOKUP(Table1_1[[#This Row],[CAS_rn]],[1]analyte_order!$C:$C,[1]analyte_order!$B:$B)</f>
        <v>PFPeA</v>
      </c>
      <c r="G1083" t="s">
        <v>110</v>
      </c>
      <c r="H1083" s="2">
        <f>_xlfn.XLOOKUP(Table1_1[[#This Row],[CAS_rn]],[1]analyte_order!$C:$C,[1]analyte_order!$E:$E)</f>
        <v>2</v>
      </c>
      <c r="I1083">
        <v>0.1</v>
      </c>
    </row>
    <row r="1084" spans="1:9" x14ac:dyDescent="0.3">
      <c r="A1084" s="2" t="s">
        <v>76</v>
      </c>
      <c r="B1084" s="3">
        <v>44301.5</v>
      </c>
      <c r="C1084" s="1" t="str">
        <f t="shared" si="16"/>
        <v>21106</v>
      </c>
      <c r="D1084" t="s">
        <v>29</v>
      </c>
      <c r="E1084" s="2" t="s">
        <v>27</v>
      </c>
      <c r="F1084" s="2" t="str">
        <f>_xlfn.XLOOKUP(Table1_1[[#This Row],[CAS_rn]],[1]analyte_order!$C:$C,[1]analyte_order!$B:$B)</f>
        <v>PFHxA</v>
      </c>
      <c r="G1084" t="s">
        <v>111</v>
      </c>
      <c r="H1084" s="2">
        <f>_xlfn.XLOOKUP(Table1_1[[#This Row],[CAS_rn]],[1]analyte_order!$C:$C,[1]analyte_order!$E:$E)</f>
        <v>3</v>
      </c>
      <c r="I1084">
        <v>0.09</v>
      </c>
    </row>
    <row r="1085" spans="1:9" x14ac:dyDescent="0.3">
      <c r="A1085" s="2" t="s">
        <v>76</v>
      </c>
      <c r="B1085" s="3">
        <v>44301.5</v>
      </c>
      <c r="C1085" s="1" t="str">
        <f t="shared" si="16"/>
        <v>21106</v>
      </c>
      <c r="D1085" t="s">
        <v>29</v>
      </c>
      <c r="E1085" s="2" t="s">
        <v>27</v>
      </c>
      <c r="F1085" s="2" t="str">
        <f>_xlfn.XLOOKUP(Table1_1[[#This Row],[CAS_rn]],[1]analyte_order!$C:$C,[1]analyte_order!$B:$B)</f>
        <v>PFHpA</v>
      </c>
      <c r="G1085" t="s">
        <v>112</v>
      </c>
      <c r="H1085" s="2">
        <f>_xlfn.XLOOKUP(Table1_1[[#This Row],[CAS_rn]],[1]analyte_order!$C:$C,[1]analyte_order!$E:$E)</f>
        <v>4</v>
      </c>
      <c r="I1085">
        <v>0.09</v>
      </c>
    </row>
    <row r="1086" spans="1:9" x14ac:dyDescent="0.3">
      <c r="A1086" s="2" t="s">
        <v>76</v>
      </c>
      <c r="B1086" s="3">
        <v>44301.5</v>
      </c>
      <c r="C1086" s="1" t="str">
        <f t="shared" si="16"/>
        <v>21106</v>
      </c>
      <c r="D1086" t="s">
        <v>29</v>
      </c>
      <c r="E1086" s="2" t="s">
        <v>27</v>
      </c>
      <c r="F1086" s="2" t="str">
        <f>_xlfn.XLOOKUP(Table1_1[[#This Row],[CAS_rn]],[1]analyte_order!$C:$C,[1]analyte_order!$B:$B)</f>
        <v>PFOA</v>
      </c>
      <c r="G1086" t="s">
        <v>113</v>
      </c>
      <c r="H1086" s="2">
        <f>_xlfn.XLOOKUP(Table1_1[[#This Row],[CAS_rn]],[1]analyte_order!$C:$C,[1]analyte_order!$E:$E)</f>
        <v>5</v>
      </c>
      <c r="I1086">
        <v>0.12</v>
      </c>
    </row>
    <row r="1087" spans="1:9" x14ac:dyDescent="0.3">
      <c r="A1087" s="2" t="s">
        <v>76</v>
      </c>
      <c r="B1087" s="3">
        <v>44301.5</v>
      </c>
      <c r="C1087" s="1" t="str">
        <f t="shared" si="16"/>
        <v>21106</v>
      </c>
      <c r="D1087" t="s">
        <v>29</v>
      </c>
      <c r="E1087" s="2" t="s">
        <v>27</v>
      </c>
      <c r="F1087" s="2" t="str">
        <f>_xlfn.XLOOKUP(Table1_1[[#This Row],[CAS_rn]],[1]analyte_order!$C:$C,[1]analyte_order!$B:$B)</f>
        <v>PFNA</v>
      </c>
      <c r="G1087" t="s">
        <v>114</v>
      </c>
      <c r="H1087" s="2">
        <f>_xlfn.XLOOKUP(Table1_1[[#This Row],[CAS_rn]],[1]analyte_order!$C:$C,[1]analyte_order!$E:$E)</f>
        <v>6</v>
      </c>
      <c r="I1087">
        <v>0.05</v>
      </c>
    </row>
    <row r="1088" spans="1:9" x14ac:dyDescent="0.3">
      <c r="A1088" s="2" t="s">
        <v>76</v>
      </c>
      <c r="B1088" s="3">
        <v>44301.5</v>
      </c>
      <c r="C1088" s="1" t="str">
        <f t="shared" si="16"/>
        <v>21106</v>
      </c>
      <c r="D1088" t="s">
        <v>29</v>
      </c>
      <c r="E1088" s="2" t="s">
        <v>27</v>
      </c>
      <c r="F1088" s="2" t="str">
        <f>_xlfn.XLOOKUP(Table1_1[[#This Row],[CAS_rn]],[1]analyte_order!$C:$C,[1]analyte_order!$B:$B)</f>
        <v>PFDA</v>
      </c>
      <c r="G1088" t="s">
        <v>115</v>
      </c>
      <c r="H1088" s="2">
        <f>_xlfn.XLOOKUP(Table1_1[[#This Row],[CAS_rn]],[1]analyte_order!$C:$C,[1]analyte_order!$E:$E)</f>
        <v>7</v>
      </c>
      <c r="I1088">
        <v>0.05</v>
      </c>
    </row>
    <row r="1089" spans="1:9" x14ac:dyDescent="0.3">
      <c r="A1089" s="2" t="s">
        <v>76</v>
      </c>
      <c r="B1089" s="3">
        <v>44301.5</v>
      </c>
      <c r="C1089" s="1" t="str">
        <f t="shared" si="16"/>
        <v>21106</v>
      </c>
      <c r="D1089" t="s">
        <v>29</v>
      </c>
      <c r="E1089" s="2" t="s">
        <v>27</v>
      </c>
      <c r="F1089" s="2" t="str">
        <f>_xlfn.XLOOKUP(Table1_1[[#This Row],[CAS_rn]],[1]analyte_order!$C:$C,[1]analyte_order!$B:$B)</f>
        <v>PFUnA</v>
      </c>
      <c r="G1089" t="s">
        <v>116</v>
      </c>
      <c r="H1089" s="2">
        <f>_xlfn.XLOOKUP(Table1_1[[#This Row],[CAS_rn]],[1]analyte_order!$C:$C,[1]analyte_order!$E:$E)</f>
        <v>8</v>
      </c>
      <c r="I1089">
        <v>0.05</v>
      </c>
    </row>
    <row r="1090" spans="1:9" x14ac:dyDescent="0.3">
      <c r="A1090" s="2" t="s">
        <v>76</v>
      </c>
      <c r="B1090" s="3">
        <v>44301.5</v>
      </c>
      <c r="C1090" s="1" t="str">
        <f t="shared" si="16"/>
        <v>21106</v>
      </c>
      <c r="D1090" t="s">
        <v>29</v>
      </c>
      <c r="E1090" s="2" t="s">
        <v>27</v>
      </c>
      <c r="F1090" s="2" t="str">
        <f>_xlfn.XLOOKUP(Table1_1[[#This Row],[CAS_rn]],[1]analyte_order!$C:$C,[1]analyte_order!$B:$B)</f>
        <v>PFDoA</v>
      </c>
      <c r="G1090" t="s">
        <v>117</v>
      </c>
      <c r="H1090" s="2">
        <f>_xlfn.XLOOKUP(Table1_1[[#This Row],[CAS_rn]],[1]analyte_order!$C:$C,[1]analyte_order!$E:$E)</f>
        <v>9</v>
      </c>
      <c r="I1090">
        <v>0.05</v>
      </c>
    </row>
    <row r="1091" spans="1:9" x14ac:dyDescent="0.3">
      <c r="A1091" s="2" t="s">
        <v>76</v>
      </c>
      <c r="B1091" s="3">
        <v>44301.5</v>
      </c>
      <c r="C1091" s="1" t="str">
        <f t="shared" ref="C1091:C1154" si="17">TEXT(B1091,"yy")&amp;TEXT((B1091-DATEVALUE("1/1/"&amp;TEXT(B1091,"yy"))+1),"000")</f>
        <v>21106</v>
      </c>
      <c r="D1091" t="s">
        <v>29</v>
      </c>
      <c r="E1091" s="2" t="s">
        <v>27</v>
      </c>
      <c r="F1091" s="2" t="str">
        <f>_xlfn.XLOOKUP(Table1_1[[#This Row],[CAS_rn]],[1]analyte_order!$C:$C,[1]analyte_order!$B:$B)</f>
        <v>PFTrDA</v>
      </c>
      <c r="G1091" t="s">
        <v>118</v>
      </c>
      <c r="H1091" s="2">
        <f>_xlfn.XLOOKUP(Table1_1[[#This Row],[CAS_rn]],[1]analyte_order!$C:$C,[1]analyte_order!$E:$E)</f>
        <v>10</v>
      </c>
      <c r="I1091">
        <v>0.05</v>
      </c>
    </row>
    <row r="1092" spans="1:9" x14ac:dyDescent="0.3">
      <c r="A1092" s="2" t="s">
        <v>76</v>
      </c>
      <c r="B1092" s="3">
        <v>44301.5</v>
      </c>
      <c r="C1092" s="1" t="str">
        <f t="shared" si="17"/>
        <v>21106</v>
      </c>
      <c r="D1092" t="s">
        <v>29</v>
      </c>
      <c r="E1092" s="2" t="s">
        <v>27</v>
      </c>
      <c r="F1092" s="2" t="str">
        <f>_xlfn.XLOOKUP(Table1_1[[#This Row],[CAS_rn]],[1]analyte_order!$C:$C,[1]analyte_order!$B:$B)</f>
        <v>PFTeDA</v>
      </c>
      <c r="G1092" t="s">
        <v>119</v>
      </c>
      <c r="H1092" s="2">
        <f>_xlfn.XLOOKUP(Table1_1[[#This Row],[CAS_rn]],[1]analyte_order!$C:$C,[1]analyte_order!$E:$E)</f>
        <v>11</v>
      </c>
      <c r="I1092">
        <v>0.05</v>
      </c>
    </row>
    <row r="1093" spans="1:9" x14ac:dyDescent="0.3">
      <c r="A1093" s="2" t="s">
        <v>76</v>
      </c>
      <c r="B1093" s="3">
        <v>44301.5</v>
      </c>
      <c r="C1093" s="1" t="str">
        <f t="shared" si="17"/>
        <v>21106</v>
      </c>
      <c r="D1093" t="s">
        <v>29</v>
      </c>
      <c r="E1093" s="2" t="s">
        <v>27</v>
      </c>
      <c r="F1093" s="2" t="str">
        <f>_xlfn.XLOOKUP(Table1_1[[#This Row],[CAS_rn]],[1]analyte_order!$C:$C,[1]analyte_order!$B:$B)</f>
        <v>PFBS</v>
      </c>
      <c r="G1093" t="s">
        <v>120</v>
      </c>
      <c r="H1093" s="2">
        <f>_xlfn.XLOOKUP(Table1_1[[#This Row],[CAS_rn]],[1]analyte_order!$C:$C,[1]analyte_order!$E:$E)</f>
        <v>14</v>
      </c>
      <c r="I1093">
        <v>0.05</v>
      </c>
    </row>
    <row r="1094" spans="1:9" x14ac:dyDescent="0.3">
      <c r="A1094" s="2" t="s">
        <v>76</v>
      </c>
      <c r="B1094" s="3">
        <v>44301.5</v>
      </c>
      <c r="C1094" s="1" t="str">
        <f t="shared" si="17"/>
        <v>21106</v>
      </c>
      <c r="D1094" t="s">
        <v>29</v>
      </c>
      <c r="E1094" s="2" t="s">
        <v>27</v>
      </c>
      <c r="F1094" s="2" t="str">
        <f>_xlfn.XLOOKUP(Table1_1[[#This Row],[CAS_rn]],[1]analyte_order!$C:$C,[1]analyte_order!$B:$B)</f>
        <v>PFPeS</v>
      </c>
      <c r="G1094" t="s">
        <v>121</v>
      </c>
      <c r="H1094" s="2">
        <f>_xlfn.XLOOKUP(Table1_1[[#This Row],[CAS_rn]],[1]analyte_order!$C:$C,[1]analyte_order!$E:$E)</f>
        <v>15</v>
      </c>
      <c r="I1094">
        <v>0.05</v>
      </c>
    </row>
    <row r="1095" spans="1:9" x14ac:dyDescent="0.3">
      <c r="A1095" s="2" t="s">
        <v>76</v>
      </c>
      <c r="B1095" s="3">
        <v>44301.5</v>
      </c>
      <c r="C1095" s="1" t="str">
        <f t="shared" si="17"/>
        <v>21106</v>
      </c>
      <c r="D1095" t="s">
        <v>29</v>
      </c>
      <c r="E1095" s="2" t="s">
        <v>27</v>
      </c>
      <c r="F1095" s="2" t="str">
        <f>_xlfn.XLOOKUP(Table1_1[[#This Row],[CAS_rn]],[1]analyte_order!$C:$C,[1]analyte_order!$B:$B)</f>
        <v>PFHxS</v>
      </c>
      <c r="G1095" t="s">
        <v>122</v>
      </c>
      <c r="H1095" s="2">
        <f>_xlfn.XLOOKUP(Table1_1[[#This Row],[CAS_rn]],[1]analyte_order!$C:$C,[1]analyte_order!$E:$E)</f>
        <v>16</v>
      </c>
      <c r="I1095">
        <v>0.28000000000000003</v>
      </c>
    </row>
    <row r="1096" spans="1:9" x14ac:dyDescent="0.3">
      <c r="A1096" s="2" t="s">
        <v>76</v>
      </c>
      <c r="B1096" s="3">
        <v>44301.5</v>
      </c>
      <c r="C1096" s="1" t="str">
        <f t="shared" si="17"/>
        <v>21106</v>
      </c>
      <c r="D1096" t="s">
        <v>29</v>
      </c>
      <c r="E1096" s="2" t="s">
        <v>27</v>
      </c>
      <c r="F1096" s="2" t="str">
        <f>_xlfn.XLOOKUP(Table1_1[[#This Row],[CAS_rn]],[1]analyte_order!$C:$C,[1]analyte_order!$B:$B)</f>
        <v>PFHpS</v>
      </c>
      <c r="G1096" t="s">
        <v>123</v>
      </c>
      <c r="H1096" s="2">
        <f>_xlfn.XLOOKUP(Table1_1[[#This Row],[CAS_rn]],[1]analyte_order!$C:$C,[1]analyte_order!$E:$E)</f>
        <v>17</v>
      </c>
      <c r="I1096">
        <v>0.05</v>
      </c>
    </row>
    <row r="1097" spans="1:9" x14ac:dyDescent="0.3">
      <c r="A1097" s="2" t="s">
        <v>76</v>
      </c>
      <c r="B1097" s="3">
        <v>44301.5</v>
      </c>
      <c r="C1097" s="1" t="str">
        <f t="shared" si="17"/>
        <v>21106</v>
      </c>
      <c r="D1097" t="s">
        <v>29</v>
      </c>
      <c r="E1097" s="2" t="s">
        <v>27</v>
      </c>
      <c r="F1097" s="2" t="str">
        <f>_xlfn.XLOOKUP(Table1_1[[#This Row],[CAS_rn]],[1]analyte_order!$C:$C,[1]analyte_order!$B:$B)</f>
        <v>PFOS</v>
      </c>
      <c r="G1097" t="s">
        <v>124</v>
      </c>
      <c r="H1097" s="2">
        <f>_xlfn.XLOOKUP(Table1_1[[#This Row],[CAS_rn]],[1]analyte_order!$C:$C,[1]analyte_order!$E:$E)</f>
        <v>18</v>
      </c>
      <c r="I1097">
        <v>0.96</v>
      </c>
    </row>
    <row r="1098" spans="1:9" x14ac:dyDescent="0.3">
      <c r="A1098" s="2" t="s">
        <v>76</v>
      </c>
      <c r="B1098" s="3">
        <v>44301.5</v>
      </c>
      <c r="C1098" s="1" t="str">
        <f t="shared" si="17"/>
        <v>21106</v>
      </c>
      <c r="D1098" t="s">
        <v>29</v>
      </c>
      <c r="E1098" s="2" t="s">
        <v>27</v>
      </c>
      <c r="F1098" s="2" t="str">
        <f>_xlfn.XLOOKUP(Table1_1[[#This Row],[CAS_rn]],[1]analyte_order!$C:$C,[1]analyte_order!$B:$B)</f>
        <v>PFNS</v>
      </c>
      <c r="G1098" t="s">
        <v>125</v>
      </c>
      <c r="H1098" s="2">
        <f>_xlfn.XLOOKUP(Table1_1[[#This Row],[CAS_rn]],[1]analyte_order!$C:$C,[1]analyte_order!$E:$E)</f>
        <v>19</v>
      </c>
      <c r="I1098">
        <v>0.05</v>
      </c>
    </row>
    <row r="1099" spans="1:9" x14ac:dyDescent="0.3">
      <c r="A1099" s="2" t="s">
        <v>76</v>
      </c>
      <c r="B1099" s="3">
        <v>44301.5</v>
      </c>
      <c r="C1099" s="1" t="str">
        <f t="shared" si="17"/>
        <v>21106</v>
      </c>
      <c r="D1099" t="s">
        <v>29</v>
      </c>
      <c r="E1099" s="2" t="s">
        <v>27</v>
      </c>
      <c r="F1099" s="2" t="str">
        <f>_xlfn.XLOOKUP(Table1_1[[#This Row],[CAS_rn]],[1]analyte_order!$C:$C,[1]analyte_order!$B:$B)</f>
        <v>PFDoS</v>
      </c>
      <c r="G1099" t="s">
        <v>126</v>
      </c>
      <c r="H1099" s="2">
        <f>_xlfn.XLOOKUP(Table1_1[[#This Row],[CAS_rn]],[1]analyte_order!$C:$C,[1]analyte_order!$E:$E)</f>
        <v>21</v>
      </c>
      <c r="I1099">
        <v>0.05</v>
      </c>
    </row>
    <row r="1100" spans="1:9" x14ac:dyDescent="0.3">
      <c r="A1100" s="2" t="s">
        <v>76</v>
      </c>
      <c r="B1100" s="3">
        <v>44301.5</v>
      </c>
      <c r="C1100" s="1" t="str">
        <f t="shared" si="17"/>
        <v>21106</v>
      </c>
      <c r="D1100" t="s">
        <v>29</v>
      </c>
      <c r="E1100" s="2" t="s">
        <v>27</v>
      </c>
      <c r="F1100" s="2" t="str">
        <f>_xlfn.XLOOKUP(Table1_1[[#This Row],[CAS_rn]],[1]analyte_order!$C:$C,[1]analyte_order!$B:$B)</f>
        <v>4:2 FTS</v>
      </c>
      <c r="G1100" t="s">
        <v>127</v>
      </c>
      <c r="H1100" s="2">
        <f>_xlfn.XLOOKUP(Table1_1[[#This Row],[CAS_rn]],[1]analyte_order!$C:$C,[1]analyte_order!$E:$E)</f>
        <v>22</v>
      </c>
      <c r="I1100">
        <v>0.2</v>
      </c>
    </row>
    <row r="1101" spans="1:9" x14ac:dyDescent="0.3">
      <c r="A1101" s="2" t="s">
        <v>76</v>
      </c>
      <c r="B1101" s="3">
        <v>44301.5</v>
      </c>
      <c r="C1101" s="1" t="str">
        <f t="shared" si="17"/>
        <v>21106</v>
      </c>
      <c r="D1101" t="s">
        <v>29</v>
      </c>
      <c r="E1101" s="2" t="s">
        <v>27</v>
      </c>
      <c r="F1101" s="2" t="str">
        <f>_xlfn.XLOOKUP(Table1_1[[#This Row],[CAS_rn]],[1]analyte_order!$C:$C,[1]analyte_order!$B:$B)</f>
        <v>6:2 FTS</v>
      </c>
      <c r="G1101" t="s">
        <v>128</v>
      </c>
      <c r="H1101" s="2">
        <f>_xlfn.XLOOKUP(Table1_1[[#This Row],[CAS_rn]],[1]analyte_order!$C:$C,[1]analyte_order!$E:$E)</f>
        <v>23</v>
      </c>
      <c r="I1101">
        <v>0.4</v>
      </c>
    </row>
    <row r="1102" spans="1:9" x14ac:dyDescent="0.3">
      <c r="A1102" s="2" t="s">
        <v>76</v>
      </c>
      <c r="B1102" s="3">
        <v>44301.5</v>
      </c>
      <c r="C1102" s="1" t="str">
        <f t="shared" si="17"/>
        <v>21106</v>
      </c>
      <c r="D1102" t="s">
        <v>29</v>
      </c>
      <c r="E1102" s="2" t="s">
        <v>27</v>
      </c>
      <c r="F1102" s="2" t="str">
        <f>_xlfn.XLOOKUP(Table1_1[[#This Row],[CAS_rn]],[1]analyte_order!$C:$C,[1]analyte_order!$B:$B)</f>
        <v>8:2 FTS</v>
      </c>
      <c r="G1102" t="s">
        <v>129</v>
      </c>
      <c r="H1102" s="2">
        <f>_xlfn.XLOOKUP(Table1_1[[#This Row],[CAS_rn]],[1]analyte_order!$C:$C,[1]analyte_order!$E:$E)</f>
        <v>24</v>
      </c>
      <c r="I1102">
        <v>0.4</v>
      </c>
    </row>
    <row r="1103" spans="1:9" x14ac:dyDescent="0.3">
      <c r="A1103" s="2" t="s">
        <v>76</v>
      </c>
      <c r="B1103" s="3">
        <v>44301.5</v>
      </c>
      <c r="C1103" s="1" t="str">
        <f t="shared" si="17"/>
        <v>21106</v>
      </c>
      <c r="D1103" t="s">
        <v>29</v>
      </c>
      <c r="E1103" s="2" t="s">
        <v>27</v>
      </c>
      <c r="F1103" s="2" t="str">
        <f>_xlfn.XLOOKUP(Table1_1[[#This Row],[CAS_rn]],[1]analyte_order!$C:$C,[1]analyte_order!$B:$B)</f>
        <v>FOSA</v>
      </c>
      <c r="G1103" t="s">
        <v>130</v>
      </c>
      <c r="H1103" s="2">
        <f>_xlfn.XLOOKUP(Table1_1[[#This Row],[CAS_rn]],[1]analyte_order!$C:$C,[1]analyte_order!$E:$E)</f>
        <v>28</v>
      </c>
      <c r="I1103">
        <v>0.09</v>
      </c>
    </row>
    <row r="1104" spans="1:9" x14ac:dyDescent="0.3">
      <c r="A1104" s="2" t="s">
        <v>76</v>
      </c>
      <c r="B1104" s="3">
        <v>44301.5</v>
      </c>
      <c r="C1104" s="1" t="str">
        <f t="shared" si="17"/>
        <v>21106</v>
      </c>
      <c r="D1104" t="s">
        <v>29</v>
      </c>
      <c r="E1104" s="2" t="s">
        <v>27</v>
      </c>
      <c r="F1104" s="2" t="str">
        <f>_xlfn.XLOOKUP(Table1_1[[#This Row],[CAS_rn]],[1]analyte_order!$C:$C,[1]analyte_order!$B:$B)</f>
        <v>N-MeFOSA</v>
      </c>
      <c r="G1104" t="s">
        <v>131</v>
      </c>
      <c r="H1104" s="2">
        <f>_xlfn.XLOOKUP(Table1_1[[#This Row],[CAS_rn]],[1]analyte_order!$C:$C,[1]analyte_order!$E:$E)</f>
        <v>30</v>
      </c>
      <c r="I1104">
        <v>0.05</v>
      </c>
    </row>
    <row r="1105" spans="1:9" x14ac:dyDescent="0.3">
      <c r="A1105" s="2" t="s">
        <v>76</v>
      </c>
      <c r="B1105" s="3">
        <v>44301.5</v>
      </c>
      <c r="C1105" s="1" t="str">
        <f t="shared" si="17"/>
        <v>21106</v>
      </c>
      <c r="D1105" t="s">
        <v>29</v>
      </c>
      <c r="E1105" s="2" t="s">
        <v>27</v>
      </c>
      <c r="F1105" s="2" t="str">
        <f>_xlfn.XLOOKUP(Table1_1[[#This Row],[CAS_rn]],[1]analyte_order!$C:$C,[1]analyte_order!$B:$B)</f>
        <v>N-MeFOSAA</v>
      </c>
      <c r="G1105" t="s">
        <v>132</v>
      </c>
      <c r="H1105" s="2">
        <f>_xlfn.XLOOKUP(Table1_1[[#This Row],[CAS_rn]],[1]analyte_order!$C:$C,[1]analyte_order!$E:$E)</f>
        <v>26</v>
      </c>
      <c r="I1105">
        <v>0.05</v>
      </c>
    </row>
    <row r="1106" spans="1:9" x14ac:dyDescent="0.3">
      <c r="A1106" s="2" t="s">
        <v>76</v>
      </c>
      <c r="B1106" s="3">
        <v>44301.5</v>
      </c>
      <c r="C1106" s="1" t="str">
        <f t="shared" si="17"/>
        <v>21106</v>
      </c>
      <c r="D1106" t="s">
        <v>29</v>
      </c>
      <c r="E1106" s="2" t="s">
        <v>27</v>
      </c>
      <c r="F1106" s="2" t="str">
        <f>_xlfn.XLOOKUP(Table1_1[[#This Row],[CAS_rn]],[1]analyte_order!$C:$C,[1]analyte_order!$B:$B)</f>
        <v>N-EtFOSA</v>
      </c>
      <c r="G1106" t="s">
        <v>133</v>
      </c>
      <c r="H1106" s="2">
        <f>_xlfn.XLOOKUP(Table1_1[[#This Row],[CAS_rn]],[1]analyte_order!$C:$C,[1]analyte_order!$E:$E)</f>
        <v>31</v>
      </c>
      <c r="I1106">
        <v>0.05</v>
      </c>
    </row>
    <row r="1107" spans="1:9" x14ac:dyDescent="0.3">
      <c r="A1107" s="2" t="s">
        <v>76</v>
      </c>
      <c r="B1107" s="3">
        <v>44301.5</v>
      </c>
      <c r="C1107" s="1" t="str">
        <f t="shared" si="17"/>
        <v>21106</v>
      </c>
      <c r="D1107" t="s">
        <v>29</v>
      </c>
      <c r="E1107" s="2" t="s">
        <v>27</v>
      </c>
      <c r="F1107" s="2" t="str">
        <f>_xlfn.XLOOKUP(Table1_1[[#This Row],[CAS_rn]],[1]analyte_order!$C:$C,[1]analyte_order!$B:$B)</f>
        <v>N-EtFOSAA</v>
      </c>
      <c r="G1107" t="s">
        <v>134</v>
      </c>
      <c r="H1107" s="2">
        <f>_xlfn.XLOOKUP(Table1_1[[#This Row],[CAS_rn]],[1]analyte_order!$C:$C,[1]analyte_order!$E:$E)</f>
        <v>27</v>
      </c>
      <c r="I1107">
        <v>0.05</v>
      </c>
    </row>
    <row r="1108" spans="1:9" x14ac:dyDescent="0.3">
      <c r="A1108" s="2" t="s">
        <v>76</v>
      </c>
      <c r="B1108" s="3">
        <v>44301.5</v>
      </c>
      <c r="C1108" s="1" t="str">
        <f t="shared" si="17"/>
        <v>21106</v>
      </c>
      <c r="D1108" t="s">
        <v>29</v>
      </c>
      <c r="E1108" s="2" t="s">
        <v>27</v>
      </c>
      <c r="F1108" s="2" t="str">
        <f>_xlfn.XLOOKUP(Table1_1[[#This Row],[CAS_rn]],[1]analyte_order!$C:$C,[1]analyte_order!$B:$B)</f>
        <v>N-MeFOSE</v>
      </c>
      <c r="G1108" t="s">
        <v>135</v>
      </c>
      <c r="H1108" s="2">
        <f>_xlfn.XLOOKUP(Table1_1[[#This Row],[CAS_rn]],[1]analyte_order!$C:$C,[1]analyte_order!$E:$E)</f>
        <v>32</v>
      </c>
      <c r="I1108">
        <v>0.5</v>
      </c>
    </row>
    <row r="1109" spans="1:9" x14ac:dyDescent="0.3">
      <c r="A1109" s="2" t="s">
        <v>76</v>
      </c>
      <c r="B1109" s="3">
        <v>44301.5</v>
      </c>
      <c r="C1109" s="1" t="str">
        <f t="shared" si="17"/>
        <v>21106</v>
      </c>
      <c r="D1109" t="s">
        <v>29</v>
      </c>
      <c r="E1109" s="2" t="s">
        <v>27</v>
      </c>
      <c r="F1109" s="2" t="str">
        <f>_xlfn.XLOOKUP(Table1_1[[#This Row],[CAS_rn]],[1]analyte_order!$C:$C,[1]analyte_order!$B:$B)</f>
        <v>N-EtFOSE</v>
      </c>
      <c r="G1109" t="s">
        <v>136</v>
      </c>
      <c r="H1109" s="2">
        <f>_xlfn.XLOOKUP(Table1_1[[#This Row],[CAS_rn]],[1]analyte_order!$C:$C,[1]analyte_order!$E:$E)</f>
        <v>33</v>
      </c>
      <c r="I1109">
        <v>0.5</v>
      </c>
    </row>
    <row r="1110" spans="1:9" x14ac:dyDescent="0.3">
      <c r="A1110" s="2" t="s">
        <v>76</v>
      </c>
      <c r="B1110" s="3">
        <v>44301.5</v>
      </c>
      <c r="C1110" s="1" t="str">
        <f t="shared" si="17"/>
        <v>21106</v>
      </c>
      <c r="D1110" t="s">
        <v>29</v>
      </c>
      <c r="E1110" s="2" t="s">
        <v>27</v>
      </c>
      <c r="F1110" s="2" t="str">
        <f>_xlfn.XLOOKUP(Table1_1[[#This Row],[CAS_rn]],[1]analyte_order!$C:$C,[1]analyte_order!$B:$B)</f>
        <v>HFPO-DA</v>
      </c>
      <c r="G1110" t="s">
        <v>137</v>
      </c>
      <c r="H1110" s="2">
        <f>_xlfn.XLOOKUP(Table1_1[[#This Row],[CAS_rn]],[1]analyte_order!$C:$C,[1]analyte_order!$E:$E)</f>
        <v>34</v>
      </c>
      <c r="I1110">
        <v>0.3</v>
      </c>
    </row>
    <row r="1111" spans="1:9" x14ac:dyDescent="0.3">
      <c r="A1111" s="2" t="s">
        <v>76</v>
      </c>
      <c r="B1111" s="3">
        <v>44301.5</v>
      </c>
      <c r="C1111" s="1" t="str">
        <f t="shared" si="17"/>
        <v>21106</v>
      </c>
      <c r="D1111" t="s">
        <v>29</v>
      </c>
      <c r="E1111" s="2" t="s">
        <v>27</v>
      </c>
      <c r="F1111" s="2" t="str">
        <f>_xlfn.XLOOKUP(Table1_1[[#This Row],[CAS_rn]],[1]analyte_order!$C:$C,[1]analyte_order!$B:$B)</f>
        <v>ADONA</v>
      </c>
      <c r="G1111" t="s">
        <v>138</v>
      </c>
      <c r="H1111" s="2">
        <f>_xlfn.XLOOKUP(Table1_1[[#This Row],[CAS_rn]],[1]analyte_order!$C:$C,[1]analyte_order!$E:$E)</f>
        <v>35</v>
      </c>
      <c r="I1111">
        <v>0.2</v>
      </c>
    </row>
    <row r="1112" spans="1:9" x14ac:dyDescent="0.3">
      <c r="A1112" s="2" t="s">
        <v>76</v>
      </c>
      <c r="B1112" s="3">
        <v>44301.5</v>
      </c>
      <c r="C1112" s="1" t="str">
        <f t="shared" si="17"/>
        <v>21106</v>
      </c>
      <c r="D1112" t="s">
        <v>29</v>
      </c>
      <c r="E1112" s="2" t="s">
        <v>27</v>
      </c>
      <c r="F1112" s="2" t="str">
        <f>_xlfn.XLOOKUP(Table1_1[[#This Row],[CAS_rn]],[1]analyte_order!$C:$C,[1]analyte_order!$B:$B)</f>
        <v>PFMBA</v>
      </c>
      <c r="G1112" t="s">
        <v>139</v>
      </c>
      <c r="H1112" s="2">
        <f>_xlfn.XLOOKUP(Table1_1[[#This Row],[CAS_rn]],[1]analyte_order!$C:$C,[1]analyte_order!$E:$E)</f>
        <v>48</v>
      </c>
      <c r="I1112">
        <v>0.1</v>
      </c>
    </row>
    <row r="1113" spans="1:9" x14ac:dyDescent="0.3">
      <c r="A1113" s="2" t="s">
        <v>76</v>
      </c>
      <c r="B1113" s="3">
        <v>44301.5</v>
      </c>
      <c r="C1113" s="1" t="str">
        <f t="shared" si="17"/>
        <v>21106</v>
      </c>
      <c r="D1113" t="s">
        <v>29</v>
      </c>
      <c r="E1113" s="2" t="s">
        <v>27</v>
      </c>
      <c r="F1113" s="2" t="str">
        <f>_xlfn.XLOOKUP(Table1_1[[#This Row],[CAS_rn]],[1]analyte_order!$C:$C,[1]analyte_order!$B:$B)</f>
        <v>NFDHA</v>
      </c>
      <c r="G1113" t="s">
        <v>140</v>
      </c>
      <c r="H1113" s="2">
        <f>_xlfn.XLOOKUP(Table1_1[[#This Row],[CAS_rn]],[1]analyte_order!$C:$C,[1]analyte_order!$E:$E)</f>
        <v>50</v>
      </c>
      <c r="I1113">
        <v>0.1</v>
      </c>
    </row>
    <row r="1114" spans="1:9" x14ac:dyDescent="0.3">
      <c r="A1114" s="2" t="s">
        <v>76</v>
      </c>
      <c r="B1114" s="3">
        <v>44301.5</v>
      </c>
      <c r="C1114" s="1" t="str">
        <f t="shared" si="17"/>
        <v>21106</v>
      </c>
      <c r="D1114" t="s">
        <v>29</v>
      </c>
      <c r="E1114" s="2" t="s">
        <v>27</v>
      </c>
      <c r="F1114" s="2" t="str">
        <f>_xlfn.XLOOKUP(Table1_1[[#This Row],[CAS_rn]],[1]analyte_order!$C:$C,[1]analyte_order!$B:$B)</f>
        <v>9Cl-PF3ONS</v>
      </c>
      <c r="G1114" t="s">
        <v>141</v>
      </c>
      <c r="H1114" s="2">
        <f>_xlfn.XLOOKUP(Table1_1[[#This Row],[CAS_rn]],[1]analyte_order!$C:$C,[1]analyte_order!$E:$E)</f>
        <v>36</v>
      </c>
      <c r="I1114">
        <v>0.2</v>
      </c>
    </row>
    <row r="1115" spans="1:9" x14ac:dyDescent="0.3">
      <c r="A1115" s="2" t="s">
        <v>76</v>
      </c>
      <c r="B1115" s="3">
        <v>44301.5</v>
      </c>
      <c r="C1115" s="1" t="str">
        <f t="shared" si="17"/>
        <v>21106</v>
      </c>
      <c r="D1115" t="s">
        <v>29</v>
      </c>
      <c r="E1115" s="2" t="s">
        <v>27</v>
      </c>
      <c r="F1115" s="2" t="str">
        <f>_xlfn.XLOOKUP(Table1_1[[#This Row],[CAS_rn]],[1]analyte_order!$C:$C,[1]analyte_order!$B:$B)</f>
        <v>11Cl-PF3OUdS</v>
      </c>
      <c r="G1115" t="s">
        <v>142</v>
      </c>
      <c r="H1115" s="2">
        <f>_xlfn.XLOOKUP(Table1_1[[#This Row],[CAS_rn]],[1]analyte_order!$C:$C,[1]analyte_order!$E:$E)</f>
        <v>37</v>
      </c>
      <c r="I1115">
        <v>0.2</v>
      </c>
    </row>
    <row r="1116" spans="1:9" x14ac:dyDescent="0.3">
      <c r="A1116" s="2" t="s">
        <v>76</v>
      </c>
      <c r="B1116" s="3">
        <v>44301.5</v>
      </c>
      <c r="C1116" s="1" t="str">
        <f t="shared" si="17"/>
        <v>21106</v>
      </c>
      <c r="D1116" t="s">
        <v>29</v>
      </c>
      <c r="E1116" s="2" t="s">
        <v>27</v>
      </c>
      <c r="F1116" s="2" t="str">
        <f>_xlfn.XLOOKUP(Table1_1[[#This Row],[CAS_rn]],[1]analyte_order!$C:$C,[1]analyte_order!$B:$B)</f>
        <v>PFEESA</v>
      </c>
      <c r="G1116" t="s">
        <v>143</v>
      </c>
      <c r="H1116" s="2">
        <f>_xlfn.XLOOKUP(Table1_1[[#This Row],[CAS_rn]],[1]analyte_order!$C:$C,[1]analyte_order!$E:$E)</f>
        <v>47</v>
      </c>
      <c r="I1116">
        <v>0.1</v>
      </c>
    </row>
    <row r="1117" spans="1:9" x14ac:dyDescent="0.3">
      <c r="A1117" s="2" t="s">
        <v>76</v>
      </c>
      <c r="B1117" s="3">
        <v>44301.5</v>
      </c>
      <c r="C1117" s="1" t="str">
        <f t="shared" si="17"/>
        <v>21106</v>
      </c>
      <c r="D1117" t="s">
        <v>29</v>
      </c>
      <c r="E1117" s="2" t="s">
        <v>27</v>
      </c>
      <c r="F1117" s="2" t="str">
        <f>_xlfn.XLOOKUP(Table1_1[[#This Row],[CAS_rn]],[1]analyte_order!$C:$C,[1]analyte_order!$B:$B)</f>
        <v>3:3 FTCA</v>
      </c>
      <c r="G1117" t="s">
        <v>144</v>
      </c>
      <c r="H1117" s="2">
        <f>_xlfn.XLOOKUP(Table1_1[[#This Row],[CAS_rn]],[1]analyte_order!$C:$C,[1]analyte_order!$E:$E)</f>
        <v>38</v>
      </c>
      <c r="I1117">
        <v>0.25</v>
      </c>
    </row>
    <row r="1118" spans="1:9" x14ac:dyDescent="0.3">
      <c r="A1118" s="2" t="s">
        <v>76</v>
      </c>
      <c r="B1118" s="3">
        <v>44301.5</v>
      </c>
      <c r="C1118" s="1" t="str">
        <f t="shared" si="17"/>
        <v>21106</v>
      </c>
      <c r="D1118" t="s">
        <v>29</v>
      </c>
      <c r="E1118" s="2" t="s">
        <v>27</v>
      </c>
      <c r="F1118" s="2" t="str">
        <f>_xlfn.XLOOKUP(Table1_1[[#This Row],[CAS_rn]],[1]analyte_order!$C:$C,[1]analyte_order!$B:$B)</f>
        <v>5:3 FTCA</v>
      </c>
      <c r="G1118" t="s">
        <v>145</v>
      </c>
      <c r="H1118" s="2">
        <f>_xlfn.XLOOKUP(Table1_1[[#This Row],[CAS_rn]],[1]analyte_order!$C:$C,[1]analyte_order!$E:$E)</f>
        <v>39</v>
      </c>
      <c r="I1118">
        <v>1.25</v>
      </c>
    </row>
    <row r="1119" spans="1:9" x14ac:dyDescent="0.3">
      <c r="A1119" s="2" t="s">
        <v>76</v>
      </c>
      <c r="B1119" s="3">
        <v>44301.5</v>
      </c>
      <c r="C1119" s="1" t="str">
        <f t="shared" si="17"/>
        <v>21106</v>
      </c>
      <c r="D1119" t="s">
        <v>29</v>
      </c>
      <c r="E1119" s="2" t="s">
        <v>27</v>
      </c>
      <c r="F1119" s="2" t="str">
        <f>_xlfn.XLOOKUP(Table1_1[[#This Row],[CAS_rn]],[1]analyte_order!$C:$C,[1]analyte_order!$B:$B)</f>
        <v>7:3 FTCA</v>
      </c>
      <c r="G1119" t="s">
        <v>146</v>
      </c>
      <c r="H1119" s="2">
        <f>_xlfn.XLOOKUP(Table1_1[[#This Row],[CAS_rn]],[1]analyte_order!$C:$C,[1]analyte_order!$E:$E)</f>
        <v>40</v>
      </c>
      <c r="I1119">
        <v>1.25</v>
      </c>
    </row>
    <row r="1120" spans="1:9" x14ac:dyDescent="0.3">
      <c r="A1120" s="2" t="s">
        <v>76</v>
      </c>
      <c r="B1120" s="3">
        <v>44301.5</v>
      </c>
      <c r="C1120" s="1" t="str">
        <f t="shared" si="17"/>
        <v>21106</v>
      </c>
      <c r="D1120" t="s">
        <v>29</v>
      </c>
      <c r="E1120" s="2" t="s">
        <v>27</v>
      </c>
      <c r="F1120" s="2" t="str">
        <f>_xlfn.XLOOKUP(Table1_1[[#This Row],[CAS_rn]],[1]analyte_order!$C:$C,[1]analyte_order!$B:$B)</f>
        <v>PFDS</v>
      </c>
      <c r="G1120" t="s">
        <v>147</v>
      </c>
      <c r="H1120" s="2">
        <f>_xlfn.XLOOKUP(Table1_1[[#This Row],[CAS_rn]],[1]analyte_order!$C:$C,[1]analyte_order!$E:$E)</f>
        <v>20</v>
      </c>
      <c r="I1120">
        <v>0.05</v>
      </c>
    </row>
    <row r="1121" spans="1:9" x14ac:dyDescent="0.3">
      <c r="A1121" s="2" t="s">
        <v>76</v>
      </c>
      <c r="B1121" s="3">
        <v>44301.5</v>
      </c>
      <c r="C1121" s="1" t="str">
        <f t="shared" si="17"/>
        <v>21106</v>
      </c>
      <c r="D1121" t="s">
        <v>29</v>
      </c>
      <c r="E1121" s="2" t="s">
        <v>27</v>
      </c>
      <c r="F1121" s="2" t="str">
        <f>_xlfn.XLOOKUP(Table1_1[[#This Row],[CAS_rn]],[1]analyte_order!$C:$C,[1]analyte_order!$B:$B)</f>
        <v>PFMPA</v>
      </c>
      <c r="G1121" t="s">
        <v>148</v>
      </c>
      <c r="H1121" s="2">
        <f>_xlfn.XLOOKUP(Table1_1[[#This Row],[CAS_rn]],[1]analyte_order!$C:$C,[1]analyte_order!$E:$E)</f>
        <v>49</v>
      </c>
      <c r="I1121">
        <v>0.1</v>
      </c>
    </row>
    <row r="1122" spans="1:9" x14ac:dyDescent="0.3">
      <c r="A1122" s="2" t="s">
        <v>77</v>
      </c>
      <c r="B1122" s="3">
        <v>44308.5</v>
      </c>
      <c r="C1122" s="1" t="str">
        <f t="shared" si="17"/>
        <v>21113</v>
      </c>
      <c r="D1122" t="s">
        <v>26</v>
      </c>
      <c r="E1122" s="2" t="s">
        <v>27</v>
      </c>
      <c r="F1122" s="2" t="str">
        <f>_xlfn.XLOOKUP(Table1_1[[#This Row],[CAS_rn]],[1]analyte_order!$C:$C,[1]analyte_order!$B:$B)</f>
        <v>PFBA</v>
      </c>
      <c r="G1122" t="s">
        <v>109</v>
      </c>
      <c r="H1122" s="2">
        <f>_xlfn.XLOOKUP(Table1_1[[#This Row],[CAS_rn]],[1]analyte_order!$C:$C,[1]analyte_order!$E:$E)</f>
        <v>1</v>
      </c>
      <c r="I1122">
        <v>0.19500000000000001</v>
      </c>
    </row>
    <row r="1123" spans="1:9" x14ac:dyDescent="0.3">
      <c r="A1123" s="2" t="s">
        <v>77</v>
      </c>
      <c r="B1123" s="3">
        <v>44308.5</v>
      </c>
      <c r="C1123" s="1" t="str">
        <f t="shared" si="17"/>
        <v>21113</v>
      </c>
      <c r="D1123" t="s">
        <v>26</v>
      </c>
      <c r="E1123" s="2" t="s">
        <v>27</v>
      </c>
      <c r="F1123" s="2" t="str">
        <f>_xlfn.XLOOKUP(Table1_1[[#This Row],[CAS_rn]],[1]analyte_order!$C:$C,[1]analyte_order!$B:$B)</f>
        <v>PFPeA</v>
      </c>
      <c r="G1123" t="s">
        <v>110</v>
      </c>
      <c r="H1123" s="2">
        <f>_xlfn.XLOOKUP(Table1_1[[#This Row],[CAS_rn]],[1]analyte_order!$C:$C,[1]analyte_order!$E:$E)</f>
        <v>2</v>
      </c>
      <c r="I1123">
        <v>0.1</v>
      </c>
    </row>
    <row r="1124" spans="1:9" x14ac:dyDescent="0.3">
      <c r="A1124" s="2" t="s">
        <v>77</v>
      </c>
      <c r="B1124" s="3">
        <v>44308.5</v>
      </c>
      <c r="C1124" s="1" t="str">
        <f t="shared" si="17"/>
        <v>21113</v>
      </c>
      <c r="D1124" t="s">
        <v>26</v>
      </c>
      <c r="E1124" s="2" t="s">
        <v>27</v>
      </c>
      <c r="F1124" s="2" t="str">
        <f>_xlfn.XLOOKUP(Table1_1[[#This Row],[CAS_rn]],[1]analyte_order!$C:$C,[1]analyte_order!$B:$B)</f>
        <v>PFHxA</v>
      </c>
      <c r="G1124" t="s">
        <v>111</v>
      </c>
      <c r="H1124" s="2">
        <f>_xlfn.XLOOKUP(Table1_1[[#This Row],[CAS_rn]],[1]analyte_order!$C:$C,[1]analyte_order!$E:$E)</f>
        <v>3</v>
      </c>
      <c r="I1124">
        <v>0.13</v>
      </c>
    </row>
    <row r="1125" spans="1:9" x14ac:dyDescent="0.3">
      <c r="A1125" s="2" t="s">
        <v>77</v>
      </c>
      <c r="B1125" s="3">
        <v>44308.5</v>
      </c>
      <c r="C1125" s="1" t="str">
        <f t="shared" si="17"/>
        <v>21113</v>
      </c>
      <c r="D1125" t="s">
        <v>26</v>
      </c>
      <c r="E1125" s="2" t="s">
        <v>27</v>
      </c>
      <c r="F1125" s="2" t="str">
        <f>_xlfn.XLOOKUP(Table1_1[[#This Row],[CAS_rn]],[1]analyte_order!$C:$C,[1]analyte_order!$B:$B)</f>
        <v>PFHpA</v>
      </c>
      <c r="G1125" t="s">
        <v>112</v>
      </c>
      <c r="H1125" s="2">
        <f>_xlfn.XLOOKUP(Table1_1[[#This Row],[CAS_rn]],[1]analyte_order!$C:$C,[1]analyte_order!$E:$E)</f>
        <v>4</v>
      </c>
      <c r="I1125">
        <v>0.09</v>
      </c>
    </row>
    <row r="1126" spans="1:9" x14ac:dyDescent="0.3">
      <c r="A1126" s="2" t="s">
        <v>77</v>
      </c>
      <c r="B1126" s="3">
        <v>44308.5</v>
      </c>
      <c r="C1126" s="1" t="str">
        <f t="shared" si="17"/>
        <v>21113</v>
      </c>
      <c r="D1126" t="s">
        <v>26</v>
      </c>
      <c r="E1126" s="2" t="s">
        <v>27</v>
      </c>
      <c r="F1126" s="2" t="str">
        <f>_xlfn.XLOOKUP(Table1_1[[#This Row],[CAS_rn]],[1]analyte_order!$C:$C,[1]analyte_order!$B:$B)</f>
        <v>PFOA</v>
      </c>
      <c r="G1126" t="s">
        <v>113</v>
      </c>
      <c r="H1126" s="2">
        <f>_xlfn.XLOOKUP(Table1_1[[#This Row],[CAS_rn]],[1]analyte_order!$C:$C,[1]analyte_order!$E:$E)</f>
        <v>5</v>
      </c>
      <c r="I1126">
        <v>0.33</v>
      </c>
    </row>
    <row r="1127" spans="1:9" x14ac:dyDescent="0.3">
      <c r="A1127" s="2" t="s">
        <v>77</v>
      </c>
      <c r="B1127" s="3">
        <v>44308.5</v>
      </c>
      <c r="C1127" s="1" t="str">
        <f t="shared" si="17"/>
        <v>21113</v>
      </c>
      <c r="D1127" t="s">
        <v>26</v>
      </c>
      <c r="E1127" s="2" t="s">
        <v>27</v>
      </c>
      <c r="F1127" s="2" t="str">
        <f>_xlfn.XLOOKUP(Table1_1[[#This Row],[CAS_rn]],[1]analyte_order!$C:$C,[1]analyte_order!$B:$B)</f>
        <v>PFNA</v>
      </c>
      <c r="G1127" t="s">
        <v>114</v>
      </c>
      <c r="H1127" s="2">
        <f>_xlfn.XLOOKUP(Table1_1[[#This Row],[CAS_rn]],[1]analyte_order!$C:$C,[1]analyte_order!$E:$E)</f>
        <v>6</v>
      </c>
      <c r="I1127">
        <v>4.9500000000000002E-2</v>
      </c>
    </row>
    <row r="1128" spans="1:9" x14ac:dyDescent="0.3">
      <c r="A1128" s="2" t="s">
        <v>77</v>
      </c>
      <c r="B1128" s="3">
        <v>44308.5</v>
      </c>
      <c r="C1128" s="1" t="str">
        <f t="shared" si="17"/>
        <v>21113</v>
      </c>
      <c r="D1128" t="s">
        <v>26</v>
      </c>
      <c r="E1128" s="2" t="s">
        <v>27</v>
      </c>
      <c r="F1128" s="2" t="str">
        <f>_xlfn.XLOOKUP(Table1_1[[#This Row],[CAS_rn]],[1]analyte_order!$C:$C,[1]analyte_order!$B:$B)</f>
        <v>PFDA</v>
      </c>
      <c r="G1128" t="s">
        <v>115</v>
      </c>
      <c r="H1128" s="2">
        <f>_xlfn.XLOOKUP(Table1_1[[#This Row],[CAS_rn]],[1]analyte_order!$C:$C,[1]analyte_order!$E:$E)</f>
        <v>7</v>
      </c>
      <c r="I1128">
        <v>4.9500000000000002E-2</v>
      </c>
    </row>
    <row r="1129" spans="1:9" x14ac:dyDescent="0.3">
      <c r="A1129" s="2" t="s">
        <v>77</v>
      </c>
      <c r="B1129" s="3">
        <v>44308.5</v>
      </c>
      <c r="C1129" s="1" t="str">
        <f t="shared" si="17"/>
        <v>21113</v>
      </c>
      <c r="D1129" t="s">
        <v>26</v>
      </c>
      <c r="E1129" s="2" t="s">
        <v>27</v>
      </c>
      <c r="F1129" s="2" t="str">
        <f>_xlfn.XLOOKUP(Table1_1[[#This Row],[CAS_rn]],[1]analyte_order!$C:$C,[1]analyte_order!$B:$B)</f>
        <v>PFUnA</v>
      </c>
      <c r="G1129" t="s">
        <v>116</v>
      </c>
      <c r="H1129" s="2">
        <f>_xlfn.XLOOKUP(Table1_1[[#This Row],[CAS_rn]],[1]analyte_order!$C:$C,[1]analyte_order!$E:$E)</f>
        <v>8</v>
      </c>
      <c r="I1129">
        <v>4.9500000000000002E-2</v>
      </c>
    </row>
    <row r="1130" spans="1:9" x14ac:dyDescent="0.3">
      <c r="A1130" s="2" t="s">
        <v>77</v>
      </c>
      <c r="B1130" s="3">
        <v>44308.5</v>
      </c>
      <c r="C1130" s="1" t="str">
        <f t="shared" si="17"/>
        <v>21113</v>
      </c>
      <c r="D1130" t="s">
        <v>26</v>
      </c>
      <c r="E1130" s="2" t="s">
        <v>27</v>
      </c>
      <c r="F1130" s="2" t="str">
        <f>_xlfn.XLOOKUP(Table1_1[[#This Row],[CAS_rn]],[1]analyte_order!$C:$C,[1]analyte_order!$B:$B)</f>
        <v>PFDoA</v>
      </c>
      <c r="G1130" t="s">
        <v>117</v>
      </c>
      <c r="H1130" s="2">
        <f>_xlfn.XLOOKUP(Table1_1[[#This Row],[CAS_rn]],[1]analyte_order!$C:$C,[1]analyte_order!$E:$E)</f>
        <v>9</v>
      </c>
      <c r="I1130">
        <v>4.9500000000000002E-2</v>
      </c>
    </row>
    <row r="1131" spans="1:9" x14ac:dyDescent="0.3">
      <c r="A1131" s="2" t="s">
        <v>77</v>
      </c>
      <c r="B1131" s="3">
        <v>44308.5</v>
      </c>
      <c r="C1131" s="1" t="str">
        <f t="shared" si="17"/>
        <v>21113</v>
      </c>
      <c r="D1131" t="s">
        <v>26</v>
      </c>
      <c r="E1131" s="2" t="s">
        <v>27</v>
      </c>
      <c r="F1131" s="2" t="str">
        <f>_xlfn.XLOOKUP(Table1_1[[#This Row],[CAS_rn]],[1]analyte_order!$C:$C,[1]analyte_order!$B:$B)</f>
        <v>PFTrDA</v>
      </c>
      <c r="G1131" t="s">
        <v>118</v>
      </c>
      <c r="H1131" s="2">
        <f>_xlfn.XLOOKUP(Table1_1[[#This Row],[CAS_rn]],[1]analyte_order!$C:$C,[1]analyte_order!$E:$E)</f>
        <v>10</v>
      </c>
      <c r="I1131">
        <v>4.9500000000000002E-2</v>
      </c>
    </row>
    <row r="1132" spans="1:9" x14ac:dyDescent="0.3">
      <c r="A1132" s="2" t="s">
        <v>77</v>
      </c>
      <c r="B1132" s="3">
        <v>44308.5</v>
      </c>
      <c r="C1132" s="1" t="str">
        <f t="shared" si="17"/>
        <v>21113</v>
      </c>
      <c r="D1132" t="s">
        <v>26</v>
      </c>
      <c r="E1132" s="2" t="s">
        <v>27</v>
      </c>
      <c r="F1132" s="2" t="str">
        <f>_xlfn.XLOOKUP(Table1_1[[#This Row],[CAS_rn]],[1]analyte_order!$C:$C,[1]analyte_order!$B:$B)</f>
        <v>PFTeDA</v>
      </c>
      <c r="G1132" t="s">
        <v>119</v>
      </c>
      <c r="H1132" s="2">
        <f>_xlfn.XLOOKUP(Table1_1[[#This Row],[CAS_rn]],[1]analyte_order!$C:$C,[1]analyte_order!$E:$E)</f>
        <v>11</v>
      </c>
      <c r="I1132">
        <v>4.9500000000000002E-2</v>
      </c>
    </row>
    <row r="1133" spans="1:9" x14ac:dyDescent="0.3">
      <c r="A1133" s="2" t="s">
        <v>77</v>
      </c>
      <c r="B1133" s="3">
        <v>44308.5</v>
      </c>
      <c r="C1133" s="1" t="str">
        <f t="shared" si="17"/>
        <v>21113</v>
      </c>
      <c r="D1133" t="s">
        <v>26</v>
      </c>
      <c r="E1133" s="2" t="s">
        <v>27</v>
      </c>
      <c r="F1133" s="2" t="str">
        <f>_xlfn.XLOOKUP(Table1_1[[#This Row],[CAS_rn]],[1]analyte_order!$C:$C,[1]analyte_order!$B:$B)</f>
        <v>PFBS</v>
      </c>
      <c r="G1133" t="s">
        <v>120</v>
      </c>
      <c r="H1133" s="2">
        <f>_xlfn.XLOOKUP(Table1_1[[#This Row],[CAS_rn]],[1]analyte_order!$C:$C,[1]analyte_order!$E:$E)</f>
        <v>14</v>
      </c>
      <c r="I1133">
        <v>4.9500000000000002E-2</v>
      </c>
    </row>
    <row r="1134" spans="1:9" x14ac:dyDescent="0.3">
      <c r="A1134" s="2" t="s">
        <v>77</v>
      </c>
      <c r="B1134" s="3">
        <v>44308.5</v>
      </c>
      <c r="C1134" s="1" t="str">
        <f t="shared" si="17"/>
        <v>21113</v>
      </c>
      <c r="D1134" t="s">
        <v>26</v>
      </c>
      <c r="E1134" s="2" t="s">
        <v>27</v>
      </c>
      <c r="F1134" s="2" t="str">
        <f>_xlfn.XLOOKUP(Table1_1[[#This Row],[CAS_rn]],[1]analyte_order!$C:$C,[1]analyte_order!$B:$B)</f>
        <v>PFPeS</v>
      </c>
      <c r="G1134" t="s">
        <v>121</v>
      </c>
      <c r="H1134" s="2">
        <f>_xlfn.XLOOKUP(Table1_1[[#This Row],[CAS_rn]],[1]analyte_order!$C:$C,[1]analyte_order!$E:$E)</f>
        <v>15</v>
      </c>
      <c r="I1134">
        <v>4.9500000000000002E-2</v>
      </c>
    </row>
    <row r="1135" spans="1:9" x14ac:dyDescent="0.3">
      <c r="A1135" s="2" t="s">
        <v>77</v>
      </c>
      <c r="B1135" s="3">
        <v>44308.5</v>
      </c>
      <c r="C1135" s="1" t="str">
        <f t="shared" si="17"/>
        <v>21113</v>
      </c>
      <c r="D1135" t="s">
        <v>26</v>
      </c>
      <c r="E1135" s="2" t="s">
        <v>27</v>
      </c>
      <c r="F1135" s="2" t="str">
        <f>_xlfn.XLOOKUP(Table1_1[[#This Row],[CAS_rn]],[1]analyte_order!$C:$C,[1]analyte_order!$B:$B)</f>
        <v>PFHxS</v>
      </c>
      <c r="G1135" t="s">
        <v>122</v>
      </c>
      <c r="H1135" s="2">
        <f>_xlfn.XLOOKUP(Table1_1[[#This Row],[CAS_rn]],[1]analyte_order!$C:$C,[1]analyte_order!$E:$E)</f>
        <v>16</v>
      </c>
      <c r="I1135">
        <v>0.37</v>
      </c>
    </row>
    <row r="1136" spans="1:9" x14ac:dyDescent="0.3">
      <c r="A1136" s="2" t="s">
        <v>77</v>
      </c>
      <c r="B1136" s="3">
        <v>44308.5</v>
      </c>
      <c r="C1136" s="1" t="str">
        <f t="shared" si="17"/>
        <v>21113</v>
      </c>
      <c r="D1136" t="s">
        <v>26</v>
      </c>
      <c r="E1136" s="2" t="s">
        <v>27</v>
      </c>
      <c r="F1136" s="2" t="str">
        <f>_xlfn.XLOOKUP(Table1_1[[#This Row],[CAS_rn]],[1]analyte_order!$C:$C,[1]analyte_order!$B:$B)</f>
        <v>PFHpS</v>
      </c>
      <c r="G1136" t="s">
        <v>123</v>
      </c>
      <c r="H1136" s="2">
        <f>_xlfn.XLOOKUP(Table1_1[[#This Row],[CAS_rn]],[1]analyte_order!$C:$C,[1]analyte_order!$E:$E)</f>
        <v>17</v>
      </c>
      <c r="I1136">
        <v>4.9500000000000002E-2</v>
      </c>
    </row>
    <row r="1137" spans="1:9" x14ac:dyDescent="0.3">
      <c r="A1137" s="2" t="s">
        <v>77</v>
      </c>
      <c r="B1137" s="3">
        <v>44308.5</v>
      </c>
      <c r="C1137" s="1" t="str">
        <f t="shared" si="17"/>
        <v>21113</v>
      </c>
      <c r="D1137" t="s">
        <v>26</v>
      </c>
      <c r="E1137" s="2" t="s">
        <v>27</v>
      </c>
      <c r="F1137" s="2" t="str">
        <f>_xlfn.XLOOKUP(Table1_1[[#This Row],[CAS_rn]],[1]analyte_order!$C:$C,[1]analyte_order!$B:$B)</f>
        <v>PFOS</v>
      </c>
      <c r="G1137" t="s">
        <v>124</v>
      </c>
      <c r="H1137" s="2">
        <f>_xlfn.XLOOKUP(Table1_1[[#This Row],[CAS_rn]],[1]analyte_order!$C:$C,[1]analyte_order!$E:$E)</f>
        <v>18</v>
      </c>
      <c r="I1137">
        <v>1.2</v>
      </c>
    </row>
    <row r="1138" spans="1:9" x14ac:dyDescent="0.3">
      <c r="A1138" s="2" t="s">
        <v>77</v>
      </c>
      <c r="B1138" s="3">
        <v>44308.5</v>
      </c>
      <c r="C1138" s="1" t="str">
        <f t="shared" si="17"/>
        <v>21113</v>
      </c>
      <c r="D1138" t="s">
        <v>26</v>
      </c>
      <c r="E1138" s="2" t="s">
        <v>27</v>
      </c>
      <c r="F1138" s="2" t="str">
        <f>_xlfn.XLOOKUP(Table1_1[[#This Row],[CAS_rn]],[1]analyte_order!$C:$C,[1]analyte_order!$B:$B)</f>
        <v>PFNS</v>
      </c>
      <c r="G1138" t="s">
        <v>125</v>
      </c>
      <c r="H1138" s="2">
        <f>_xlfn.XLOOKUP(Table1_1[[#This Row],[CAS_rn]],[1]analyte_order!$C:$C,[1]analyte_order!$E:$E)</f>
        <v>19</v>
      </c>
      <c r="I1138">
        <v>4.9500000000000002E-2</v>
      </c>
    </row>
    <row r="1139" spans="1:9" x14ac:dyDescent="0.3">
      <c r="A1139" s="2" t="s">
        <v>77</v>
      </c>
      <c r="B1139" s="3">
        <v>44308.5</v>
      </c>
      <c r="C1139" s="1" t="str">
        <f t="shared" si="17"/>
        <v>21113</v>
      </c>
      <c r="D1139" t="s">
        <v>26</v>
      </c>
      <c r="E1139" s="2" t="s">
        <v>27</v>
      </c>
      <c r="F1139" s="2" t="str">
        <f>_xlfn.XLOOKUP(Table1_1[[#This Row],[CAS_rn]],[1]analyte_order!$C:$C,[1]analyte_order!$B:$B)</f>
        <v>PFDoS</v>
      </c>
      <c r="G1139" t="s">
        <v>126</v>
      </c>
      <c r="H1139" s="2">
        <f>_xlfn.XLOOKUP(Table1_1[[#This Row],[CAS_rn]],[1]analyte_order!$C:$C,[1]analyte_order!$E:$E)</f>
        <v>21</v>
      </c>
      <c r="I1139">
        <v>4.9500000000000002E-2</v>
      </c>
    </row>
    <row r="1140" spans="1:9" x14ac:dyDescent="0.3">
      <c r="A1140" s="2" t="s">
        <v>77</v>
      </c>
      <c r="B1140" s="3">
        <v>44308.5</v>
      </c>
      <c r="C1140" s="1" t="str">
        <f t="shared" si="17"/>
        <v>21113</v>
      </c>
      <c r="D1140" t="s">
        <v>26</v>
      </c>
      <c r="E1140" s="2" t="s">
        <v>27</v>
      </c>
      <c r="F1140" s="2" t="str">
        <f>_xlfn.XLOOKUP(Table1_1[[#This Row],[CAS_rn]],[1]analyte_order!$C:$C,[1]analyte_order!$B:$B)</f>
        <v>4:2 FTS</v>
      </c>
      <c r="G1140" t="s">
        <v>127</v>
      </c>
      <c r="H1140" s="2">
        <f>_xlfn.XLOOKUP(Table1_1[[#This Row],[CAS_rn]],[1]analyte_order!$C:$C,[1]analyte_order!$E:$E)</f>
        <v>22</v>
      </c>
      <c r="I1140">
        <v>0.19500000000000001</v>
      </c>
    </row>
    <row r="1141" spans="1:9" x14ac:dyDescent="0.3">
      <c r="A1141" s="2" t="s">
        <v>77</v>
      </c>
      <c r="B1141" s="3">
        <v>44308.5</v>
      </c>
      <c r="C1141" s="1" t="str">
        <f t="shared" si="17"/>
        <v>21113</v>
      </c>
      <c r="D1141" t="s">
        <v>26</v>
      </c>
      <c r="E1141" s="2" t="s">
        <v>27</v>
      </c>
      <c r="F1141" s="2" t="str">
        <f>_xlfn.XLOOKUP(Table1_1[[#This Row],[CAS_rn]],[1]analyte_order!$C:$C,[1]analyte_order!$B:$B)</f>
        <v>6:2 FTS</v>
      </c>
      <c r="G1141" t="s">
        <v>128</v>
      </c>
      <c r="H1141" s="2">
        <f>_xlfn.XLOOKUP(Table1_1[[#This Row],[CAS_rn]],[1]analyte_order!$C:$C,[1]analyte_order!$E:$E)</f>
        <v>23</v>
      </c>
      <c r="I1141">
        <v>0.39500000000000002</v>
      </c>
    </row>
    <row r="1142" spans="1:9" x14ac:dyDescent="0.3">
      <c r="A1142" s="2" t="s">
        <v>77</v>
      </c>
      <c r="B1142" s="3">
        <v>44308.5</v>
      </c>
      <c r="C1142" s="1" t="str">
        <f t="shared" si="17"/>
        <v>21113</v>
      </c>
      <c r="D1142" t="s">
        <v>26</v>
      </c>
      <c r="E1142" s="2" t="s">
        <v>27</v>
      </c>
      <c r="F1142" s="2" t="str">
        <f>_xlfn.XLOOKUP(Table1_1[[#This Row],[CAS_rn]],[1]analyte_order!$C:$C,[1]analyte_order!$B:$B)</f>
        <v>8:2 FTS</v>
      </c>
      <c r="G1142" t="s">
        <v>129</v>
      </c>
      <c r="H1142" s="2">
        <f>_xlfn.XLOOKUP(Table1_1[[#This Row],[CAS_rn]],[1]analyte_order!$C:$C,[1]analyte_order!$E:$E)</f>
        <v>24</v>
      </c>
      <c r="I1142">
        <v>0.39500000000000002</v>
      </c>
    </row>
    <row r="1143" spans="1:9" x14ac:dyDescent="0.3">
      <c r="A1143" s="2" t="s">
        <v>77</v>
      </c>
      <c r="B1143" s="3">
        <v>44308.5</v>
      </c>
      <c r="C1143" s="1" t="str">
        <f t="shared" si="17"/>
        <v>21113</v>
      </c>
      <c r="D1143" t="s">
        <v>26</v>
      </c>
      <c r="E1143" s="2" t="s">
        <v>27</v>
      </c>
      <c r="F1143" s="2" t="str">
        <f>_xlfn.XLOOKUP(Table1_1[[#This Row],[CAS_rn]],[1]analyte_order!$C:$C,[1]analyte_order!$B:$B)</f>
        <v>FOSA</v>
      </c>
      <c r="G1143" t="s">
        <v>130</v>
      </c>
      <c r="H1143" s="2">
        <f>_xlfn.XLOOKUP(Table1_1[[#This Row],[CAS_rn]],[1]analyte_order!$C:$C,[1]analyte_order!$E:$E)</f>
        <v>28</v>
      </c>
      <c r="I1143">
        <v>0.09</v>
      </c>
    </row>
    <row r="1144" spans="1:9" x14ac:dyDescent="0.3">
      <c r="A1144" s="2" t="s">
        <v>77</v>
      </c>
      <c r="B1144" s="3">
        <v>44308.5</v>
      </c>
      <c r="C1144" s="1" t="str">
        <f t="shared" si="17"/>
        <v>21113</v>
      </c>
      <c r="D1144" t="s">
        <v>26</v>
      </c>
      <c r="E1144" s="2" t="s">
        <v>27</v>
      </c>
      <c r="F1144" s="2" t="str">
        <f>_xlfn.XLOOKUP(Table1_1[[#This Row],[CAS_rn]],[1]analyte_order!$C:$C,[1]analyte_order!$B:$B)</f>
        <v>N-MeFOSA</v>
      </c>
      <c r="G1144" t="s">
        <v>131</v>
      </c>
      <c r="H1144" s="2">
        <f>_xlfn.XLOOKUP(Table1_1[[#This Row],[CAS_rn]],[1]analyte_order!$C:$C,[1]analyte_order!$E:$E)</f>
        <v>30</v>
      </c>
      <c r="I1144">
        <v>4.9500000000000002E-2</v>
      </c>
    </row>
    <row r="1145" spans="1:9" x14ac:dyDescent="0.3">
      <c r="A1145" s="2" t="s">
        <v>77</v>
      </c>
      <c r="B1145" s="3">
        <v>44308.5</v>
      </c>
      <c r="C1145" s="1" t="str">
        <f t="shared" si="17"/>
        <v>21113</v>
      </c>
      <c r="D1145" t="s">
        <v>26</v>
      </c>
      <c r="E1145" s="2" t="s">
        <v>27</v>
      </c>
      <c r="F1145" s="2" t="str">
        <f>_xlfn.XLOOKUP(Table1_1[[#This Row],[CAS_rn]],[1]analyte_order!$C:$C,[1]analyte_order!$B:$B)</f>
        <v>N-MeFOSAA</v>
      </c>
      <c r="G1145" t="s">
        <v>132</v>
      </c>
      <c r="H1145" s="2">
        <f>_xlfn.XLOOKUP(Table1_1[[#This Row],[CAS_rn]],[1]analyte_order!$C:$C,[1]analyte_order!$E:$E)</f>
        <v>26</v>
      </c>
      <c r="I1145">
        <v>4.9500000000000002E-2</v>
      </c>
    </row>
    <row r="1146" spans="1:9" x14ac:dyDescent="0.3">
      <c r="A1146" s="2" t="s">
        <v>77</v>
      </c>
      <c r="B1146" s="3">
        <v>44308.5</v>
      </c>
      <c r="C1146" s="1" t="str">
        <f t="shared" si="17"/>
        <v>21113</v>
      </c>
      <c r="D1146" t="s">
        <v>26</v>
      </c>
      <c r="E1146" s="2" t="s">
        <v>27</v>
      </c>
      <c r="F1146" s="2" t="str">
        <f>_xlfn.XLOOKUP(Table1_1[[#This Row],[CAS_rn]],[1]analyte_order!$C:$C,[1]analyte_order!$B:$B)</f>
        <v>N-EtFOSA</v>
      </c>
      <c r="G1146" t="s">
        <v>133</v>
      </c>
      <c r="H1146" s="2">
        <f>_xlfn.XLOOKUP(Table1_1[[#This Row],[CAS_rn]],[1]analyte_order!$C:$C,[1]analyte_order!$E:$E)</f>
        <v>31</v>
      </c>
      <c r="I1146">
        <v>4.9500000000000002E-2</v>
      </c>
    </row>
    <row r="1147" spans="1:9" x14ac:dyDescent="0.3">
      <c r="A1147" s="2" t="s">
        <v>77</v>
      </c>
      <c r="B1147" s="3">
        <v>44308.5</v>
      </c>
      <c r="C1147" s="1" t="str">
        <f t="shared" si="17"/>
        <v>21113</v>
      </c>
      <c r="D1147" t="s">
        <v>26</v>
      </c>
      <c r="E1147" s="2" t="s">
        <v>27</v>
      </c>
      <c r="F1147" s="2" t="str">
        <f>_xlfn.XLOOKUP(Table1_1[[#This Row],[CAS_rn]],[1]analyte_order!$C:$C,[1]analyte_order!$B:$B)</f>
        <v>N-EtFOSAA</v>
      </c>
      <c r="G1147" t="s">
        <v>134</v>
      </c>
      <c r="H1147" s="2">
        <f>_xlfn.XLOOKUP(Table1_1[[#This Row],[CAS_rn]],[1]analyte_order!$C:$C,[1]analyte_order!$E:$E)</f>
        <v>27</v>
      </c>
      <c r="I1147">
        <v>4.9500000000000002E-2</v>
      </c>
    </row>
    <row r="1148" spans="1:9" x14ac:dyDescent="0.3">
      <c r="A1148" s="2" t="s">
        <v>77</v>
      </c>
      <c r="B1148" s="3">
        <v>44308.5</v>
      </c>
      <c r="C1148" s="1" t="str">
        <f t="shared" si="17"/>
        <v>21113</v>
      </c>
      <c r="D1148" t="s">
        <v>26</v>
      </c>
      <c r="E1148" s="2" t="s">
        <v>27</v>
      </c>
      <c r="F1148" s="2" t="str">
        <f>_xlfn.XLOOKUP(Table1_1[[#This Row],[CAS_rn]],[1]analyte_order!$C:$C,[1]analyte_order!$B:$B)</f>
        <v>N-MeFOSE</v>
      </c>
      <c r="G1148" t="s">
        <v>135</v>
      </c>
      <c r="H1148" s="2">
        <f>_xlfn.XLOOKUP(Table1_1[[#This Row],[CAS_rn]],[1]analyte_order!$C:$C,[1]analyte_order!$E:$E)</f>
        <v>32</v>
      </c>
      <c r="I1148">
        <v>0.495</v>
      </c>
    </row>
    <row r="1149" spans="1:9" x14ac:dyDescent="0.3">
      <c r="A1149" s="2" t="s">
        <v>77</v>
      </c>
      <c r="B1149" s="3">
        <v>44308.5</v>
      </c>
      <c r="C1149" s="1" t="str">
        <f t="shared" si="17"/>
        <v>21113</v>
      </c>
      <c r="D1149" t="s">
        <v>26</v>
      </c>
      <c r="E1149" s="2" t="s">
        <v>27</v>
      </c>
      <c r="F1149" s="2" t="str">
        <f>_xlfn.XLOOKUP(Table1_1[[#This Row],[CAS_rn]],[1]analyte_order!$C:$C,[1]analyte_order!$B:$B)</f>
        <v>N-EtFOSE</v>
      </c>
      <c r="G1149" t="s">
        <v>136</v>
      </c>
      <c r="H1149" s="2">
        <f>_xlfn.XLOOKUP(Table1_1[[#This Row],[CAS_rn]],[1]analyte_order!$C:$C,[1]analyte_order!$E:$E)</f>
        <v>33</v>
      </c>
      <c r="I1149">
        <v>0.495</v>
      </c>
    </row>
    <row r="1150" spans="1:9" x14ac:dyDescent="0.3">
      <c r="A1150" s="2" t="s">
        <v>77</v>
      </c>
      <c r="B1150" s="3">
        <v>44308.5</v>
      </c>
      <c r="C1150" s="1" t="str">
        <f t="shared" si="17"/>
        <v>21113</v>
      </c>
      <c r="D1150" t="s">
        <v>26</v>
      </c>
      <c r="E1150" s="2" t="s">
        <v>27</v>
      </c>
      <c r="F1150" s="2" t="str">
        <f>_xlfn.XLOOKUP(Table1_1[[#This Row],[CAS_rn]],[1]analyte_order!$C:$C,[1]analyte_order!$B:$B)</f>
        <v>HFPO-DA</v>
      </c>
      <c r="G1150" t="s">
        <v>137</v>
      </c>
      <c r="H1150" s="2">
        <f>_xlfn.XLOOKUP(Table1_1[[#This Row],[CAS_rn]],[1]analyte_order!$C:$C,[1]analyte_order!$E:$E)</f>
        <v>34</v>
      </c>
      <c r="I1150">
        <v>0.29499999999999998</v>
      </c>
    </row>
    <row r="1151" spans="1:9" x14ac:dyDescent="0.3">
      <c r="A1151" s="2" t="s">
        <v>77</v>
      </c>
      <c r="B1151" s="3">
        <v>44308.5</v>
      </c>
      <c r="C1151" s="1" t="str">
        <f t="shared" si="17"/>
        <v>21113</v>
      </c>
      <c r="D1151" t="s">
        <v>26</v>
      </c>
      <c r="E1151" s="2" t="s">
        <v>27</v>
      </c>
      <c r="F1151" s="2" t="str">
        <f>_xlfn.XLOOKUP(Table1_1[[#This Row],[CAS_rn]],[1]analyte_order!$C:$C,[1]analyte_order!$B:$B)</f>
        <v>ADONA</v>
      </c>
      <c r="G1151" t="s">
        <v>138</v>
      </c>
      <c r="H1151" s="2">
        <f>_xlfn.XLOOKUP(Table1_1[[#This Row],[CAS_rn]],[1]analyte_order!$C:$C,[1]analyte_order!$E:$E)</f>
        <v>35</v>
      </c>
      <c r="I1151">
        <v>0.19500000000000001</v>
      </c>
    </row>
    <row r="1152" spans="1:9" x14ac:dyDescent="0.3">
      <c r="A1152" s="2" t="s">
        <v>77</v>
      </c>
      <c r="B1152" s="3">
        <v>44308.5</v>
      </c>
      <c r="C1152" s="1" t="str">
        <f t="shared" si="17"/>
        <v>21113</v>
      </c>
      <c r="D1152" t="s">
        <v>26</v>
      </c>
      <c r="E1152" s="2" t="s">
        <v>27</v>
      </c>
      <c r="F1152" s="2" t="str">
        <f>_xlfn.XLOOKUP(Table1_1[[#This Row],[CAS_rn]],[1]analyte_order!$C:$C,[1]analyte_order!$B:$B)</f>
        <v>PFMBA</v>
      </c>
      <c r="G1152" t="s">
        <v>139</v>
      </c>
      <c r="H1152" s="2">
        <f>_xlfn.XLOOKUP(Table1_1[[#This Row],[CAS_rn]],[1]analyte_order!$C:$C,[1]analyte_order!$E:$E)</f>
        <v>48</v>
      </c>
      <c r="I1152">
        <v>0.1</v>
      </c>
    </row>
    <row r="1153" spans="1:9" x14ac:dyDescent="0.3">
      <c r="A1153" s="2" t="s">
        <v>77</v>
      </c>
      <c r="B1153" s="3">
        <v>44308.5</v>
      </c>
      <c r="C1153" s="1" t="str">
        <f t="shared" si="17"/>
        <v>21113</v>
      </c>
      <c r="D1153" t="s">
        <v>26</v>
      </c>
      <c r="E1153" s="2" t="s">
        <v>27</v>
      </c>
      <c r="F1153" s="2" t="str">
        <f>_xlfn.XLOOKUP(Table1_1[[#This Row],[CAS_rn]],[1]analyte_order!$C:$C,[1]analyte_order!$B:$B)</f>
        <v>NFDHA</v>
      </c>
      <c r="G1153" t="s">
        <v>140</v>
      </c>
      <c r="H1153" s="2">
        <f>_xlfn.XLOOKUP(Table1_1[[#This Row],[CAS_rn]],[1]analyte_order!$C:$C,[1]analyte_order!$E:$E)</f>
        <v>50</v>
      </c>
      <c r="I1153">
        <v>0.1</v>
      </c>
    </row>
    <row r="1154" spans="1:9" x14ac:dyDescent="0.3">
      <c r="A1154" s="2" t="s">
        <v>77</v>
      </c>
      <c r="B1154" s="3">
        <v>44308.5</v>
      </c>
      <c r="C1154" s="1" t="str">
        <f t="shared" si="17"/>
        <v>21113</v>
      </c>
      <c r="D1154" t="s">
        <v>26</v>
      </c>
      <c r="E1154" s="2" t="s">
        <v>27</v>
      </c>
      <c r="F1154" s="2" t="str">
        <f>_xlfn.XLOOKUP(Table1_1[[#This Row],[CAS_rn]],[1]analyte_order!$C:$C,[1]analyte_order!$B:$B)</f>
        <v>9Cl-PF3ONS</v>
      </c>
      <c r="G1154" t="s">
        <v>141</v>
      </c>
      <c r="H1154" s="2">
        <f>_xlfn.XLOOKUP(Table1_1[[#This Row],[CAS_rn]],[1]analyte_order!$C:$C,[1]analyte_order!$E:$E)</f>
        <v>36</v>
      </c>
      <c r="I1154">
        <v>0.19500000000000001</v>
      </c>
    </row>
    <row r="1155" spans="1:9" x14ac:dyDescent="0.3">
      <c r="A1155" s="2" t="s">
        <v>77</v>
      </c>
      <c r="B1155" s="3">
        <v>44308.5</v>
      </c>
      <c r="C1155" s="1" t="str">
        <f t="shared" ref="C1155:C1218" si="18">TEXT(B1155,"yy")&amp;TEXT((B1155-DATEVALUE("1/1/"&amp;TEXT(B1155,"yy"))+1),"000")</f>
        <v>21113</v>
      </c>
      <c r="D1155" t="s">
        <v>26</v>
      </c>
      <c r="E1155" s="2" t="s">
        <v>27</v>
      </c>
      <c r="F1155" s="2" t="str">
        <f>_xlfn.XLOOKUP(Table1_1[[#This Row],[CAS_rn]],[1]analyte_order!$C:$C,[1]analyte_order!$B:$B)</f>
        <v>11Cl-PF3OUdS</v>
      </c>
      <c r="G1155" t="s">
        <v>142</v>
      </c>
      <c r="H1155" s="2">
        <f>_xlfn.XLOOKUP(Table1_1[[#This Row],[CAS_rn]],[1]analyte_order!$C:$C,[1]analyte_order!$E:$E)</f>
        <v>37</v>
      </c>
      <c r="I1155">
        <v>0.19500000000000001</v>
      </c>
    </row>
    <row r="1156" spans="1:9" x14ac:dyDescent="0.3">
      <c r="A1156" s="2" t="s">
        <v>77</v>
      </c>
      <c r="B1156" s="3">
        <v>44308.5</v>
      </c>
      <c r="C1156" s="1" t="str">
        <f t="shared" si="18"/>
        <v>21113</v>
      </c>
      <c r="D1156" t="s">
        <v>26</v>
      </c>
      <c r="E1156" s="2" t="s">
        <v>27</v>
      </c>
      <c r="F1156" s="2" t="str">
        <f>_xlfn.XLOOKUP(Table1_1[[#This Row],[CAS_rn]],[1]analyte_order!$C:$C,[1]analyte_order!$B:$B)</f>
        <v>PFEESA</v>
      </c>
      <c r="G1156" t="s">
        <v>143</v>
      </c>
      <c r="H1156" s="2">
        <f>_xlfn.XLOOKUP(Table1_1[[#This Row],[CAS_rn]],[1]analyte_order!$C:$C,[1]analyte_order!$E:$E)</f>
        <v>47</v>
      </c>
      <c r="I1156">
        <v>0.1</v>
      </c>
    </row>
    <row r="1157" spans="1:9" x14ac:dyDescent="0.3">
      <c r="A1157" s="2" t="s">
        <v>77</v>
      </c>
      <c r="B1157" s="3">
        <v>44308.5</v>
      </c>
      <c r="C1157" s="1" t="str">
        <f t="shared" si="18"/>
        <v>21113</v>
      </c>
      <c r="D1157" t="s">
        <v>26</v>
      </c>
      <c r="E1157" s="2" t="s">
        <v>27</v>
      </c>
      <c r="F1157" s="2" t="str">
        <f>_xlfn.XLOOKUP(Table1_1[[#This Row],[CAS_rn]],[1]analyte_order!$C:$C,[1]analyte_order!$B:$B)</f>
        <v>3:3 FTCA</v>
      </c>
      <c r="G1157" t="s">
        <v>144</v>
      </c>
      <c r="H1157" s="2">
        <f>_xlfn.XLOOKUP(Table1_1[[#This Row],[CAS_rn]],[1]analyte_order!$C:$C,[1]analyte_order!$E:$E)</f>
        <v>38</v>
      </c>
      <c r="I1157">
        <v>0.245</v>
      </c>
    </row>
    <row r="1158" spans="1:9" x14ac:dyDescent="0.3">
      <c r="A1158" s="2" t="s">
        <v>77</v>
      </c>
      <c r="B1158" s="3">
        <v>44308.5</v>
      </c>
      <c r="C1158" s="1" t="str">
        <f t="shared" si="18"/>
        <v>21113</v>
      </c>
      <c r="D1158" t="s">
        <v>26</v>
      </c>
      <c r="E1158" s="2" t="s">
        <v>27</v>
      </c>
      <c r="F1158" s="2" t="str">
        <f>_xlfn.XLOOKUP(Table1_1[[#This Row],[CAS_rn]],[1]analyte_order!$C:$C,[1]analyte_order!$B:$B)</f>
        <v>5:3 FTCA</v>
      </c>
      <c r="G1158" t="s">
        <v>145</v>
      </c>
      <c r="H1158" s="2">
        <f>_xlfn.XLOOKUP(Table1_1[[#This Row],[CAS_rn]],[1]analyte_order!$C:$C,[1]analyte_order!$E:$E)</f>
        <v>39</v>
      </c>
      <c r="I1158">
        <v>1.25</v>
      </c>
    </row>
    <row r="1159" spans="1:9" x14ac:dyDescent="0.3">
      <c r="A1159" s="2" t="s">
        <v>77</v>
      </c>
      <c r="B1159" s="3">
        <v>44308.5</v>
      </c>
      <c r="C1159" s="1" t="str">
        <f t="shared" si="18"/>
        <v>21113</v>
      </c>
      <c r="D1159" t="s">
        <v>26</v>
      </c>
      <c r="E1159" s="2" t="s">
        <v>27</v>
      </c>
      <c r="F1159" s="2" t="str">
        <f>_xlfn.XLOOKUP(Table1_1[[#This Row],[CAS_rn]],[1]analyte_order!$C:$C,[1]analyte_order!$B:$B)</f>
        <v>7:3 FTCA</v>
      </c>
      <c r="G1159" t="s">
        <v>146</v>
      </c>
      <c r="H1159" s="2">
        <f>_xlfn.XLOOKUP(Table1_1[[#This Row],[CAS_rn]],[1]analyte_order!$C:$C,[1]analyte_order!$E:$E)</f>
        <v>40</v>
      </c>
      <c r="I1159">
        <v>1.25</v>
      </c>
    </row>
    <row r="1160" spans="1:9" x14ac:dyDescent="0.3">
      <c r="A1160" s="2" t="s">
        <v>77</v>
      </c>
      <c r="B1160" s="3">
        <v>44308.5</v>
      </c>
      <c r="C1160" s="1" t="str">
        <f t="shared" si="18"/>
        <v>21113</v>
      </c>
      <c r="D1160" t="s">
        <v>26</v>
      </c>
      <c r="E1160" s="2" t="s">
        <v>27</v>
      </c>
      <c r="F1160" s="2" t="str">
        <f>_xlfn.XLOOKUP(Table1_1[[#This Row],[CAS_rn]],[1]analyte_order!$C:$C,[1]analyte_order!$B:$B)</f>
        <v>PFDS</v>
      </c>
      <c r="G1160" t="s">
        <v>147</v>
      </c>
      <c r="H1160" s="2">
        <f>_xlfn.XLOOKUP(Table1_1[[#This Row],[CAS_rn]],[1]analyte_order!$C:$C,[1]analyte_order!$E:$E)</f>
        <v>20</v>
      </c>
      <c r="I1160">
        <v>4.9500000000000002E-2</v>
      </c>
    </row>
    <row r="1161" spans="1:9" x14ac:dyDescent="0.3">
      <c r="A1161" s="2" t="s">
        <v>77</v>
      </c>
      <c r="B1161" s="3">
        <v>44308.5</v>
      </c>
      <c r="C1161" s="1" t="str">
        <f t="shared" si="18"/>
        <v>21113</v>
      </c>
      <c r="D1161" t="s">
        <v>26</v>
      </c>
      <c r="E1161" s="2" t="s">
        <v>27</v>
      </c>
      <c r="F1161" s="2" t="str">
        <f>_xlfn.XLOOKUP(Table1_1[[#This Row],[CAS_rn]],[1]analyte_order!$C:$C,[1]analyte_order!$B:$B)</f>
        <v>PFMPA</v>
      </c>
      <c r="G1161" t="s">
        <v>148</v>
      </c>
      <c r="H1161" s="2">
        <f>_xlfn.XLOOKUP(Table1_1[[#This Row],[CAS_rn]],[1]analyte_order!$C:$C,[1]analyte_order!$E:$E)</f>
        <v>49</v>
      </c>
      <c r="I1161">
        <v>0.1</v>
      </c>
    </row>
    <row r="1162" spans="1:9" x14ac:dyDescent="0.3">
      <c r="A1162" s="2" t="s">
        <v>78</v>
      </c>
      <c r="B1162" s="3">
        <v>44308.5</v>
      </c>
      <c r="C1162" s="1" t="str">
        <f t="shared" si="18"/>
        <v>21113</v>
      </c>
      <c r="D1162" t="s">
        <v>31</v>
      </c>
      <c r="E1162" s="2" t="s">
        <v>27</v>
      </c>
      <c r="F1162" s="2" t="str">
        <f>_xlfn.XLOOKUP(Table1_1[[#This Row],[CAS_rn]],[1]analyte_order!$C:$C,[1]analyte_order!$B:$B)</f>
        <v>PFBA</v>
      </c>
      <c r="G1162" t="s">
        <v>109</v>
      </c>
      <c r="H1162" s="2">
        <f>_xlfn.XLOOKUP(Table1_1[[#This Row],[CAS_rn]],[1]analyte_order!$C:$C,[1]analyte_order!$E:$E)</f>
        <v>1</v>
      </c>
      <c r="I1162">
        <v>0.19500000000000001</v>
      </c>
    </row>
    <row r="1163" spans="1:9" x14ac:dyDescent="0.3">
      <c r="A1163" s="2" t="s">
        <v>78</v>
      </c>
      <c r="B1163" s="3">
        <v>44308.5</v>
      </c>
      <c r="C1163" s="1" t="str">
        <f t="shared" si="18"/>
        <v>21113</v>
      </c>
      <c r="D1163" t="s">
        <v>31</v>
      </c>
      <c r="E1163" s="2" t="s">
        <v>27</v>
      </c>
      <c r="F1163" s="2" t="str">
        <f>_xlfn.XLOOKUP(Table1_1[[#This Row],[CAS_rn]],[1]analyte_order!$C:$C,[1]analyte_order!$B:$B)</f>
        <v>PFPeA</v>
      </c>
      <c r="G1163" t="s">
        <v>110</v>
      </c>
      <c r="H1163" s="2">
        <f>_xlfn.XLOOKUP(Table1_1[[#This Row],[CAS_rn]],[1]analyte_order!$C:$C,[1]analyte_order!$E:$E)</f>
        <v>2</v>
      </c>
      <c r="I1163">
        <v>0.1</v>
      </c>
    </row>
    <row r="1164" spans="1:9" x14ac:dyDescent="0.3">
      <c r="A1164" s="2" t="s">
        <v>78</v>
      </c>
      <c r="B1164" s="3">
        <v>44308.5</v>
      </c>
      <c r="C1164" s="1" t="str">
        <f t="shared" si="18"/>
        <v>21113</v>
      </c>
      <c r="D1164" t="s">
        <v>31</v>
      </c>
      <c r="E1164" s="2" t="s">
        <v>27</v>
      </c>
      <c r="F1164" s="2" t="str">
        <f>_xlfn.XLOOKUP(Table1_1[[#This Row],[CAS_rn]],[1]analyte_order!$C:$C,[1]analyte_order!$B:$B)</f>
        <v>PFHxA</v>
      </c>
      <c r="G1164" t="s">
        <v>111</v>
      </c>
      <c r="H1164" s="2">
        <f>_xlfn.XLOOKUP(Table1_1[[#This Row],[CAS_rn]],[1]analyte_order!$C:$C,[1]analyte_order!$E:$E)</f>
        <v>3</v>
      </c>
      <c r="I1164">
        <v>0.09</v>
      </c>
    </row>
    <row r="1165" spans="1:9" x14ac:dyDescent="0.3">
      <c r="A1165" s="2" t="s">
        <v>78</v>
      </c>
      <c r="B1165" s="3">
        <v>44308.5</v>
      </c>
      <c r="C1165" s="1" t="str">
        <f t="shared" si="18"/>
        <v>21113</v>
      </c>
      <c r="D1165" t="s">
        <v>31</v>
      </c>
      <c r="E1165" s="2" t="s">
        <v>27</v>
      </c>
      <c r="F1165" s="2" t="str">
        <f>_xlfn.XLOOKUP(Table1_1[[#This Row],[CAS_rn]],[1]analyte_order!$C:$C,[1]analyte_order!$B:$B)</f>
        <v>PFHpA</v>
      </c>
      <c r="G1165" t="s">
        <v>112</v>
      </c>
      <c r="H1165" s="2">
        <f>_xlfn.XLOOKUP(Table1_1[[#This Row],[CAS_rn]],[1]analyte_order!$C:$C,[1]analyte_order!$E:$E)</f>
        <v>4</v>
      </c>
      <c r="I1165">
        <v>0.09</v>
      </c>
    </row>
    <row r="1166" spans="1:9" x14ac:dyDescent="0.3">
      <c r="A1166" s="2" t="s">
        <v>78</v>
      </c>
      <c r="B1166" s="3">
        <v>44308.5</v>
      </c>
      <c r="C1166" s="1" t="str">
        <f t="shared" si="18"/>
        <v>21113</v>
      </c>
      <c r="D1166" t="s">
        <v>31</v>
      </c>
      <c r="E1166" s="2" t="s">
        <v>27</v>
      </c>
      <c r="F1166" s="2" t="str">
        <f>_xlfn.XLOOKUP(Table1_1[[#This Row],[CAS_rn]],[1]analyte_order!$C:$C,[1]analyte_order!$B:$B)</f>
        <v>PFOA</v>
      </c>
      <c r="G1166" t="s">
        <v>113</v>
      </c>
      <c r="H1166" s="2">
        <f>_xlfn.XLOOKUP(Table1_1[[#This Row],[CAS_rn]],[1]analyte_order!$C:$C,[1]analyte_order!$E:$E)</f>
        <v>5</v>
      </c>
      <c r="I1166">
        <v>0.11</v>
      </c>
    </row>
    <row r="1167" spans="1:9" x14ac:dyDescent="0.3">
      <c r="A1167" s="2" t="s">
        <v>78</v>
      </c>
      <c r="B1167" s="3">
        <v>44308.5</v>
      </c>
      <c r="C1167" s="1" t="str">
        <f t="shared" si="18"/>
        <v>21113</v>
      </c>
      <c r="D1167" t="s">
        <v>31</v>
      </c>
      <c r="E1167" s="2" t="s">
        <v>27</v>
      </c>
      <c r="F1167" s="2" t="str">
        <f>_xlfn.XLOOKUP(Table1_1[[#This Row],[CAS_rn]],[1]analyte_order!$C:$C,[1]analyte_order!$B:$B)</f>
        <v>PFNA</v>
      </c>
      <c r="G1167" t="s">
        <v>114</v>
      </c>
      <c r="H1167" s="2">
        <f>_xlfn.XLOOKUP(Table1_1[[#This Row],[CAS_rn]],[1]analyte_order!$C:$C,[1]analyte_order!$E:$E)</f>
        <v>6</v>
      </c>
      <c r="I1167">
        <v>4.9000000000000002E-2</v>
      </c>
    </row>
    <row r="1168" spans="1:9" x14ac:dyDescent="0.3">
      <c r="A1168" s="2" t="s">
        <v>78</v>
      </c>
      <c r="B1168" s="3">
        <v>44308.5</v>
      </c>
      <c r="C1168" s="1" t="str">
        <f t="shared" si="18"/>
        <v>21113</v>
      </c>
      <c r="D1168" t="s">
        <v>31</v>
      </c>
      <c r="E1168" s="2" t="s">
        <v>27</v>
      </c>
      <c r="F1168" s="2" t="str">
        <f>_xlfn.XLOOKUP(Table1_1[[#This Row],[CAS_rn]],[1]analyte_order!$C:$C,[1]analyte_order!$B:$B)</f>
        <v>PFDA</v>
      </c>
      <c r="G1168" t="s">
        <v>115</v>
      </c>
      <c r="H1168" s="2">
        <f>_xlfn.XLOOKUP(Table1_1[[#This Row],[CAS_rn]],[1]analyte_order!$C:$C,[1]analyte_order!$E:$E)</f>
        <v>7</v>
      </c>
      <c r="I1168">
        <v>4.9000000000000002E-2</v>
      </c>
    </row>
    <row r="1169" spans="1:9" x14ac:dyDescent="0.3">
      <c r="A1169" s="2" t="s">
        <v>78</v>
      </c>
      <c r="B1169" s="3">
        <v>44308.5</v>
      </c>
      <c r="C1169" s="1" t="str">
        <f t="shared" si="18"/>
        <v>21113</v>
      </c>
      <c r="D1169" t="s">
        <v>31</v>
      </c>
      <c r="E1169" s="2" t="s">
        <v>27</v>
      </c>
      <c r="F1169" s="2" t="str">
        <f>_xlfn.XLOOKUP(Table1_1[[#This Row],[CAS_rn]],[1]analyte_order!$C:$C,[1]analyte_order!$B:$B)</f>
        <v>PFUnA</v>
      </c>
      <c r="G1169" t="s">
        <v>116</v>
      </c>
      <c r="H1169" s="2">
        <f>_xlfn.XLOOKUP(Table1_1[[#This Row],[CAS_rn]],[1]analyte_order!$C:$C,[1]analyte_order!$E:$E)</f>
        <v>8</v>
      </c>
      <c r="I1169">
        <v>4.9000000000000002E-2</v>
      </c>
    </row>
    <row r="1170" spans="1:9" x14ac:dyDescent="0.3">
      <c r="A1170" s="2" t="s">
        <v>78</v>
      </c>
      <c r="B1170" s="3">
        <v>44308.5</v>
      </c>
      <c r="C1170" s="1" t="str">
        <f t="shared" si="18"/>
        <v>21113</v>
      </c>
      <c r="D1170" t="s">
        <v>31</v>
      </c>
      <c r="E1170" s="2" t="s">
        <v>27</v>
      </c>
      <c r="F1170" s="2" t="str">
        <f>_xlfn.XLOOKUP(Table1_1[[#This Row],[CAS_rn]],[1]analyte_order!$C:$C,[1]analyte_order!$B:$B)</f>
        <v>PFDoA</v>
      </c>
      <c r="G1170" t="s">
        <v>117</v>
      </c>
      <c r="H1170" s="2">
        <f>_xlfn.XLOOKUP(Table1_1[[#This Row],[CAS_rn]],[1]analyte_order!$C:$C,[1]analyte_order!$E:$E)</f>
        <v>9</v>
      </c>
      <c r="I1170">
        <v>4.9000000000000002E-2</v>
      </c>
    </row>
    <row r="1171" spans="1:9" x14ac:dyDescent="0.3">
      <c r="A1171" s="2" t="s">
        <v>78</v>
      </c>
      <c r="B1171" s="3">
        <v>44308.5</v>
      </c>
      <c r="C1171" s="1" t="str">
        <f t="shared" si="18"/>
        <v>21113</v>
      </c>
      <c r="D1171" t="s">
        <v>31</v>
      </c>
      <c r="E1171" s="2" t="s">
        <v>27</v>
      </c>
      <c r="F1171" s="2" t="str">
        <f>_xlfn.XLOOKUP(Table1_1[[#This Row],[CAS_rn]],[1]analyte_order!$C:$C,[1]analyte_order!$B:$B)</f>
        <v>PFTrDA</v>
      </c>
      <c r="G1171" t="s">
        <v>118</v>
      </c>
      <c r="H1171" s="2">
        <f>_xlfn.XLOOKUP(Table1_1[[#This Row],[CAS_rn]],[1]analyte_order!$C:$C,[1]analyte_order!$E:$E)</f>
        <v>10</v>
      </c>
      <c r="I1171">
        <v>4.9000000000000002E-2</v>
      </c>
    </row>
    <row r="1172" spans="1:9" x14ac:dyDescent="0.3">
      <c r="A1172" s="2" t="s">
        <v>78</v>
      </c>
      <c r="B1172" s="3">
        <v>44308.5</v>
      </c>
      <c r="C1172" s="1" t="str">
        <f t="shared" si="18"/>
        <v>21113</v>
      </c>
      <c r="D1172" t="s">
        <v>31</v>
      </c>
      <c r="E1172" s="2" t="s">
        <v>27</v>
      </c>
      <c r="F1172" s="2" t="str">
        <f>_xlfn.XLOOKUP(Table1_1[[#This Row],[CAS_rn]],[1]analyte_order!$C:$C,[1]analyte_order!$B:$B)</f>
        <v>PFTeDA</v>
      </c>
      <c r="G1172" t="s">
        <v>119</v>
      </c>
      <c r="H1172" s="2">
        <f>_xlfn.XLOOKUP(Table1_1[[#This Row],[CAS_rn]],[1]analyte_order!$C:$C,[1]analyte_order!$E:$E)</f>
        <v>11</v>
      </c>
      <c r="I1172">
        <v>4.9000000000000002E-2</v>
      </c>
    </row>
    <row r="1173" spans="1:9" x14ac:dyDescent="0.3">
      <c r="A1173" s="2" t="s">
        <v>78</v>
      </c>
      <c r="B1173" s="3">
        <v>44308.5</v>
      </c>
      <c r="C1173" s="1" t="str">
        <f t="shared" si="18"/>
        <v>21113</v>
      </c>
      <c r="D1173" t="s">
        <v>31</v>
      </c>
      <c r="E1173" s="2" t="s">
        <v>27</v>
      </c>
      <c r="F1173" s="2" t="str">
        <f>_xlfn.XLOOKUP(Table1_1[[#This Row],[CAS_rn]],[1]analyte_order!$C:$C,[1]analyte_order!$B:$B)</f>
        <v>PFBS</v>
      </c>
      <c r="G1173" t="s">
        <v>120</v>
      </c>
      <c r="H1173" s="2">
        <f>_xlfn.XLOOKUP(Table1_1[[#This Row],[CAS_rn]],[1]analyte_order!$C:$C,[1]analyte_order!$E:$E)</f>
        <v>14</v>
      </c>
      <c r="I1173">
        <v>4.9000000000000002E-2</v>
      </c>
    </row>
    <row r="1174" spans="1:9" x14ac:dyDescent="0.3">
      <c r="A1174" s="2" t="s">
        <v>78</v>
      </c>
      <c r="B1174" s="3">
        <v>44308.5</v>
      </c>
      <c r="C1174" s="1" t="str">
        <f t="shared" si="18"/>
        <v>21113</v>
      </c>
      <c r="D1174" t="s">
        <v>31</v>
      </c>
      <c r="E1174" s="2" t="s">
        <v>27</v>
      </c>
      <c r="F1174" s="2" t="str">
        <f>_xlfn.XLOOKUP(Table1_1[[#This Row],[CAS_rn]],[1]analyte_order!$C:$C,[1]analyte_order!$B:$B)</f>
        <v>PFPeS</v>
      </c>
      <c r="G1174" t="s">
        <v>121</v>
      </c>
      <c r="H1174" s="2">
        <f>_xlfn.XLOOKUP(Table1_1[[#This Row],[CAS_rn]],[1]analyte_order!$C:$C,[1]analyte_order!$E:$E)</f>
        <v>15</v>
      </c>
      <c r="I1174">
        <v>4.9000000000000002E-2</v>
      </c>
    </row>
    <row r="1175" spans="1:9" x14ac:dyDescent="0.3">
      <c r="A1175" s="2" t="s">
        <v>78</v>
      </c>
      <c r="B1175" s="3">
        <v>44308.5</v>
      </c>
      <c r="C1175" s="1" t="str">
        <f t="shared" si="18"/>
        <v>21113</v>
      </c>
      <c r="D1175" t="s">
        <v>31</v>
      </c>
      <c r="E1175" s="2" t="s">
        <v>27</v>
      </c>
      <c r="F1175" s="2" t="str">
        <f>_xlfn.XLOOKUP(Table1_1[[#This Row],[CAS_rn]],[1]analyte_order!$C:$C,[1]analyte_order!$B:$B)</f>
        <v>PFHxS</v>
      </c>
      <c r="G1175" t="s">
        <v>122</v>
      </c>
      <c r="H1175" s="2">
        <f>_xlfn.XLOOKUP(Table1_1[[#This Row],[CAS_rn]],[1]analyte_order!$C:$C,[1]analyte_order!$E:$E)</f>
        <v>16</v>
      </c>
      <c r="I1175">
        <v>0.51</v>
      </c>
    </row>
    <row r="1176" spans="1:9" x14ac:dyDescent="0.3">
      <c r="A1176" s="2" t="s">
        <v>78</v>
      </c>
      <c r="B1176" s="3">
        <v>44308.5</v>
      </c>
      <c r="C1176" s="1" t="str">
        <f t="shared" si="18"/>
        <v>21113</v>
      </c>
      <c r="D1176" t="s">
        <v>31</v>
      </c>
      <c r="E1176" s="2" t="s">
        <v>27</v>
      </c>
      <c r="F1176" s="2" t="str">
        <f>_xlfn.XLOOKUP(Table1_1[[#This Row],[CAS_rn]],[1]analyte_order!$C:$C,[1]analyte_order!$B:$B)</f>
        <v>PFHpS</v>
      </c>
      <c r="G1176" t="s">
        <v>123</v>
      </c>
      <c r="H1176" s="2">
        <f>_xlfn.XLOOKUP(Table1_1[[#This Row],[CAS_rn]],[1]analyte_order!$C:$C,[1]analyte_order!$E:$E)</f>
        <v>17</v>
      </c>
      <c r="I1176">
        <v>4.9000000000000002E-2</v>
      </c>
    </row>
    <row r="1177" spans="1:9" x14ac:dyDescent="0.3">
      <c r="A1177" s="2" t="s">
        <v>78</v>
      </c>
      <c r="B1177" s="3">
        <v>44308.5</v>
      </c>
      <c r="C1177" s="1" t="str">
        <f t="shared" si="18"/>
        <v>21113</v>
      </c>
      <c r="D1177" t="s">
        <v>31</v>
      </c>
      <c r="E1177" s="2" t="s">
        <v>27</v>
      </c>
      <c r="F1177" s="2" t="str">
        <f>_xlfn.XLOOKUP(Table1_1[[#This Row],[CAS_rn]],[1]analyte_order!$C:$C,[1]analyte_order!$B:$B)</f>
        <v>PFOS</v>
      </c>
      <c r="G1177" t="s">
        <v>124</v>
      </c>
      <c r="H1177" s="2">
        <f>_xlfn.XLOOKUP(Table1_1[[#This Row],[CAS_rn]],[1]analyte_order!$C:$C,[1]analyte_order!$E:$E)</f>
        <v>18</v>
      </c>
      <c r="I1177">
        <v>3.4</v>
      </c>
    </row>
    <row r="1178" spans="1:9" x14ac:dyDescent="0.3">
      <c r="A1178" s="2" t="s">
        <v>78</v>
      </c>
      <c r="B1178" s="3">
        <v>44308.5</v>
      </c>
      <c r="C1178" s="1" t="str">
        <f t="shared" si="18"/>
        <v>21113</v>
      </c>
      <c r="D1178" t="s">
        <v>31</v>
      </c>
      <c r="E1178" s="2" t="s">
        <v>27</v>
      </c>
      <c r="F1178" s="2" t="str">
        <f>_xlfn.XLOOKUP(Table1_1[[#This Row],[CAS_rn]],[1]analyte_order!$C:$C,[1]analyte_order!$B:$B)</f>
        <v>PFNS</v>
      </c>
      <c r="G1178" t="s">
        <v>125</v>
      </c>
      <c r="H1178" s="2">
        <f>_xlfn.XLOOKUP(Table1_1[[#This Row],[CAS_rn]],[1]analyte_order!$C:$C,[1]analyte_order!$E:$E)</f>
        <v>19</v>
      </c>
      <c r="I1178">
        <v>4.9000000000000002E-2</v>
      </c>
    </row>
    <row r="1179" spans="1:9" x14ac:dyDescent="0.3">
      <c r="A1179" s="2" t="s">
        <v>78</v>
      </c>
      <c r="B1179" s="3">
        <v>44308.5</v>
      </c>
      <c r="C1179" s="1" t="str">
        <f t="shared" si="18"/>
        <v>21113</v>
      </c>
      <c r="D1179" t="s">
        <v>31</v>
      </c>
      <c r="E1179" s="2" t="s">
        <v>27</v>
      </c>
      <c r="F1179" s="2" t="str">
        <f>_xlfn.XLOOKUP(Table1_1[[#This Row],[CAS_rn]],[1]analyte_order!$C:$C,[1]analyte_order!$B:$B)</f>
        <v>PFDoS</v>
      </c>
      <c r="G1179" t="s">
        <v>126</v>
      </c>
      <c r="H1179" s="2">
        <f>_xlfn.XLOOKUP(Table1_1[[#This Row],[CAS_rn]],[1]analyte_order!$C:$C,[1]analyte_order!$E:$E)</f>
        <v>21</v>
      </c>
      <c r="I1179">
        <v>4.9000000000000002E-2</v>
      </c>
    </row>
    <row r="1180" spans="1:9" x14ac:dyDescent="0.3">
      <c r="A1180" s="2" t="s">
        <v>78</v>
      </c>
      <c r="B1180" s="3">
        <v>44308.5</v>
      </c>
      <c r="C1180" s="1" t="str">
        <f t="shared" si="18"/>
        <v>21113</v>
      </c>
      <c r="D1180" t="s">
        <v>31</v>
      </c>
      <c r="E1180" s="2" t="s">
        <v>27</v>
      </c>
      <c r="F1180" s="2" t="str">
        <f>_xlfn.XLOOKUP(Table1_1[[#This Row],[CAS_rn]],[1]analyte_order!$C:$C,[1]analyte_order!$B:$B)</f>
        <v>4:2 FTS</v>
      </c>
      <c r="G1180" t="s">
        <v>127</v>
      </c>
      <c r="H1180" s="2">
        <f>_xlfn.XLOOKUP(Table1_1[[#This Row],[CAS_rn]],[1]analyte_order!$C:$C,[1]analyte_order!$E:$E)</f>
        <v>22</v>
      </c>
      <c r="I1180">
        <v>0.19500000000000001</v>
      </c>
    </row>
    <row r="1181" spans="1:9" x14ac:dyDescent="0.3">
      <c r="A1181" s="2" t="s">
        <v>78</v>
      </c>
      <c r="B1181" s="3">
        <v>44308.5</v>
      </c>
      <c r="C1181" s="1" t="str">
        <f t="shared" si="18"/>
        <v>21113</v>
      </c>
      <c r="D1181" t="s">
        <v>31</v>
      </c>
      <c r="E1181" s="2" t="s">
        <v>27</v>
      </c>
      <c r="F1181" s="2" t="str">
        <f>_xlfn.XLOOKUP(Table1_1[[#This Row],[CAS_rn]],[1]analyte_order!$C:$C,[1]analyte_order!$B:$B)</f>
        <v>6:2 FTS</v>
      </c>
      <c r="G1181" t="s">
        <v>128</v>
      </c>
      <c r="H1181" s="2">
        <f>_xlfn.XLOOKUP(Table1_1[[#This Row],[CAS_rn]],[1]analyte_order!$C:$C,[1]analyte_order!$E:$E)</f>
        <v>23</v>
      </c>
      <c r="I1181">
        <v>0.39500000000000002</v>
      </c>
    </row>
    <row r="1182" spans="1:9" x14ac:dyDescent="0.3">
      <c r="A1182" s="2" t="s">
        <v>78</v>
      </c>
      <c r="B1182" s="3">
        <v>44308.5</v>
      </c>
      <c r="C1182" s="1" t="str">
        <f t="shared" si="18"/>
        <v>21113</v>
      </c>
      <c r="D1182" t="s">
        <v>31</v>
      </c>
      <c r="E1182" s="2" t="s">
        <v>27</v>
      </c>
      <c r="F1182" s="2" t="str">
        <f>_xlfn.XLOOKUP(Table1_1[[#This Row],[CAS_rn]],[1]analyte_order!$C:$C,[1]analyte_order!$B:$B)</f>
        <v>8:2 FTS</v>
      </c>
      <c r="G1182" t="s">
        <v>129</v>
      </c>
      <c r="H1182" s="2">
        <f>_xlfn.XLOOKUP(Table1_1[[#This Row],[CAS_rn]],[1]analyte_order!$C:$C,[1]analyte_order!$E:$E)</f>
        <v>24</v>
      </c>
      <c r="I1182">
        <v>0.39500000000000002</v>
      </c>
    </row>
    <row r="1183" spans="1:9" x14ac:dyDescent="0.3">
      <c r="A1183" s="2" t="s">
        <v>78</v>
      </c>
      <c r="B1183" s="3">
        <v>44308.5</v>
      </c>
      <c r="C1183" s="1" t="str">
        <f t="shared" si="18"/>
        <v>21113</v>
      </c>
      <c r="D1183" t="s">
        <v>31</v>
      </c>
      <c r="E1183" s="2" t="s">
        <v>27</v>
      </c>
      <c r="F1183" s="2" t="str">
        <f>_xlfn.XLOOKUP(Table1_1[[#This Row],[CAS_rn]],[1]analyte_order!$C:$C,[1]analyte_order!$B:$B)</f>
        <v>FOSA</v>
      </c>
      <c r="G1183" t="s">
        <v>130</v>
      </c>
      <c r="H1183" s="2">
        <f>_xlfn.XLOOKUP(Table1_1[[#This Row],[CAS_rn]],[1]analyte_order!$C:$C,[1]analyte_order!$E:$E)</f>
        <v>28</v>
      </c>
      <c r="I1183">
        <v>9.2999999999999999E-2</v>
      </c>
    </row>
    <row r="1184" spans="1:9" x14ac:dyDescent="0.3">
      <c r="A1184" s="2" t="s">
        <v>78</v>
      </c>
      <c r="B1184" s="3">
        <v>44308.5</v>
      </c>
      <c r="C1184" s="1" t="str">
        <f t="shared" si="18"/>
        <v>21113</v>
      </c>
      <c r="D1184" t="s">
        <v>31</v>
      </c>
      <c r="E1184" s="2" t="s">
        <v>27</v>
      </c>
      <c r="F1184" s="2" t="str">
        <f>_xlfn.XLOOKUP(Table1_1[[#This Row],[CAS_rn]],[1]analyte_order!$C:$C,[1]analyte_order!$B:$B)</f>
        <v>N-MeFOSA</v>
      </c>
      <c r="G1184" t="s">
        <v>131</v>
      </c>
      <c r="H1184" s="2">
        <f>_xlfn.XLOOKUP(Table1_1[[#This Row],[CAS_rn]],[1]analyte_order!$C:$C,[1]analyte_order!$E:$E)</f>
        <v>30</v>
      </c>
      <c r="I1184">
        <v>4.9000000000000002E-2</v>
      </c>
    </row>
    <row r="1185" spans="1:9" x14ac:dyDescent="0.3">
      <c r="A1185" s="2" t="s">
        <v>78</v>
      </c>
      <c r="B1185" s="3">
        <v>44308.5</v>
      </c>
      <c r="C1185" s="1" t="str">
        <f t="shared" si="18"/>
        <v>21113</v>
      </c>
      <c r="D1185" t="s">
        <v>31</v>
      </c>
      <c r="E1185" s="2" t="s">
        <v>27</v>
      </c>
      <c r="F1185" s="2" t="str">
        <f>_xlfn.XLOOKUP(Table1_1[[#This Row],[CAS_rn]],[1]analyte_order!$C:$C,[1]analyte_order!$B:$B)</f>
        <v>N-MeFOSAA</v>
      </c>
      <c r="G1185" t="s">
        <v>132</v>
      </c>
      <c r="H1185" s="2">
        <f>_xlfn.XLOOKUP(Table1_1[[#This Row],[CAS_rn]],[1]analyte_order!$C:$C,[1]analyte_order!$E:$E)</f>
        <v>26</v>
      </c>
      <c r="I1185">
        <v>4.9000000000000002E-2</v>
      </c>
    </row>
    <row r="1186" spans="1:9" x14ac:dyDescent="0.3">
      <c r="A1186" s="2" t="s">
        <v>78</v>
      </c>
      <c r="B1186" s="3">
        <v>44308.5</v>
      </c>
      <c r="C1186" s="1" t="str">
        <f t="shared" si="18"/>
        <v>21113</v>
      </c>
      <c r="D1186" t="s">
        <v>31</v>
      </c>
      <c r="E1186" s="2" t="s">
        <v>27</v>
      </c>
      <c r="F1186" s="2" t="str">
        <f>_xlfn.XLOOKUP(Table1_1[[#This Row],[CAS_rn]],[1]analyte_order!$C:$C,[1]analyte_order!$B:$B)</f>
        <v>N-EtFOSA</v>
      </c>
      <c r="G1186" t="s">
        <v>133</v>
      </c>
      <c r="H1186" s="2">
        <f>_xlfn.XLOOKUP(Table1_1[[#This Row],[CAS_rn]],[1]analyte_order!$C:$C,[1]analyte_order!$E:$E)</f>
        <v>31</v>
      </c>
      <c r="I1186">
        <v>4.9000000000000002E-2</v>
      </c>
    </row>
    <row r="1187" spans="1:9" x14ac:dyDescent="0.3">
      <c r="A1187" s="2" t="s">
        <v>78</v>
      </c>
      <c r="B1187" s="3">
        <v>44308.5</v>
      </c>
      <c r="C1187" s="1" t="str">
        <f t="shared" si="18"/>
        <v>21113</v>
      </c>
      <c r="D1187" t="s">
        <v>31</v>
      </c>
      <c r="E1187" s="2" t="s">
        <v>27</v>
      </c>
      <c r="F1187" s="2" t="str">
        <f>_xlfn.XLOOKUP(Table1_1[[#This Row],[CAS_rn]],[1]analyte_order!$C:$C,[1]analyte_order!$B:$B)</f>
        <v>N-EtFOSAA</v>
      </c>
      <c r="G1187" t="s">
        <v>134</v>
      </c>
      <c r="H1187" s="2">
        <f>_xlfn.XLOOKUP(Table1_1[[#This Row],[CAS_rn]],[1]analyte_order!$C:$C,[1]analyte_order!$E:$E)</f>
        <v>27</v>
      </c>
      <c r="I1187">
        <v>4.9000000000000002E-2</v>
      </c>
    </row>
    <row r="1188" spans="1:9" x14ac:dyDescent="0.3">
      <c r="A1188" s="2" t="s">
        <v>78</v>
      </c>
      <c r="B1188" s="3">
        <v>44308.5</v>
      </c>
      <c r="C1188" s="1" t="str">
        <f t="shared" si="18"/>
        <v>21113</v>
      </c>
      <c r="D1188" t="s">
        <v>31</v>
      </c>
      <c r="E1188" s="2" t="s">
        <v>27</v>
      </c>
      <c r="F1188" s="2" t="str">
        <f>_xlfn.XLOOKUP(Table1_1[[#This Row],[CAS_rn]],[1]analyte_order!$C:$C,[1]analyte_order!$B:$B)</f>
        <v>N-MeFOSE</v>
      </c>
      <c r="G1188" t="s">
        <v>135</v>
      </c>
      <c r="H1188" s="2">
        <f>_xlfn.XLOOKUP(Table1_1[[#This Row],[CAS_rn]],[1]analyte_order!$C:$C,[1]analyte_order!$E:$E)</f>
        <v>32</v>
      </c>
      <c r="I1188">
        <v>0.49</v>
      </c>
    </row>
    <row r="1189" spans="1:9" x14ac:dyDescent="0.3">
      <c r="A1189" s="2" t="s">
        <v>78</v>
      </c>
      <c r="B1189" s="3">
        <v>44308.5</v>
      </c>
      <c r="C1189" s="1" t="str">
        <f t="shared" si="18"/>
        <v>21113</v>
      </c>
      <c r="D1189" t="s">
        <v>31</v>
      </c>
      <c r="E1189" s="2" t="s">
        <v>27</v>
      </c>
      <c r="F1189" s="2" t="str">
        <f>_xlfn.XLOOKUP(Table1_1[[#This Row],[CAS_rn]],[1]analyte_order!$C:$C,[1]analyte_order!$B:$B)</f>
        <v>N-EtFOSE</v>
      </c>
      <c r="G1189" t="s">
        <v>136</v>
      </c>
      <c r="H1189" s="2">
        <f>_xlfn.XLOOKUP(Table1_1[[#This Row],[CAS_rn]],[1]analyte_order!$C:$C,[1]analyte_order!$E:$E)</f>
        <v>33</v>
      </c>
      <c r="I1189">
        <v>0.49</v>
      </c>
    </row>
    <row r="1190" spans="1:9" x14ac:dyDescent="0.3">
      <c r="A1190" s="2" t="s">
        <v>78</v>
      </c>
      <c r="B1190" s="3">
        <v>44308.5</v>
      </c>
      <c r="C1190" s="1" t="str">
        <f t="shared" si="18"/>
        <v>21113</v>
      </c>
      <c r="D1190" t="s">
        <v>31</v>
      </c>
      <c r="E1190" s="2" t="s">
        <v>27</v>
      </c>
      <c r="F1190" s="2" t="str">
        <f>_xlfn.XLOOKUP(Table1_1[[#This Row],[CAS_rn]],[1]analyte_order!$C:$C,[1]analyte_order!$B:$B)</f>
        <v>HFPO-DA</v>
      </c>
      <c r="G1190" t="s">
        <v>137</v>
      </c>
      <c r="H1190" s="2">
        <f>_xlfn.XLOOKUP(Table1_1[[#This Row],[CAS_rn]],[1]analyte_order!$C:$C,[1]analyte_order!$E:$E)</f>
        <v>34</v>
      </c>
      <c r="I1190">
        <v>0.29499999999999998</v>
      </c>
    </row>
    <row r="1191" spans="1:9" x14ac:dyDescent="0.3">
      <c r="A1191" s="2" t="s">
        <v>78</v>
      </c>
      <c r="B1191" s="3">
        <v>44308.5</v>
      </c>
      <c r="C1191" s="1" t="str">
        <f t="shared" si="18"/>
        <v>21113</v>
      </c>
      <c r="D1191" t="s">
        <v>31</v>
      </c>
      <c r="E1191" s="2" t="s">
        <v>27</v>
      </c>
      <c r="F1191" s="2" t="str">
        <f>_xlfn.XLOOKUP(Table1_1[[#This Row],[CAS_rn]],[1]analyte_order!$C:$C,[1]analyte_order!$B:$B)</f>
        <v>ADONA</v>
      </c>
      <c r="G1191" t="s">
        <v>138</v>
      </c>
      <c r="H1191" s="2">
        <f>_xlfn.XLOOKUP(Table1_1[[#This Row],[CAS_rn]],[1]analyte_order!$C:$C,[1]analyte_order!$E:$E)</f>
        <v>35</v>
      </c>
      <c r="I1191">
        <v>0.19500000000000001</v>
      </c>
    </row>
    <row r="1192" spans="1:9" x14ac:dyDescent="0.3">
      <c r="A1192" s="2" t="s">
        <v>78</v>
      </c>
      <c r="B1192" s="3">
        <v>44308.5</v>
      </c>
      <c r="C1192" s="1" t="str">
        <f t="shared" si="18"/>
        <v>21113</v>
      </c>
      <c r="D1192" t="s">
        <v>31</v>
      </c>
      <c r="E1192" s="2" t="s">
        <v>27</v>
      </c>
      <c r="F1192" s="2" t="str">
        <f>_xlfn.XLOOKUP(Table1_1[[#This Row],[CAS_rn]],[1]analyte_order!$C:$C,[1]analyte_order!$B:$B)</f>
        <v>PFMBA</v>
      </c>
      <c r="G1192" t="s">
        <v>139</v>
      </c>
      <c r="H1192" s="2">
        <f>_xlfn.XLOOKUP(Table1_1[[#This Row],[CAS_rn]],[1]analyte_order!$C:$C,[1]analyte_order!$E:$E)</f>
        <v>48</v>
      </c>
      <c r="I1192">
        <v>0.1</v>
      </c>
    </row>
    <row r="1193" spans="1:9" x14ac:dyDescent="0.3">
      <c r="A1193" s="2" t="s">
        <v>78</v>
      </c>
      <c r="B1193" s="3">
        <v>44308.5</v>
      </c>
      <c r="C1193" s="1" t="str">
        <f t="shared" si="18"/>
        <v>21113</v>
      </c>
      <c r="D1193" t="s">
        <v>31</v>
      </c>
      <c r="E1193" s="2" t="s">
        <v>27</v>
      </c>
      <c r="F1193" s="2" t="str">
        <f>_xlfn.XLOOKUP(Table1_1[[#This Row],[CAS_rn]],[1]analyte_order!$C:$C,[1]analyte_order!$B:$B)</f>
        <v>NFDHA</v>
      </c>
      <c r="G1193" t="s">
        <v>140</v>
      </c>
      <c r="H1193" s="2">
        <f>_xlfn.XLOOKUP(Table1_1[[#This Row],[CAS_rn]],[1]analyte_order!$C:$C,[1]analyte_order!$E:$E)</f>
        <v>50</v>
      </c>
      <c r="I1193">
        <v>0.1</v>
      </c>
    </row>
    <row r="1194" spans="1:9" x14ac:dyDescent="0.3">
      <c r="A1194" s="2" t="s">
        <v>78</v>
      </c>
      <c r="B1194" s="3">
        <v>44308.5</v>
      </c>
      <c r="C1194" s="1" t="str">
        <f t="shared" si="18"/>
        <v>21113</v>
      </c>
      <c r="D1194" t="s">
        <v>31</v>
      </c>
      <c r="E1194" s="2" t="s">
        <v>27</v>
      </c>
      <c r="F1194" s="2" t="str">
        <f>_xlfn.XLOOKUP(Table1_1[[#This Row],[CAS_rn]],[1]analyte_order!$C:$C,[1]analyte_order!$B:$B)</f>
        <v>9Cl-PF3ONS</v>
      </c>
      <c r="G1194" t="s">
        <v>141</v>
      </c>
      <c r="H1194" s="2">
        <f>_xlfn.XLOOKUP(Table1_1[[#This Row],[CAS_rn]],[1]analyte_order!$C:$C,[1]analyte_order!$E:$E)</f>
        <v>36</v>
      </c>
      <c r="I1194">
        <v>0.19500000000000001</v>
      </c>
    </row>
    <row r="1195" spans="1:9" x14ac:dyDescent="0.3">
      <c r="A1195" s="2" t="s">
        <v>78</v>
      </c>
      <c r="B1195" s="3">
        <v>44308.5</v>
      </c>
      <c r="C1195" s="1" t="str">
        <f t="shared" si="18"/>
        <v>21113</v>
      </c>
      <c r="D1195" t="s">
        <v>31</v>
      </c>
      <c r="E1195" s="2" t="s">
        <v>27</v>
      </c>
      <c r="F1195" s="2" t="str">
        <f>_xlfn.XLOOKUP(Table1_1[[#This Row],[CAS_rn]],[1]analyte_order!$C:$C,[1]analyte_order!$B:$B)</f>
        <v>11Cl-PF3OUdS</v>
      </c>
      <c r="G1195" t="s">
        <v>142</v>
      </c>
      <c r="H1195" s="2">
        <f>_xlfn.XLOOKUP(Table1_1[[#This Row],[CAS_rn]],[1]analyte_order!$C:$C,[1]analyte_order!$E:$E)</f>
        <v>37</v>
      </c>
      <c r="I1195">
        <v>0.19500000000000001</v>
      </c>
    </row>
    <row r="1196" spans="1:9" x14ac:dyDescent="0.3">
      <c r="A1196" s="2" t="s">
        <v>78</v>
      </c>
      <c r="B1196" s="3">
        <v>44308.5</v>
      </c>
      <c r="C1196" s="1" t="str">
        <f t="shared" si="18"/>
        <v>21113</v>
      </c>
      <c r="D1196" t="s">
        <v>31</v>
      </c>
      <c r="E1196" s="2" t="s">
        <v>27</v>
      </c>
      <c r="F1196" s="2" t="str">
        <f>_xlfn.XLOOKUP(Table1_1[[#This Row],[CAS_rn]],[1]analyte_order!$C:$C,[1]analyte_order!$B:$B)</f>
        <v>PFEESA</v>
      </c>
      <c r="G1196" t="s">
        <v>143</v>
      </c>
      <c r="H1196" s="2">
        <f>_xlfn.XLOOKUP(Table1_1[[#This Row],[CAS_rn]],[1]analyte_order!$C:$C,[1]analyte_order!$E:$E)</f>
        <v>47</v>
      </c>
      <c r="I1196">
        <v>0.1</v>
      </c>
    </row>
    <row r="1197" spans="1:9" x14ac:dyDescent="0.3">
      <c r="A1197" s="2" t="s">
        <v>78</v>
      </c>
      <c r="B1197" s="3">
        <v>44308.5</v>
      </c>
      <c r="C1197" s="1" t="str">
        <f t="shared" si="18"/>
        <v>21113</v>
      </c>
      <c r="D1197" t="s">
        <v>31</v>
      </c>
      <c r="E1197" s="2" t="s">
        <v>27</v>
      </c>
      <c r="F1197" s="2" t="str">
        <f>_xlfn.XLOOKUP(Table1_1[[#This Row],[CAS_rn]],[1]analyte_order!$C:$C,[1]analyte_order!$B:$B)</f>
        <v>3:3 FTCA</v>
      </c>
      <c r="G1197" t="s">
        <v>144</v>
      </c>
      <c r="H1197" s="2">
        <f>_xlfn.XLOOKUP(Table1_1[[#This Row],[CAS_rn]],[1]analyte_order!$C:$C,[1]analyte_order!$E:$E)</f>
        <v>38</v>
      </c>
      <c r="I1197">
        <v>0.245</v>
      </c>
    </row>
    <row r="1198" spans="1:9" x14ac:dyDescent="0.3">
      <c r="A1198" s="2" t="s">
        <v>78</v>
      </c>
      <c r="B1198" s="3">
        <v>44308.5</v>
      </c>
      <c r="C1198" s="1" t="str">
        <f t="shared" si="18"/>
        <v>21113</v>
      </c>
      <c r="D1198" t="s">
        <v>31</v>
      </c>
      <c r="E1198" s="2" t="s">
        <v>27</v>
      </c>
      <c r="F1198" s="2" t="str">
        <f>_xlfn.XLOOKUP(Table1_1[[#This Row],[CAS_rn]],[1]analyte_order!$C:$C,[1]analyte_order!$B:$B)</f>
        <v>5:3 FTCA</v>
      </c>
      <c r="G1198" t="s">
        <v>145</v>
      </c>
      <c r="H1198" s="2">
        <f>_xlfn.XLOOKUP(Table1_1[[#This Row],[CAS_rn]],[1]analyte_order!$C:$C,[1]analyte_order!$E:$E)</f>
        <v>39</v>
      </c>
      <c r="I1198">
        <v>1.25</v>
      </c>
    </row>
    <row r="1199" spans="1:9" x14ac:dyDescent="0.3">
      <c r="A1199" s="2" t="s">
        <v>78</v>
      </c>
      <c r="B1199" s="3">
        <v>44308.5</v>
      </c>
      <c r="C1199" s="1" t="str">
        <f t="shared" si="18"/>
        <v>21113</v>
      </c>
      <c r="D1199" t="s">
        <v>31</v>
      </c>
      <c r="E1199" s="2" t="s">
        <v>27</v>
      </c>
      <c r="F1199" s="2" t="str">
        <f>_xlfn.XLOOKUP(Table1_1[[#This Row],[CAS_rn]],[1]analyte_order!$C:$C,[1]analyte_order!$B:$B)</f>
        <v>7:3 FTCA</v>
      </c>
      <c r="G1199" t="s">
        <v>146</v>
      </c>
      <c r="H1199" s="2">
        <f>_xlfn.XLOOKUP(Table1_1[[#This Row],[CAS_rn]],[1]analyte_order!$C:$C,[1]analyte_order!$E:$E)</f>
        <v>40</v>
      </c>
      <c r="I1199">
        <v>1.25</v>
      </c>
    </row>
    <row r="1200" spans="1:9" x14ac:dyDescent="0.3">
      <c r="A1200" s="2" t="s">
        <v>78</v>
      </c>
      <c r="B1200" s="3">
        <v>44308.5</v>
      </c>
      <c r="C1200" s="1" t="str">
        <f t="shared" si="18"/>
        <v>21113</v>
      </c>
      <c r="D1200" t="s">
        <v>31</v>
      </c>
      <c r="E1200" s="2" t="s">
        <v>27</v>
      </c>
      <c r="F1200" s="2" t="str">
        <f>_xlfn.XLOOKUP(Table1_1[[#This Row],[CAS_rn]],[1]analyte_order!$C:$C,[1]analyte_order!$B:$B)</f>
        <v>PFDS</v>
      </c>
      <c r="G1200" t="s">
        <v>147</v>
      </c>
      <c r="H1200" s="2">
        <f>_xlfn.XLOOKUP(Table1_1[[#This Row],[CAS_rn]],[1]analyte_order!$C:$C,[1]analyte_order!$E:$E)</f>
        <v>20</v>
      </c>
      <c r="I1200">
        <v>4.9000000000000002E-2</v>
      </c>
    </row>
    <row r="1201" spans="1:9" x14ac:dyDescent="0.3">
      <c r="A1201" s="2" t="s">
        <v>78</v>
      </c>
      <c r="B1201" s="3">
        <v>44308.5</v>
      </c>
      <c r="C1201" s="1" t="str">
        <f t="shared" si="18"/>
        <v>21113</v>
      </c>
      <c r="D1201" t="s">
        <v>31</v>
      </c>
      <c r="E1201" s="2" t="s">
        <v>27</v>
      </c>
      <c r="F1201" s="2" t="str">
        <f>_xlfn.XLOOKUP(Table1_1[[#This Row],[CAS_rn]],[1]analyte_order!$C:$C,[1]analyte_order!$B:$B)</f>
        <v>PFMPA</v>
      </c>
      <c r="G1201" t="s">
        <v>148</v>
      </c>
      <c r="H1201" s="2">
        <f>_xlfn.XLOOKUP(Table1_1[[#This Row],[CAS_rn]],[1]analyte_order!$C:$C,[1]analyte_order!$E:$E)</f>
        <v>49</v>
      </c>
      <c r="I1201">
        <v>0.1</v>
      </c>
    </row>
    <row r="1202" spans="1:9" x14ac:dyDescent="0.3">
      <c r="A1202" s="2" t="s">
        <v>79</v>
      </c>
      <c r="B1202" s="3">
        <v>44308.5</v>
      </c>
      <c r="C1202" s="1" t="str">
        <f t="shared" si="18"/>
        <v>21113</v>
      </c>
      <c r="D1202" t="s">
        <v>33</v>
      </c>
      <c r="E1202" s="2" t="s">
        <v>27</v>
      </c>
      <c r="F1202" s="2" t="str">
        <f>_xlfn.XLOOKUP(Table1_1[[#This Row],[CAS_rn]],[1]analyte_order!$C:$C,[1]analyte_order!$B:$B)</f>
        <v>PFBA</v>
      </c>
      <c r="G1202" t="s">
        <v>109</v>
      </c>
      <c r="H1202" s="2">
        <f>_xlfn.XLOOKUP(Table1_1[[#This Row],[CAS_rn]],[1]analyte_order!$C:$C,[1]analyte_order!$E:$E)</f>
        <v>1</v>
      </c>
      <c r="I1202">
        <v>0.2</v>
      </c>
    </row>
    <row r="1203" spans="1:9" x14ac:dyDescent="0.3">
      <c r="A1203" s="2" t="s">
        <v>79</v>
      </c>
      <c r="B1203" s="3">
        <v>44308.5</v>
      </c>
      <c r="C1203" s="1" t="str">
        <f t="shared" si="18"/>
        <v>21113</v>
      </c>
      <c r="D1203" t="s">
        <v>33</v>
      </c>
      <c r="E1203" s="2" t="s">
        <v>27</v>
      </c>
      <c r="F1203" s="2" t="str">
        <f>_xlfn.XLOOKUP(Table1_1[[#This Row],[CAS_rn]],[1]analyte_order!$C:$C,[1]analyte_order!$B:$B)</f>
        <v>PFPeA</v>
      </c>
      <c r="G1203" t="s">
        <v>110</v>
      </c>
      <c r="H1203" s="2">
        <f>_xlfn.XLOOKUP(Table1_1[[#This Row],[CAS_rn]],[1]analyte_order!$C:$C,[1]analyte_order!$E:$E)</f>
        <v>2</v>
      </c>
      <c r="I1203">
        <v>0.1</v>
      </c>
    </row>
    <row r="1204" spans="1:9" x14ac:dyDescent="0.3">
      <c r="A1204" s="2" t="s">
        <v>79</v>
      </c>
      <c r="B1204" s="3">
        <v>44308.5</v>
      </c>
      <c r="C1204" s="1" t="str">
        <f t="shared" si="18"/>
        <v>21113</v>
      </c>
      <c r="D1204" t="s">
        <v>33</v>
      </c>
      <c r="E1204" s="2" t="s">
        <v>27</v>
      </c>
      <c r="F1204" s="2" t="str">
        <f>_xlfn.XLOOKUP(Table1_1[[#This Row],[CAS_rn]],[1]analyte_order!$C:$C,[1]analyte_order!$B:$B)</f>
        <v>PFHxA</v>
      </c>
      <c r="G1204" t="s">
        <v>111</v>
      </c>
      <c r="H1204" s="2">
        <f>_xlfn.XLOOKUP(Table1_1[[#This Row],[CAS_rn]],[1]analyte_order!$C:$C,[1]analyte_order!$E:$E)</f>
        <v>3</v>
      </c>
      <c r="I1204">
        <v>0.09</v>
      </c>
    </row>
    <row r="1205" spans="1:9" x14ac:dyDescent="0.3">
      <c r="A1205" s="2" t="s">
        <v>79</v>
      </c>
      <c r="B1205" s="3">
        <v>44308.5</v>
      </c>
      <c r="C1205" s="1" t="str">
        <f t="shared" si="18"/>
        <v>21113</v>
      </c>
      <c r="D1205" t="s">
        <v>33</v>
      </c>
      <c r="E1205" s="2" t="s">
        <v>27</v>
      </c>
      <c r="F1205" s="2" t="str">
        <f>_xlfn.XLOOKUP(Table1_1[[#This Row],[CAS_rn]],[1]analyte_order!$C:$C,[1]analyte_order!$B:$B)</f>
        <v>PFHpA</v>
      </c>
      <c r="G1205" t="s">
        <v>112</v>
      </c>
      <c r="H1205" s="2">
        <f>_xlfn.XLOOKUP(Table1_1[[#This Row],[CAS_rn]],[1]analyte_order!$C:$C,[1]analyte_order!$E:$E)</f>
        <v>4</v>
      </c>
      <c r="I1205">
        <v>0.09</v>
      </c>
    </row>
    <row r="1206" spans="1:9" x14ac:dyDescent="0.3">
      <c r="A1206" s="2" t="s">
        <v>79</v>
      </c>
      <c r="B1206" s="3">
        <v>44308.5</v>
      </c>
      <c r="C1206" s="1" t="str">
        <f t="shared" si="18"/>
        <v>21113</v>
      </c>
      <c r="D1206" t="s">
        <v>33</v>
      </c>
      <c r="E1206" s="2" t="s">
        <v>27</v>
      </c>
      <c r="F1206" s="2" t="str">
        <f>_xlfn.XLOOKUP(Table1_1[[#This Row],[CAS_rn]],[1]analyte_order!$C:$C,[1]analyte_order!$B:$B)</f>
        <v>PFOA</v>
      </c>
      <c r="G1206" t="s">
        <v>113</v>
      </c>
      <c r="H1206" s="2">
        <f>_xlfn.XLOOKUP(Table1_1[[#This Row],[CAS_rn]],[1]analyte_order!$C:$C,[1]analyte_order!$E:$E)</f>
        <v>5</v>
      </c>
      <c r="I1206">
        <v>0.16</v>
      </c>
    </row>
    <row r="1207" spans="1:9" x14ac:dyDescent="0.3">
      <c r="A1207" s="2" t="s">
        <v>79</v>
      </c>
      <c r="B1207" s="3">
        <v>44308.5</v>
      </c>
      <c r="C1207" s="1" t="str">
        <f t="shared" si="18"/>
        <v>21113</v>
      </c>
      <c r="D1207" t="s">
        <v>33</v>
      </c>
      <c r="E1207" s="2" t="s">
        <v>27</v>
      </c>
      <c r="F1207" s="2" t="str">
        <f>_xlfn.XLOOKUP(Table1_1[[#This Row],[CAS_rn]],[1]analyte_order!$C:$C,[1]analyte_order!$B:$B)</f>
        <v>PFNA</v>
      </c>
      <c r="G1207" t="s">
        <v>114</v>
      </c>
      <c r="H1207" s="2">
        <f>_xlfn.XLOOKUP(Table1_1[[#This Row],[CAS_rn]],[1]analyte_order!$C:$C,[1]analyte_order!$E:$E)</f>
        <v>6</v>
      </c>
      <c r="I1207">
        <v>0.05</v>
      </c>
    </row>
    <row r="1208" spans="1:9" x14ac:dyDescent="0.3">
      <c r="A1208" s="2" t="s">
        <v>79</v>
      </c>
      <c r="B1208" s="3">
        <v>44308.5</v>
      </c>
      <c r="C1208" s="1" t="str">
        <f t="shared" si="18"/>
        <v>21113</v>
      </c>
      <c r="D1208" t="s">
        <v>33</v>
      </c>
      <c r="E1208" s="2" t="s">
        <v>27</v>
      </c>
      <c r="F1208" s="2" t="str">
        <f>_xlfn.XLOOKUP(Table1_1[[#This Row],[CAS_rn]],[1]analyte_order!$C:$C,[1]analyte_order!$B:$B)</f>
        <v>PFDA</v>
      </c>
      <c r="G1208" t="s">
        <v>115</v>
      </c>
      <c r="H1208" s="2">
        <f>_xlfn.XLOOKUP(Table1_1[[#This Row],[CAS_rn]],[1]analyte_order!$C:$C,[1]analyte_order!$E:$E)</f>
        <v>7</v>
      </c>
      <c r="I1208">
        <v>0.05</v>
      </c>
    </row>
    <row r="1209" spans="1:9" x14ac:dyDescent="0.3">
      <c r="A1209" s="2" t="s">
        <v>79</v>
      </c>
      <c r="B1209" s="3">
        <v>44308.5</v>
      </c>
      <c r="C1209" s="1" t="str">
        <f t="shared" si="18"/>
        <v>21113</v>
      </c>
      <c r="D1209" t="s">
        <v>33</v>
      </c>
      <c r="E1209" s="2" t="s">
        <v>27</v>
      </c>
      <c r="F1209" s="2" t="str">
        <f>_xlfn.XLOOKUP(Table1_1[[#This Row],[CAS_rn]],[1]analyte_order!$C:$C,[1]analyte_order!$B:$B)</f>
        <v>PFUnA</v>
      </c>
      <c r="G1209" t="s">
        <v>116</v>
      </c>
      <c r="H1209" s="2">
        <f>_xlfn.XLOOKUP(Table1_1[[#This Row],[CAS_rn]],[1]analyte_order!$C:$C,[1]analyte_order!$E:$E)</f>
        <v>8</v>
      </c>
      <c r="I1209">
        <v>0.05</v>
      </c>
    </row>
    <row r="1210" spans="1:9" x14ac:dyDescent="0.3">
      <c r="A1210" s="2" t="s">
        <v>79</v>
      </c>
      <c r="B1210" s="3">
        <v>44308.5</v>
      </c>
      <c r="C1210" s="1" t="str">
        <f t="shared" si="18"/>
        <v>21113</v>
      </c>
      <c r="D1210" t="s">
        <v>33</v>
      </c>
      <c r="E1210" s="2" t="s">
        <v>27</v>
      </c>
      <c r="F1210" s="2" t="str">
        <f>_xlfn.XLOOKUP(Table1_1[[#This Row],[CAS_rn]],[1]analyte_order!$C:$C,[1]analyte_order!$B:$B)</f>
        <v>PFDoA</v>
      </c>
      <c r="G1210" t="s">
        <v>117</v>
      </c>
      <c r="H1210" s="2">
        <f>_xlfn.XLOOKUP(Table1_1[[#This Row],[CAS_rn]],[1]analyte_order!$C:$C,[1]analyte_order!$E:$E)</f>
        <v>9</v>
      </c>
      <c r="I1210">
        <v>0.05</v>
      </c>
    </row>
    <row r="1211" spans="1:9" x14ac:dyDescent="0.3">
      <c r="A1211" s="2" t="s">
        <v>79</v>
      </c>
      <c r="B1211" s="3">
        <v>44308.5</v>
      </c>
      <c r="C1211" s="1" t="str">
        <f t="shared" si="18"/>
        <v>21113</v>
      </c>
      <c r="D1211" t="s">
        <v>33</v>
      </c>
      <c r="E1211" s="2" t="s">
        <v>27</v>
      </c>
      <c r="F1211" s="2" t="str">
        <f>_xlfn.XLOOKUP(Table1_1[[#This Row],[CAS_rn]],[1]analyte_order!$C:$C,[1]analyte_order!$B:$B)</f>
        <v>PFTrDA</v>
      </c>
      <c r="G1211" t="s">
        <v>118</v>
      </c>
      <c r="H1211" s="2">
        <f>_xlfn.XLOOKUP(Table1_1[[#This Row],[CAS_rn]],[1]analyte_order!$C:$C,[1]analyte_order!$E:$E)</f>
        <v>10</v>
      </c>
      <c r="I1211">
        <v>0.05</v>
      </c>
    </row>
    <row r="1212" spans="1:9" x14ac:dyDescent="0.3">
      <c r="A1212" s="2" t="s">
        <v>79</v>
      </c>
      <c r="B1212" s="3">
        <v>44308.5</v>
      </c>
      <c r="C1212" s="1" t="str">
        <f t="shared" si="18"/>
        <v>21113</v>
      </c>
      <c r="D1212" t="s">
        <v>33</v>
      </c>
      <c r="E1212" s="2" t="s">
        <v>27</v>
      </c>
      <c r="F1212" s="2" t="str">
        <f>_xlfn.XLOOKUP(Table1_1[[#This Row],[CAS_rn]],[1]analyte_order!$C:$C,[1]analyte_order!$B:$B)</f>
        <v>PFTeDA</v>
      </c>
      <c r="G1212" t="s">
        <v>119</v>
      </c>
      <c r="H1212" s="2">
        <f>_xlfn.XLOOKUP(Table1_1[[#This Row],[CAS_rn]],[1]analyte_order!$C:$C,[1]analyte_order!$E:$E)</f>
        <v>11</v>
      </c>
      <c r="I1212">
        <v>0.05</v>
      </c>
    </row>
    <row r="1213" spans="1:9" x14ac:dyDescent="0.3">
      <c r="A1213" s="2" t="s">
        <v>79</v>
      </c>
      <c r="B1213" s="3">
        <v>44308.5</v>
      </c>
      <c r="C1213" s="1" t="str">
        <f t="shared" si="18"/>
        <v>21113</v>
      </c>
      <c r="D1213" t="s">
        <v>33</v>
      </c>
      <c r="E1213" s="2" t="s">
        <v>27</v>
      </c>
      <c r="F1213" s="2" t="str">
        <f>_xlfn.XLOOKUP(Table1_1[[#This Row],[CAS_rn]],[1]analyte_order!$C:$C,[1]analyte_order!$B:$B)</f>
        <v>PFBS</v>
      </c>
      <c r="G1213" t="s">
        <v>120</v>
      </c>
      <c r="H1213" s="2">
        <f>_xlfn.XLOOKUP(Table1_1[[#This Row],[CAS_rn]],[1]analyte_order!$C:$C,[1]analyte_order!$E:$E)</f>
        <v>14</v>
      </c>
      <c r="I1213">
        <v>0.05</v>
      </c>
    </row>
    <row r="1214" spans="1:9" x14ac:dyDescent="0.3">
      <c r="A1214" s="2" t="s">
        <v>79</v>
      </c>
      <c r="B1214" s="3">
        <v>44308.5</v>
      </c>
      <c r="C1214" s="1" t="str">
        <f t="shared" si="18"/>
        <v>21113</v>
      </c>
      <c r="D1214" t="s">
        <v>33</v>
      </c>
      <c r="E1214" s="2" t="s">
        <v>27</v>
      </c>
      <c r="F1214" s="2" t="str">
        <f>_xlfn.XLOOKUP(Table1_1[[#This Row],[CAS_rn]],[1]analyte_order!$C:$C,[1]analyte_order!$B:$B)</f>
        <v>PFPeS</v>
      </c>
      <c r="G1214" t="s">
        <v>121</v>
      </c>
      <c r="H1214" s="2">
        <f>_xlfn.XLOOKUP(Table1_1[[#This Row],[CAS_rn]],[1]analyte_order!$C:$C,[1]analyte_order!$E:$E)</f>
        <v>15</v>
      </c>
      <c r="I1214">
        <v>0.05</v>
      </c>
    </row>
    <row r="1215" spans="1:9" x14ac:dyDescent="0.3">
      <c r="A1215" s="2" t="s">
        <v>79</v>
      </c>
      <c r="B1215" s="3">
        <v>44308.5</v>
      </c>
      <c r="C1215" s="1" t="str">
        <f t="shared" si="18"/>
        <v>21113</v>
      </c>
      <c r="D1215" t="s">
        <v>33</v>
      </c>
      <c r="E1215" s="2" t="s">
        <v>27</v>
      </c>
      <c r="F1215" s="2" t="str">
        <f>_xlfn.XLOOKUP(Table1_1[[#This Row],[CAS_rn]],[1]analyte_order!$C:$C,[1]analyte_order!$B:$B)</f>
        <v>PFHxS</v>
      </c>
      <c r="G1215" t="s">
        <v>122</v>
      </c>
      <c r="H1215" s="2">
        <f>_xlfn.XLOOKUP(Table1_1[[#This Row],[CAS_rn]],[1]analyte_order!$C:$C,[1]analyte_order!$E:$E)</f>
        <v>16</v>
      </c>
      <c r="I1215">
        <v>0.33</v>
      </c>
    </row>
    <row r="1216" spans="1:9" x14ac:dyDescent="0.3">
      <c r="A1216" s="2" t="s">
        <v>79</v>
      </c>
      <c r="B1216" s="3">
        <v>44308.5</v>
      </c>
      <c r="C1216" s="1" t="str">
        <f t="shared" si="18"/>
        <v>21113</v>
      </c>
      <c r="D1216" t="s">
        <v>33</v>
      </c>
      <c r="E1216" s="2" t="s">
        <v>27</v>
      </c>
      <c r="F1216" s="2" t="str">
        <f>_xlfn.XLOOKUP(Table1_1[[#This Row],[CAS_rn]],[1]analyte_order!$C:$C,[1]analyte_order!$B:$B)</f>
        <v>PFHpS</v>
      </c>
      <c r="G1216" t="s">
        <v>123</v>
      </c>
      <c r="H1216" s="2">
        <f>_xlfn.XLOOKUP(Table1_1[[#This Row],[CAS_rn]],[1]analyte_order!$C:$C,[1]analyte_order!$E:$E)</f>
        <v>17</v>
      </c>
      <c r="I1216">
        <v>0.05</v>
      </c>
    </row>
    <row r="1217" spans="1:9" x14ac:dyDescent="0.3">
      <c r="A1217" s="2" t="s">
        <v>79</v>
      </c>
      <c r="B1217" s="3">
        <v>44308.5</v>
      </c>
      <c r="C1217" s="1" t="str">
        <f t="shared" si="18"/>
        <v>21113</v>
      </c>
      <c r="D1217" t="s">
        <v>33</v>
      </c>
      <c r="E1217" s="2" t="s">
        <v>27</v>
      </c>
      <c r="F1217" s="2" t="str">
        <f>_xlfn.XLOOKUP(Table1_1[[#This Row],[CAS_rn]],[1]analyte_order!$C:$C,[1]analyte_order!$B:$B)</f>
        <v>PFOS</v>
      </c>
      <c r="G1217" t="s">
        <v>124</v>
      </c>
      <c r="H1217" s="2">
        <f>_xlfn.XLOOKUP(Table1_1[[#This Row],[CAS_rn]],[1]analyte_order!$C:$C,[1]analyte_order!$E:$E)</f>
        <v>18</v>
      </c>
      <c r="I1217">
        <v>1.4</v>
      </c>
    </row>
    <row r="1218" spans="1:9" x14ac:dyDescent="0.3">
      <c r="A1218" s="2" t="s">
        <v>79</v>
      </c>
      <c r="B1218" s="3">
        <v>44308.5</v>
      </c>
      <c r="C1218" s="1" t="str">
        <f t="shared" si="18"/>
        <v>21113</v>
      </c>
      <c r="D1218" t="s">
        <v>33</v>
      </c>
      <c r="E1218" s="2" t="s">
        <v>27</v>
      </c>
      <c r="F1218" s="2" t="str">
        <f>_xlfn.XLOOKUP(Table1_1[[#This Row],[CAS_rn]],[1]analyte_order!$C:$C,[1]analyte_order!$B:$B)</f>
        <v>PFNS</v>
      </c>
      <c r="G1218" t="s">
        <v>125</v>
      </c>
      <c r="H1218" s="2">
        <f>_xlfn.XLOOKUP(Table1_1[[#This Row],[CAS_rn]],[1]analyte_order!$C:$C,[1]analyte_order!$E:$E)</f>
        <v>19</v>
      </c>
      <c r="I1218">
        <v>0.05</v>
      </c>
    </row>
    <row r="1219" spans="1:9" x14ac:dyDescent="0.3">
      <c r="A1219" s="2" t="s">
        <v>79</v>
      </c>
      <c r="B1219" s="3">
        <v>44308.5</v>
      </c>
      <c r="C1219" s="1" t="str">
        <f t="shared" ref="C1219:C1282" si="19">TEXT(B1219,"yy")&amp;TEXT((B1219-DATEVALUE("1/1/"&amp;TEXT(B1219,"yy"))+1),"000")</f>
        <v>21113</v>
      </c>
      <c r="D1219" t="s">
        <v>33</v>
      </c>
      <c r="E1219" s="2" t="s">
        <v>27</v>
      </c>
      <c r="F1219" s="2" t="str">
        <f>_xlfn.XLOOKUP(Table1_1[[#This Row],[CAS_rn]],[1]analyte_order!$C:$C,[1]analyte_order!$B:$B)</f>
        <v>PFDoS</v>
      </c>
      <c r="G1219" t="s">
        <v>126</v>
      </c>
      <c r="H1219" s="2">
        <f>_xlfn.XLOOKUP(Table1_1[[#This Row],[CAS_rn]],[1]analyte_order!$C:$C,[1]analyte_order!$E:$E)</f>
        <v>21</v>
      </c>
      <c r="I1219">
        <v>0.05</v>
      </c>
    </row>
    <row r="1220" spans="1:9" x14ac:dyDescent="0.3">
      <c r="A1220" s="2" t="s">
        <v>79</v>
      </c>
      <c r="B1220" s="3">
        <v>44308.5</v>
      </c>
      <c r="C1220" s="1" t="str">
        <f t="shared" si="19"/>
        <v>21113</v>
      </c>
      <c r="D1220" t="s">
        <v>33</v>
      </c>
      <c r="E1220" s="2" t="s">
        <v>27</v>
      </c>
      <c r="F1220" s="2" t="str">
        <f>_xlfn.XLOOKUP(Table1_1[[#This Row],[CAS_rn]],[1]analyte_order!$C:$C,[1]analyte_order!$B:$B)</f>
        <v>4:2 FTS</v>
      </c>
      <c r="G1220" t="s">
        <v>127</v>
      </c>
      <c r="H1220" s="2">
        <f>_xlfn.XLOOKUP(Table1_1[[#This Row],[CAS_rn]],[1]analyte_order!$C:$C,[1]analyte_order!$E:$E)</f>
        <v>22</v>
      </c>
      <c r="I1220">
        <v>0.2</v>
      </c>
    </row>
    <row r="1221" spans="1:9" x14ac:dyDescent="0.3">
      <c r="A1221" s="2" t="s">
        <v>79</v>
      </c>
      <c r="B1221" s="3">
        <v>44308.5</v>
      </c>
      <c r="C1221" s="1" t="str">
        <f t="shared" si="19"/>
        <v>21113</v>
      </c>
      <c r="D1221" t="s">
        <v>33</v>
      </c>
      <c r="E1221" s="2" t="s">
        <v>27</v>
      </c>
      <c r="F1221" s="2" t="str">
        <f>_xlfn.XLOOKUP(Table1_1[[#This Row],[CAS_rn]],[1]analyte_order!$C:$C,[1]analyte_order!$B:$B)</f>
        <v>6:2 FTS</v>
      </c>
      <c r="G1221" t="s">
        <v>128</v>
      </c>
      <c r="H1221" s="2">
        <f>_xlfn.XLOOKUP(Table1_1[[#This Row],[CAS_rn]],[1]analyte_order!$C:$C,[1]analyte_order!$E:$E)</f>
        <v>23</v>
      </c>
      <c r="I1221">
        <v>0.4</v>
      </c>
    </row>
    <row r="1222" spans="1:9" x14ac:dyDescent="0.3">
      <c r="A1222" s="2" t="s">
        <v>79</v>
      </c>
      <c r="B1222" s="3">
        <v>44308.5</v>
      </c>
      <c r="C1222" s="1" t="str">
        <f t="shared" si="19"/>
        <v>21113</v>
      </c>
      <c r="D1222" t="s">
        <v>33</v>
      </c>
      <c r="E1222" s="2" t="s">
        <v>27</v>
      </c>
      <c r="F1222" s="2" t="str">
        <f>_xlfn.XLOOKUP(Table1_1[[#This Row],[CAS_rn]],[1]analyte_order!$C:$C,[1]analyte_order!$B:$B)</f>
        <v>8:2 FTS</v>
      </c>
      <c r="G1222" t="s">
        <v>129</v>
      </c>
      <c r="H1222" s="2">
        <f>_xlfn.XLOOKUP(Table1_1[[#This Row],[CAS_rn]],[1]analyte_order!$C:$C,[1]analyte_order!$E:$E)</f>
        <v>24</v>
      </c>
      <c r="I1222">
        <v>0.4</v>
      </c>
    </row>
    <row r="1223" spans="1:9" x14ac:dyDescent="0.3">
      <c r="A1223" s="2" t="s">
        <v>79</v>
      </c>
      <c r="B1223" s="3">
        <v>44308.5</v>
      </c>
      <c r="C1223" s="1" t="str">
        <f t="shared" si="19"/>
        <v>21113</v>
      </c>
      <c r="D1223" t="s">
        <v>33</v>
      </c>
      <c r="E1223" s="2" t="s">
        <v>27</v>
      </c>
      <c r="F1223" s="2" t="str">
        <f>_xlfn.XLOOKUP(Table1_1[[#This Row],[CAS_rn]],[1]analyte_order!$C:$C,[1]analyte_order!$B:$B)</f>
        <v>FOSA</v>
      </c>
      <c r="G1223" t="s">
        <v>130</v>
      </c>
      <c r="H1223" s="2">
        <f>_xlfn.XLOOKUP(Table1_1[[#This Row],[CAS_rn]],[1]analyte_order!$C:$C,[1]analyte_order!$E:$E)</f>
        <v>28</v>
      </c>
      <c r="I1223">
        <v>9.8000000000000004E-2</v>
      </c>
    </row>
    <row r="1224" spans="1:9" x14ac:dyDescent="0.3">
      <c r="A1224" s="2" t="s">
        <v>79</v>
      </c>
      <c r="B1224" s="3">
        <v>44308.5</v>
      </c>
      <c r="C1224" s="1" t="str">
        <f t="shared" si="19"/>
        <v>21113</v>
      </c>
      <c r="D1224" t="s">
        <v>33</v>
      </c>
      <c r="E1224" s="2" t="s">
        <v>27</v>
      </c>
      <c r="F1224" s="2" t="str">
        <f>_xlfn.XLOOKUP(Table1_1[[#This Row],[CAS_rn]],[1]analyte_order!$C:$C,[1]analyte_order!$B:$B)</f>
        <v>N-MeFOSA</v>
      </c>
      <c r="G1224" t="s">
        <v>131</v>
      </c>
      <c r="H1224" s="2">
        <f>_xlfn.XLOOKUP(Table1_1[[#This Row],[CAS_rn]],[1]analyte_order!$C:$C,[1]analyte_order!$E:$E)</f>
        <v>30</v>
      </c>
      <c r="I1224">
        <v>0.05</v>
      </c>
    </row>
    <row r="1225" spans="1:9" x14ac:dyDescent="0.3">
      <c r="A1225" s="2" t="s">
        <v>79</v>
      </c>
      <c r="B1225" s="3">
        <v>44308.5</v>
      </c>
      <c r="C1225" s="1" t="str">
        <f t="shared" si="19"/>
        <v>21113</v>
      </c>
      <c r="D1225" t="s">
        <v>33</v>
      </c>
      <c r="E1225" s="2" t="s">
        <v>27</v>
      </c>
      <c r="F1225" s="2" t="str">
        <f>_xlfn.XLOOKUP(Table1_1[[#This Row],[CAS_rn]],[1]analyte_order!$C:$C,[1]analyte_order!$B:$B)</f>
        <v>N-MeFOSAA</v>
      </c>
      <c r="G1225" t="s">
        <v>132</v>
      </c>
      <c r="H1225" s="2">
        <f>_xlfn.XLOOKUP(Table1_1[[#This Row],[CAS_rn]],[1]analyte_order!$C:$C,[1]analyte_order!$E:$E)</f>
        <v>26</v>
      </c>
      <c r="I1225">
        <v>0.05</v>
      </c>
    </row>
    <row r="1226" spans="1:9" x14ac:dyDescent="0.3">
      <c r="A1226" s="2" t="s">
        <v>79</v>
      </c>
      <c r="B1226" s="3">
        <v>44308.5</v>
      </c>
      <c r="C1226" s="1" t="str">
        <f t="shared" si="19"/>
        <v>21113</v>
      </c>
      <c r="D1226" t="s">
        <v>33</v>
      </c>
      <c r="E1226" s="2" t="s">
        <v>27</v>
      </c>
      <c r="F1226" s="2" t="str">
        <f>_xlfn.XLOOKUP(Table1_1[[#This Row],[CAS_rn]],[1]analyte_order!$C:$C,[1]analyte_order!$B:$B)</f>
        <v>N-EtFOSA</v>
      </c>
      <c r="G1226" t="s">
        <v>133</v>
      </c>
      <c r="H1226" s="2">
        <f>_xlfn.XLOOKUP(Table1_1[[#This Row],[CAS_rn]],[1]analyte_order!$C:$C,[1]analyte_order!$E:$E)</f>
        <v>31</v>
      </c>
      <c r="I1226">
        <v>0.05</v>
      </c>
    </row>
    <row r="1227" spans="1:9" x14ac:dyDescent="0.3">
      <c r="A1227" s="2" t="s">
        <v>79</v>
      </c>
      <c r="B1227" s="3">
        <v>44308.5</v>
      </c>
      <c r="C1227" s="1" t="str">
        <f t="shared" si="19"/>
        <v>21113</v>
      </c>
      <c r="D1227" t="s">
        <v>33</v>
      </c>
      <c r="E1227" s="2" t="s">
        <v>27</v>
      </c>
      <c r="F1227" s="2" t="str">
        <f>_xlfn.XLOOKUP(Table1_1[[#This Row],[CAS_rn]],[1]analyte_order!$C:$C,[1]analyte_order!$B:$B)</f>
        <v>N-EtFOSAA</v>
      </c>
      <c r="G1227" t="s">
        <v>134</v>
      </c>
      <c r="H1227" s="2">
        <f>_xlfn.XLOOKUP(Table1_1[[#This Row],[CAS_rn]],[1]analyte_order!$C:$C,[1]analyte_order!$E:$E)</f>
        <v>27</v>
      </c>
      <c r="I1227">
        <v>0.05</v>
      </c>
    </row>
    <row r="1228" spans="1:9" x14ac:dyDescent="0.3">
      <c r="A1228" s="2" t="s">
        <v>79</v>
      </c>
      <c r="B1228" s="3">
        <v>44308.5</v>
      </c>
      <c r="C1228" s="1" t="str">
        <f t="shared" si="19"/>
        <v>21113</v>
      </c>
      <c r="D1228" t="s">
        <v>33</v>
      </c>
      <c r="E1228" s="2" t="s">
        <v>27</v>
      </c>
      <c r="F1228" s="2" t="str">
        <f>_xlfn.XLOOKUP(Table1_1[[#This Row],[CAS_rn]],[1]analyte_order!$C:$C,[1]analyte_order!$B:$B)</f>
        <v>N-MeFOSE</v>
      </c>
      <c r="G1228" t="s">
        <v>135</v>
      </c>
      <c r="H1228" s="2">
        <f>_xlfn.XLOOKUP(Table1_1[[#This Row],[CAS_rn]],[1]analyte_order!$C:$C,[1]analyte_order!$E:$E)</f>
        <v>32</v>
      </c>
      <c r="I1228">
        <v>0.5</v>
      </c>
    </row>
    <row r="1229" spans="1:9" x14ac:dyDescent="0.3">
      <c r="A1229" s="2" t="s">
        <v>79</v>
      </c>
      <c r="B1229" s="3">
        <v>44308.5</v>
      </c>
      <c r="C1229" s="1" t="str">
        <f t="shared" si="19"/>
        <v>21113</v>
      </c>
      <c r="D1229" t="s">
        <v>33</v>
      </c>
      <c r="E1229" s="2" t="s">
        <v>27</v>
      </c>
      <c r="F1229" s="2" t="str">
        <f>_xlfn.XLOOKUP(Table1_1[[#This Row],[CAS_rn]],[1]analyte_order!$C:$C,[1]analyte_order!$B:$B)</f>
        <v>N-EtFOSE</v>
      </c>
      <c r="G1229" t="s">
        <v>136</v>
      </c>
      <c r="H1229" s="2">
        <f>_xlfn.XLOOKUP(Table1_1[[#This Row],[CAS_rn]],[1]analyte_order!$C:$C,[1]analyte_order!$E:$E)</f>
        <v>33</v>
      </c>
      <c r="I1229">
        <v>0.5</v>
      </c>
    </row>
    <row r="1230" spans="1:9" x14ac:dyDescent="0.3">
      <c r="A1230" s="2" t="s">
        <v>79</v>
      </c>
      <c r="B1230" s="3">
        <v>44308.5</v>
      </c>
      <c r="C1230" s="1" t="str">
        <f t="shared" si="19"/>
        <v>21113</v>
      </c>
      <c r="D1230" t="s">
        <v>33</v>
      </c>
      <c r="E1230" s="2" t="s">
        <v>27</v>
      </c>
      <c r="F1230" s="2" t="str">
        <f>_xlfn.XLOOKUP(Table1_1[[#This Row],[CAS_rn]],[1]analyte_order!$C:$C,[1]analyte_order!$B:$B)</f>
        <v>HFPO-DA</v>
      </c>
      <c r="G1230" t="s">
        <v>137</v>
      </c>
      <c r="H1230" s="2">
        <f>_xlfn.XLOOKUP(Table1_1[[#This Row],[CAS_rn]],[1]analyte_order!$C:$C,[1]analyte_order!$E:$E)</f>
        <v>34</v>
      </c>
      <c r="I1230">
        <v>0.3</v>
      </c>
    </row>
    <row r="1231" spans="1:9" x14ac:dyDescent="0.3">
      <c r="A1231" s="2" t="s">
        <v>79</v>
      </c>
      <c r="B1231" s="3">
        <v>44308.5</v>
      </c>
      <c r="C1231" s="1" t="str">
        <f t="shared" si="19"/>
        <v>21113</v>
      </c>
      <c r="D1231" t="s">
        <v>33</v>
      </c>
      <c r="E1231" s="2" t="s">
        <v>27</v>
      </c>
      <c r="F1231" s="2" t="str">
        <f>_xlfn.XLOOKUP(Table1_1[[#This Row],[CAS_rn]],[1]analyte_order!$C:$C,[1]analyte_order!$B:$B)</f>
        <v>ADONA</v>
      </c>
      <c r="G1231" t="s">
        <v>138</v>
      </c>
      <c r="H1231" s="2">
        <f>_xlfn.XLOOKUP(Table1_1[[#This Row],[CAS_rn]],[1]analyte_order!$C:$C,[1]analyte_order!$E:$E)</f>
        <v>35</v>
      </c>
      <c r="I1231">
        <v>0.2</v>
      </c>
    </row>
    <row r="1232" spans="1:9" x14ac:dyDescent="0.3">
      <c r="A1232" s="2" t="s">
        <v>79</v>
      </c>
      <c r="B1232" s="3">
        <v>44308.5</v>
      </c>
      <c r="C1232" s="1" t="str">
        <f t="shared" si="19"/>
        <v>21113</v>
      </c>
      <c r="D1232" t="s">
        <v>33</v>
      </c>
      <c r="E1232" s="2" t="s">
        <v>27</v>
      </c>
      <c r="F1232" s="2" t="str">
        <f>_xlfn.XLOOKUP(Table1_1[[#This Row],[CAS_rn]],[1]analyte_order!$C:$C,[1]analyte_order!$B:$B)</f>
        <v>PFMBA</v>
      </c>
      <c r="G1232" t="s">
        <v>139</v>
      </c>
      <c r="H1232" s="2">
        <f>_xlfn.XLOOKUP(Table1_1[[#This Row],[CAS_rn]],[1]analyte_order!$C:$C,[1]analyte_order!$E:$E)</f>
        <v>48</v>
      </c>
      <c r="I1232">
        <v>0.1</v>
      </c>
    </row>
    <row r="1233" spans="1:9" x14ac:dyDescent="0.3">
      <c r="A1233" s="2" t="s">
        <v>79</v>
      </c>
      <c r="B1233" s="3">
        <v>44308.5</v>
      </c>
      <c r="C1233" s="1" t="str">
        <f t="shared" si="19"/>
        <v>21113</v>
      </c>
      <c r="D1233" t="s">
        <v>33</v>
      </c>
      <c r="E1233" s="2" t="s">
        <v>27</v>
      </c>
      <c r="F1233" s="2" t="str">
        <f>_xlfn.XLOOKUP(Table1_1[[#This Row],[CAS_rn]],[1]analyte_order!$C:$C,[1]analyte_order!$B:$B)</f>
        <v>NFDHA</v>
      </c>
      <c r="G1233" t="s">
        <v>140</v>
      </c>
      <c r="H1233" s="2">
        <f>_xlfn.XLOOKUP(Table1_1[[#This Row],[CAS_rn]],[1]analyte_order!$C:$C,[1]analyte_order!$E:$E)</f>
        <v>50</v>
      </c>
      <c r="I1233">
        <v>0.1</v>
      </c>
    </row>
    <row r="1234" spans="1:9" x14ac:dyDescent="0.3">
      <c r="A1234" s="2" t="s">
        <v>79</v>
      </c>
      <c r="B1234" s="3">
        <v>44308.5</v>
      </c>
      <c r="C1234" s="1" t="str">
        <f t="shared" si="19"/>
        <v>21113</v>
      </c>
      <c r="D1234" t="s">
        <v>33</v>
      </c>
      <c r="E1234" s="2" t="s">
        <v>27</v>
      </c>
      <c r="F1234" s="2" t="str">
        <f>_xlfn.XLOOKUP(Table1_1[[#This Row],[CAS_rn]],[1]analyte_order!$C:$C,[1]analyte_order!$B:$B)</f>
        <v>9Cl-PF3ONS</v>
      </c>
      <c r="G1234" t="s">
        <v>141</v>
      </c>
      <c r="H1234" s="2">
        <f>_xlfn.XLOOKUP(Table1_1[[#This Row],[CAS_rn]],[1]analyte_order!$C:$C,[1]analyte_order!$E:$E)</f>
        <v>36</v>
      </c>
      <c r="I1234">
        <v>0.2</v>
      </c>
    </row>
    <row r="1235" spans="1:9" x14ac:dyDescent="0.3">
      <c r="A1235" s="2" t="s">
        <v>79</v>
      </c>
      <c r="B1235" s="3">
        <v>44308.5</v>
      </c>
      <c r="C1235" s="1" t="str">
        <f t="shared" si="19"/>
        <v>21113</v>
      </c>
      <c r="D1235" t="s">
        <v>33</v>
      </c>
      <c r="E1235" s="2" t="s">
        <v>27</v>
      </c>
      <c r="F1235" s="2" t="str">
        <f>_xlfn.XLOOKUP(Table1_1[[#This Row],[CAS_rn]],[1]analyte_order!$C:$C,[1]analyte_order!$B:$B)</f>
        <v>11Cl-PF3OUdS</v>
      </c>
      <c r="G1235" t="s">
        <v>142</v>
      </c>
      <c r="H1235" s="2">
        <f>_xlfn.XLOOKUP(Table1_1[[#This Row],[CAS_rn]],[1]analyte_order!$C:$C,[1]analyte_order!$E:$E)</f>
        <v>37</v>
      </c>
      <c r="I1235">
        <v>0.2</v>
      </c>
    </row>
    <row r="1236" spans="1:9" x14ac:dyDescent="0.3">
      <c r="A1236" s="2" t="s">
        <v>79</v>
      </c>
      <c r="B1236" s="3">
        <v>44308.5</v>
      </c>
      <c r="C1236" s="1" t="str">
        <f t="shared" si="19"/>
        <v>21113</v>
      </c>
      <c r="D1236" t="s">
        <v>33</v>
      </c>
      <c r="E1236" s="2" t="s">
        <v>27</v>
      </c>
      <c r="F1236" s="2" t="str">
        <f>_xlfn.XLOOKUP(Table1_1[[#This Row],[CAS_rn]],[1]analyte_order!$C:$C,[1]analyte_order!$B:$B)</f>
        <v>PFEESA</v>
      </c>
      <c r="G1236" t="s">
        <v>143</v>
      </c>
      <c r="H1236" s="2">
        <f>_xlfn.XLOOKUP(Table1_1[[#This Row],[CAS_rn]],[1]analyte_order!$C:$C,[1]analyte_order!$E:$E)</f>
        <v>47</v>
      </c>
      <c r="I1236">
        <v>0.1</v>
      </c>
    </row>
    <row r="1237" spans="1:9" x14ac:dyDescent="0.3">
      <c r="A1237" s="2" t="s">
        <v>79</v>
      </c>
      <c r="B1237" s="3">
        <v>44308.5</v>
      </c>
      <c r="C1237" s="1" t="str">
        <f t="shared" si="19"/>
        <v>21113</v>
      </c>
      <c r="D1237" t="s">
        <v>33</v>
      </c>
      <c r="E1237" s="2" t="s">
        <v>27</v>
      </c>
      <c r="F1237" s="2" t="str">
        <f>_xlfn.XLOOKUP(Table1_1[[#This Row],[CAS_rn]],[1]analyte_order!$C:$C,[1]analyte_order!$B:$B)</f>
        <v>3:3 FTCA</v>
      </c>
      <c r="G1237" t="s">
        <v>144</v>
      </c>
      <c r="H1237" s="2">
        <f>_xlfn.XLOOKUP(Table1_1[[#This Row],[CAS_rn]],[1]analyte_order!$C:$C,[1]analyte_order!$E:$E)</f>
        <v>38</v>
      </c>
      <c r="I1237">
        <v>0.25</v>
      </c>
    </row>
    <row r="1238" spans="1:9" x14ac:dyDescent="0.3">
      <c r="A1238" s="2" t="s">
        <v>79</v>
      </c>
      <c r="B1238" s="3">
        <v>44308.5</v>
      </c>
      <c r="C1238" s="1" t="str">
        <f t="shared" si="19"/>
        <v>21113</v>
      </c>
      <c r="D1238" t="s">
        <v>33</v>
      </c>
      <c r="E1238" s="2" t="s">
        <v>27</v>
      </c>
      <c r="F1238" s="2" t="str">
        <f>_xlfn.XLOOKUP(Table1_1[[#This Row],[CAS_rn]],[1]analyte_order!$C:$C,[1]analyte_order!$B:$B)</f>
        <v>5:3 FTCA</v>
      </c>
      <c r="G1238" t="s">
        <v>145</v>
      </c>
      <c r="H1238" s="2">
        <f>_xlfn.XLOOKUP(Table1_1[[#This Row],[CAS_rn]],[1]analyte_order!$C:$C,[1]analyte_order!$E:$E)</f>
        <v>39</v>
      </c>
      <c r="I1238">
        <v>1.25</v>
      </c>
    </row>
    <row r="1239" spans="1:9" x14ac:dyDescent="0.3">
      <c r="A1239" s="2" t="s">
        <v>79</v>
      </c>
      <c r="B1239" s="3">
        <v>44308.5</v>
      </c>
      <c r="C1239" s="1" t="str">
        <f t="shared" si="19"/>
        <v>21113</v>
      </c>
      <c r="D1239" t="s">
        <v>33</v>
      </c>
      <c r="E1239" s="2" t="s">
        <v>27</v>
      </c>
      <c r="F1239" s="2" t="str">
        <f>_xlfn.XLOOKUP(Table1_1[[#This Row],[CAS_rn]],[1]analyte_order!$C:$C,[1]analyte_order!$B:$B)</f>
        <v>7:3 FTCA</v>
      </c>
      <c r="G1239" t="s">
        <v>146</v>
      </c>
      <c r="H1239" s="2">
        <f>_xlfn.XLOOKUP(Table1_1[[#This Row],[CAS_rn]],[1]analyte_order!$C:$C,[1]analyte_order!$E:$E)</f>
        <v>40</v>
      </c>
      <c r="I1239">
        <v>1.25</v>
      </c>
    </row>
    <row r="1240" spans="1:9" x14ac:dyDescent="0.3">
      <c r="A1240" s="2" t="s">
        <v>79</v>
      </c>
      <c r="B1240" s="3">
        <v>44308.5</v>
      </c>
      <c r="C1240" s="1" t="str">
        <f t="shared" si="19"/>
        <v>21113</v>
      </c>
      <c r="D1240" t="s">
        <v>33</v>
      </c>
      <c r="E1240" s="2" t="s">
        <v>27</v>
      </c>
      <c r="F1240" s="2" t="str">
        <f>_xlfn.XLOOKUP(Table1_1[[#This Row],[CAS_rn]],[1]analyte_order!$C:$C,[1]analyte_order!$B:$B)</f>
        <v>PFDS</v>
      </c>
      <c r="G1240" t="s">
        <v>147</v>
      </c>
      <c r="H1240" s="2">
        <f>_xlfn.XLOOKUP(Table1_1[[#This Row],[CAS_rn]],[1]analyte_order!$C:$C,[1]analyte_order!$E:$E)</f>
        <v>20</v>
      </c>
      <c r="I1240">
        <v>0.05</v>
      </c>
    </row>
    <row r="1241" spans="1:9" x14ac:dyDescent="0.3">
      <c r="A1241" s="2" t="s">
        <v>79</v>
      </c>
      <c r="B1241" s="3">
        <v>44308.5</v>
      </c>
      <c r="C1241" s="1" t="str">
        <f t="shared" si="19"/>
        <v>21113</v>
      </c>
      <c r="D1241" t="s">
        <v>33</v>
      </c>
      <c r="E1241" s="2" t="s">
        <v>27</v>
      </c>
      <c r="F1241" s="2" t="str">
        <f>_xlfn.XLOOKUP(Table1_1[[#This Row],[CAS_rn]],[1]analyte_order!$C:$C,[1]analyte_order!$B:$B)</f>
        <v>PFMPA</v>
      </c>
      <c r="G1241" t="s">
        <v>148</v>
      </c>
      <c r="H1241" s="2">
        <f>_xlfn.XLOOKUP(Table1_1[[#This Row],[CAS_rn]],[1]analyte_order!$C:$C,[1]analyte_order!$E:$E)</f>
        <v>49</v>
      </c>
      <c r="I1241">
        <v>0.1</v>
      </c>
    </row>
    <row r="1242" spans="1:9" x14ac:dyDescent="0.3">
      <c r="A1242" s="2" t="s">
        <v>80</v>
      </c>
      <c r="B1242" s="3">
        <v>44308.5</v>
      </c>
      <c r="C1242" s="1" t="str">
        <f t="shared" si="19"/>
        <v>21113</v>
      </c>
      <c r="D1242" t="s">
        <v>29</v>
      </c>
      <c r="E1242" s="2" t="s">
        <v>27</v>
      </c>
      <c r="F1242" s="2" t="str">
        <f>_xlfn.XLOOKUP(Table1_1[[#This Row],[CAS_rn]],[1]analyte_order!$C:$C,[1]analyte_order!$B:$B)</f>
        <v>PFBA</v>
      </c>
      <c r="G1242" t="s">
        <v>109</v>
      </c>
      <c r="H1242" s="2">
        <f>_xlfn.XLOOKUP(Table1_1[[#This Row],[CAS_rn]],[1]analyte_order!$C:$C,[1]analyte_order!$E:$E)</f>
        <v>1</v>
      </c>
      <c r="I1242">
        <v>0.2</v>
      </c>
    </row>
    <row r="1243" spans="1:9" x14ac:dyDescent="0.3">
      <c r="A1243" s="2" t="s">
        <v>80</v>
      </c>
      <c r="B1243" s="3">
        <v>44308.5</v>
      </c>
      <c r="C1243" s="1" t="str">
        <f t="shared" si="19"/>
        <v>21113</v>
      </c>
      <c r="D1243" t="s">
        <v>29</v>
      </c>
      <c r="E1243" s="2" t="s">
        <v>27</v>
      </c>
      <c r="F1243" s="2" t="str">
        <f>_xlfn.XLOOKUP(Table1_1[[#This Row],[CAS_rn]],[1]analyte_order!$C:$C,[1]analyte_order!$B:$B)</f>
        <v>PFPeA</v>
      </c>
      <c r="G1243" t="s">
        <v>110</v>
      </c>
      <c r="H1243" s="2">
        <f>_xlfn.XLOOKUP(Table1_1[[#This Row],[CAS_rn]],[1]analyte_order!$C:$C,[1]analyte_order!$E:$E)</f>
        <v>2</v>
      </c>
      <c r="I1243">
        <v>0.1</v>
      </c>
    </row>
    <row r="1244" spans="1:9" x14ac:dyDescent="0.3">
      <c r="A1244" s="2" t="s">
        <v>80</v>
      </c>
      <c r="B1244" s="3">
        <v>44308.5</v>
      </c>
      <c r="C1244" s="1" t="str">
        <f t="shared" si="19"/>
        <v>21113</v>
      </c>
      <c r="D1244" t="s">
        <v>29</v>
      </c>
      <c r="E1244" s="2" t="s">
        <v>27</v>
      </c>
      <c r="F1244" s="2" t="str">
        <f>_xlfn.XLOOKUP(Table1_1[[#This Row],[CAS_rn]],[1]analyte_order!$C:$C,[1]analyte_order!$B:$B)</f>
        <v>PFHxA</v>
      </c>
      <c r="G1244" t="s">
        <v>111</v>
      </c>
      <c r="H1244" s="2">
        <f>_xlfn.XLOOKUP(Table1_1[[#This Row],[CAS_rn]],[1]analyte_order!$C:$C,[1]analyte_order!$E:$E)</f>
        <v>3</v>
      </c>
      <c r="I1244">
        <v>0.09</v>
      </c>
    </row>
    <row r="1245" spans="1:9" x14ac:dyDescent="0.3">
      <c r="A1245" s="2" t="s">
        <v>80</v>
      </c>
      <c r="B1245" s="3">
        <v>44308.5</v>
      </c>
      <c r="C1245" s="1" t="str">
        <f t="shared" si="19"/>
        <v>21113</v>
      </c>
      <c r="D1245" t="s">
        <v>29</v>
      </c>
      <c r="E1245" s="2" t="s">
        <v>27</v>
      </c>
      <c r="F1245" s="2" t="str">
        <f>_xlfn.XLOOKUP(Table1_1[[#This Row],[CAS_rn]],[1]analyte_order!$C:$C,[1]analyte_order!$B:$B)</f>
        <v>PFHpA</v>
      </c>
      <c r="G1245" t="s">
        <v>112</v>
      </c>
      <c r="H1245" s="2">
        <f>_xlfn.XLOOKUP(Table1_1[[#This Row],[CAS_rn]],[1]analyte_order!$C:$C,[1]analyte_order!$E:$E)</f>
        <v>4</v>
      </c>
      <c r="I1245">
        <v>0.09</v>
      </c>
    </row>
    <row r="1246" spans="1:9" x14ac:dyDescent="0.3">
      <c r="A1246" s="2" t="s">
        <v>80</v>
      </c>
      <c r="B1246" s="3">
        <v>44308.5</v>
      </c>
      <c r="C1246" s="1" t="str">
        <f t="shared" si="19"/>
        <v>21113</v>
      </c>
      <c r="D1246" t="s">
        <v>29</v>
      </c>
      <c r="E1246" s="2" t="s">
        <v>27</v>
      </c>
      <c r="F1246" s="2" t="str">
        <f>_xlfn.XLOOKUP(Table1_1[[#This Row],[CAS_rn]],[1]analyte_order!$C:$C,[1]analyte_order!$B:$B)</f>
        <v>PFOA</v>
      </c>
      <c r="G1246" t="s">
        <v>113</v>
      </c>
      <c r="H1246" s="2">
        <f>_xlfn.XLOOKUP(Table1_1[[#This Row],[CAS_rn]],[1]analyte_order!$C:$C,[1]analyte_order!$E:$E)</f>
        <v>5</v>
      </c>
      <c r="I1246">
        <v>0.15</v>
      </c>
    </row>
    <row r="1247" spans="1:9" x14ac:dyDescent="0.3">
      <c r="A1247" s="2" t="s">
        <v>80</v>
      </c>
      <c r="B1247" s="3">
        <v>44308.5</v>
      </c>
      <c r="C1247" s="1" t="str">
        <f t="shared" si="19"/>
        <v>21113</v>
      </c>
      <c r="D1247" t="s">
        <v>29</v>
      </c>
      <c r="E1247" s="2" t="s">
        <v>27</v>
      </c>
      <c r="F1247" s="2" t="str">
        <f>_xlfn.XLOOKUP(Table1_1[[#This Row],[CAS_rn]],[1]analyte_order!$C:$C,[1]analyte_order!$B:$B)</f>
        <v>PFNA</v>
      </c>
      <c r="G1247" t="s">
        <v>114</v>
      </c>
      <c r="H1247" s="2">
        <f>_xlfn.XLOOKUP(Table1_1[[#This Row],[CAS_rn]],[1]analyte_order!$C:$C,[1]analyte_order!$E:$E)</f>
        <v>6</v>
      </c>
      <c r="I1247">
        <v>0.05</v>
      </c>
    </row>
    <row r="1248" spans="1:9" x14ac:dyDescent="0.3">
      <c r="A1248" s="2" t="s">
        <v>80</v>
      </c>
      <c r="B1248" s="3">
        <v>44308.5</v>
      </c>
      <c r="C1248" s="1" t="str">
        <f t="shared" si="19"/>
        <v>21113</v>
      </c>
      <c r="D1248" t="s">
        <v>29</v>
      </c>
      <c r="E1248" s="2" t="s">
        <v>27</v>
      </c>
      <c r="F1248" s="2" t="str">
        <f>_xlfn.XLOOKUP(Table1_1[[#This Row],[CAS_rn]],[1]analyte_order!$C:$C,[1]analyte_order!$B:$B)</f>
        <v>PFDA</v>
      </c>
      <c r="G1248" t="s">
        <v>115</v>
      </c>
      <c r="H1248" s="2">
        <f>_xlfn.XLOOKUP(Table1_1[[#This Row],[CAS_rn]],[1]analyte_order!$C:$C,[1]analyte_order!$E:$E)</f>
        <v>7</v>
      </c>
      <c r="I1248">
        <v>0.05</v>
      </c>
    </row>
    <row r="1249" spans="1:9" x14ac:dyDescent="0.3">
      <c r="A1249" s="2" t="s">
        <v>80</v>
      </c>
      <c r="B1249" s="3">
        <v>44308.5</v>
      </c>
      <c r="C1249" s="1" t="str">
        <f t="shared" si="19"/>
        <v>21113</v>
      </c>
      <c r="D1249" t="s">
        <v>29</v>
      </c>
      <c r="E1249" s="2" t="s">
        <v>27</v>
      </c>
      <c r="F1249" s="2" t="str">
        <f>_xlfn.XLOOKUP(Table1_1[[#This Row],[CAS_rn]],[1]analyte_order!$C:$C,[1]analyte_order!$B:$B)</f>
        <v>PFUnA</v>
      </c>
      <c r="G1249" t="s">
        <v>116</v>
      </c>
      <c r="H1249" s="2">
        <f>_xlfn.XLOOKUP(Table1_1[[#This Row],[CAS_rn]],[1]analyte_order!$C:$C,[1]analyte_order!$E:$E)</f>
        <v>8</v>
      </c>
      <c r="I1249">
        <v>0.05</v>
      </c>
    </row>
    <row r="1250" spans="1:9" x14ac:dyDescent="0.3">
      <c r="A1250" s="2" t="s">
        <v>80</v>
      </c>
      <c r="B1250" s="3">
        <v>44308.5</v>
      </c>
      <c r="C1250" s="1" t="str">
        <f t="shared" si="19"/>
        <v>21113</v>
      </c>
      <c r="D1250" t="s">
        <v>29</v>
      </c>
      <c r="E1250" s="2" t="s">
        <v>27</v>
      </c>
      <c r="F1250" s="2" t="str">
        <f>_xlfn.XLOOKUP(Table1_1[[#This Row],[CAS_rn]],[1]analyte_order!$C:$C,[1]analyte_order!$B:$B)</f>
        <v>PFDoA</v>
      </c>
      <c r="G1250" t="s">
        <v>117</v>
      </c>
      <c r="H1250" s="2">
        <f>_xlfn.XLOOKUP(Table1_1[[#This Row],[CAS_rn]],[1]analyte_order!$C:$C,[1]analyte_order!$E:$E)</f>
        <v>9</v>
      </c>
      <c r="I1250">
        <v>0.05</v>
      </c>
    </row>
    <row r="1251" spans="1:9" x14ac:dyDescent="0.3">
      <c r="A1251" s="2" t="s">
        <v>80</v>
      </c>
      <c r="B1251" s="3">
        <v>44308.5</v>
      </c>
      <c r="C1251" s="1" t="str">
        <f t="shared" si="19"/>
        <v>21113</v>
      </c>
      <c r="D1251" t="s">
        <v>29</v>
      </c>
      <c r="E1251" s="2" t="s">
        <v>27</v>
      </c>
      <c r="F1251" s="2" t="str">
        <f>_xlfn.XLOOKUP(Table1_1[[#This Row],[CAS_rn]],[1]analyte_order!$C:$C,[1]analyte_order!$B:$B)</f>
        <v>PFTrDA</v>
      </c>
      <c r="G1251" t="s">
        <v>118</v>
      </c>
      <c r="H1251" s="2">
        <f>_xlfn.XLOOKUP(Table1_1[[#This Row],[CAS_rn]],[1]analyte_order!$C:$C,[1]analyte_order!$E:$E)</f>
        <v>10</v>
      </c>
      <c r="I1251">
        <v>0.05</v>
      </c>
    </row>
    <row r="1252" spans="1:9" x14ac:dyDescent="0.3">
      <c r="A1252" s="2" t="s">
        <v>80</v>
      </c>
      <c r="B1252" s="3">
        <v>44308.5</v>
      </c>
      <c r="C1252" s="1" t="str">
        <f t="shared" si="19"/>
        <v>21113</v>
      </c>
      <c r="D1252" t="s">
        <v>29</v>
      </c>
      <c r="E1252" s="2" t="s">
        <v>27</v>
      </c>
      <c r="F1252" s="2" t="str">
        <f>_xlfn.XLOOKUP(Table1_1[[#This Row],[CAS_rn]],[1]analyte_order!$C:$C,[1]analyte_order!$B:$B)</f>
        <v>PFTeDA</v>
      </c>
      <c r="G1252" t="s">
        <v>119</v>
      </c>
      <c r="H1252" s="2">
        <f>_xlfn.XLOOKUP(Table1_1[[#This Row],[CAS_rn]],[1]analyte_order!$C:$C,[1]analyte_order!$E:$E)</f>
        <v>11</v>
      </c>
      <c r="I1252">
        <v>0.05</v>
      </c>
    </row>
    <row r="1253" spans="1:9" x14ac:dyDescent="0.3">
      <c r="A1253" s="2" t="s">
        <v>80</v>
      </c>
      <c r="B1253" s="3">
        <v>44308.5</v>
      </c>
      <c r="C1253" s="1" t="str">
        <f t="shared" si="19"/>
        <v>21113</v>
      </c>
      <c r="D1253" t="s">
        <v>29</v>
      </c>
      <c r="E1253" s="2" t="s">
        <v>27</v>
      </c>
      <c r="F1253" s="2" t="str">
        <f>_xlfn.XLOOKUP(Table1_1[[#This Row],[CAS_rn]],[1]analyte_order!$C:$C,[1]analyte_order!$B:$B)</f>
        <v>PFBS</v>
      </c>
      <c r="G1253" t="s">
        <v>120</v>
      </c>
      <c r="H1253" s="2">
        <f>_xlfn.XLOOKUP(Table1_1[[#This Row],[CAS_rn]],[1]analyte_order!$C:$C,[1]analyte_order!$E:$E)</f>
        <v>14</v>
      </c>
      <c r="I1253">
        <v>0.05</v>
      </c>
    </row>
    <row r="1254" spans="1:9" x14ac:dyDescent="0.3">
      <c r="A1254" s="2" t="s">
        <v>80</v>
      </c>
      <c r="B1254" s="3">
        <v>44308.5</v>
      </c>
      <c r="C1254" s="1" t="str">
        <f t="shared" si="19"/>
        <v>21113</v>
      </c>
      <c r="D1254" t="s">
        <v>29</v>
      </c>
      <c r="E1254" s="2" t="s">
        <v>27</v>
      </c>
      <c r="F1254" s="2" t="str">
        <f>_xlfn.XLOOKUP(Table1_1[[#This Row],[CAS_rn]],[1]analyte_order!$C:$C,[1]analyte_order!$B:$B)</f>
        <v>PFPeS</v>
      </c>
      <c r="G1254" t="s">
        <v>121</v>
      </c>
      <c r="H1254" s="2">
        <f>_xlfn.XLOOKUP(Table1_1[[#This Row],[CAS_rn]],[1]analyte_order!$C:$C,[1]analyte_order!$E:$E)</f>
        <v>15</v>
      </c>
      <c r="I1254">
        <v>0.05</v>
      </c>
    </row>
    <row r="1255" spans="1:9" x14ac:dyDescent="0.3">
      <c r="A1255" s="2" t="s">
        <v>80</v>
      </c>
      <c r="B1255" s="3">
        <v>44308.5</v>
      </c>
      <c r="C1255" s="1" t="str">
        <f t="shared" si="19"/>
        <v>21113</v>
      </c>
      <c r="D1255" t="s">
        <v>29</v>
      </c>
      <c r="E1255" s="2" t="s">
        <v>27</v>
      </c>
      <c r="F1255" s="2" t="str">
        <f>_xlfn.XLOOKUP(Table1_1[[#This Row],[CAS_rn]],[1]analyte_order!$C:$C,[1]analyte_order!$B:$B)</f>
        <v>PFHxS</v>
      </c>
      <c r="G1255" t="s">
        <v>122</v>
      </c>
      <c r="H1255" s="2">
        <f>_xlfn.XLOOKUP(Table1_1[[#This Row],[CAS_rn]],[1]analyte_order!$C:$C,[1]analyte_order!$E:$E)</f>
        <v>16</v>
      </c>
      <c r="I1255">
        <v>0.3</v>
      </c>
    </row>
    <row r="1256" spans="1:9" x14ac:dyDescent="0.3">
      <c r="A1256" s="2" t="s">
        <v>80</v>
      </c>
      <c r="B1256" s="3">
        <v>44308.5</v>
      </c>
      <c r="C1256" s="1" t="str">
        <f t="shared" si="19"/>
        <v>21113</v>
      </c>
      <c r="D1256" t="s">
        <v>29</v>
      </c>
      <c r="E1256" s="2" t="s">
        <v>27</v>
      </c>
      <c r="F1256" s="2" t="str">
        <f>_xlfn.XLOOKUP(Table1_1[[#This Row],[CAS_rn]],[1]analyte_order!$C:$C,[1]analyte_order!$B:$B)</f>
        <v>PFHpS</v>
      </c>
      <c r="G1256" t="s">
        <v>123</v>
      </c>
      <c r="H1256" s="2">
        <f>_xlfn.XLOOKUP(Table1_1[[#This Row],[CAS_rn]],[1]analyte_order!$C:$C,[1]analyte_order!$E:$E)</f>
        <v>17</v>
      </c>
      <c r="I1256">
        <v>0.05</v>
      </c>
    </row>
    <row r="1257" spans="1:9" x14ac:dyDescent="0.3">
      <c r="A1257" s="2" t="s">
        <v>80</v>
      </c>
      <c r="B1257" s="3">
        <v>44308.5</v>
      </c>
      <c r="C1257" s="1" t="str">
        <f t="shared" si="19"/>
        <v>21113</v>
      </c>
      <c r="D1257" t="s">
        <v>29</v>
      </c>
      <c r="E1257" s="2" t="s">
        <v>27</v>
      </c>
      <c r="F1257" s="2" t="str">
        <f>_xlfn.XLOOKUP(Table1_1[[#This Row],[CAS_rn]],[1]analyte_order!$C:$C,[1]analyte_order!$B:$B)</f>
        <v>PFOS</v>
      </c>
      <c r="G1257" t="s">
        <v>124</v>
      </c>
      <c r="H1257" s="2">
        <f>_xlfn.XLOOKUP(Table1_1[[#This Row],[CAS_rn]],[1]analyte_order!$C:$C,[1]analyte_order!$E:$E)</f>
        <v>18</v>
      </c>
      <c r="I1257">
        <v>1</v>
      </c>
    </row>
    <row r="1258" spans="1:9" x14ac:dyDescent="0.3">
      <c r="A1258" s="2" t="s">
        <v>80</v>
      </c>
      <c r="B1258" s="3">
        <v>44308.5</v>
      </c>
      <c r="C1258" s="1" t="str">
        <f t="shared" si="19"/>
        <v>21113</v>
      </c>
      <c r="D1258" t="s">
        <v>29</v>
      </c>
      <c r="E1258" s="2" t="s">
        <v>27</v>
      </c>
      <c r="F1258" s="2" t="str">
        <f>_xlfn.XLOOKUP(Table1_1[[#This Row],[CAS_rn]],[1]analyte_order!$C:$C,[1]analyte_order!$B:$B)</f>
        <v>PFNS</v>
      </c>
      <c r="G1258" t="s">
        <v>125</v>
      </c>
      <c r="H1258" s="2">
        <f>_xlfn.XLOOKUP(Table1_1[[#This Row],[CAS_rn]],[1]analyte_order!$C:$C,[1]analyte_order!$E:$E)</f>
        <v>19</v>
      </c>
      <c r="I1258">
        <v>0.05</v>
      </c>
    </row>
    <row r="1259" spans="1:9" x14ac:dyDescent="0.3">
      <c r="A1259" s="2" t="s">
        <v>80</v>
      </c>
      <c r="B1259" s="3">
        <v>44308.5</v>
      </c>
      <c r="C1259" s="1" t="str">
        <f t="shared" si="19"/>
        <v>21113</v>
      </c>
      <c r="D1259" t="s">
        <v>29</v>
      </c>
      <c r="E1259" s="2" t="s">
        <v>27</v>
      </c>
      <c r="F1259" s="2" t="str">
        <f>_xlfn.XLOOKUP(Table1_1[[#This Row],[CAS_rn]],[1]analyte_order!$C:$C,[1]analyte_order!$B:$B)</f>
        <v>PFDoS</v>
      </c>
      <c r="G1259" t="s">
        <v>126</v>
      </c>
      <c r="H1259" s="2">
        <f>_xlfn.XLOOKUP(Table1_1[[#This Row],[CAS_rn]],[1]analyte_order!$C:$C,[1]analyte_order!$E:$E)</f>
        <v>21</v>
      </c>
      <c r="I1259">
        <v>0.05</v>
      </c>
    </row>
    <row r="1260" spans="1:9" x14ac:dyDescent="0.3">
      <c r="A1260" s="2" t="s">
        <v>80</v>
      </c>
      <c r="B1260" s="3">
        <v>44308.5</v>
      </c>
      <c r="C1260" s="1" t="str">
        <f t="shared" si="19"/>
        <v>21113</v>
      </c>
      <c r="D1260" t="s">
        <v>29</v>
      </c>
      <c r="E1260" s="2" t="s">
        <v>27</v>
      </c>
      <c r="F1260" s="2" t="str">
        <f>_xlfn.XLOOKUP(Table1_1[[#This Row],[CAS_rn]],[1]analyte_order!$C:$C,[1]analyte_order!$B:$B)</f>
        <v>4:2 FTS</v>
      </c>
      <c r="G1260" t="s">
        <v>127</v>
      </c>
      <c r="H1260" s="2">
        <f>_xlfn.XLOOKUP(Table1_1[[#This Row],[CAS_rn]],[1]analyte_order!$C:$C,[1]analyte_order!$E:$E)</f>
        <v>22</v>
      </c>
      <c r="I1260">
        <v>0.2</v>
      </c>
    </row>
    <row r="1261" spans="1:9" x14ac:dyDescent="0.3">
      <c r="A1261" s="2" t="s">
        <v>80</v>
      </c>
      <c r="B1261" s="3">
        <v>44308.5</v>
      </c>
      <c r="C1261" s="1" t="str">
        <f t="shared" si="19"/>
        <v>21113</v>
      </c>
      <c r="D1261" t="s">
        <v>29</v>
      </c>
      <c r="E1261" s="2" t="s">
        <v>27</v>
      </c>
      <c r="F1261" s="2" t="str">
        <f>_xlfn.XLOOKUP(Table1_1[[#This Row],[CAS_rn]],[1]analyte_order!$C:$C,[1]analyte_order!$B:$B)</f>
        <v>6:2 FTS</v>
      </c>
      <c r="G1261" t="s">
        <v>128</v>
      </c>
      <c r="H1261" s="2">
        <f>_xlfn.XLOOKUP(Table1_1[[#This Row],[CAS_rn]],[1]analyte_order!$C:$C,[1]analyte_order!$E:$E)</f>
        <v>23</v>
      </c>
      <c r="I1261">
        <v>0.4</v>
      </c>
    </row>
    <row r="1262" spans="1:9" x14ac:dyDescent="0.3">
      <c r="A1262" s="2" t="s">
        <v>80</v>
      </c>
      <c r="B1262" s="3">
        <v>44308.5</v>
      </c>
      <c r="C1262" s="1" t="str">
        <f t="shared" si="19"/>
        <v>21113</v>
      </c>
      <c r="D1262" t="s">
        <v>29</v>
      </c>
      <c r="E1262" s="2" t="s">
        <v>27</v>
      </c>
      <c r="F1262" s="2" t="str">
        <f>_xlfn.XLOOKUP(Table1_1[[#This Row],[CAS_rn]],[1]analyte_order!$C:$C,[1]analyte_order!$B:$B)</f>
        <v>8:2 FTS</v>
      </c>
      <c r="G1262" t="s">
        <v>129</v>
      </c>
      <c r="H1262" s="2">
        <f>_xlfn.XLOOKUP(Table1_1[[#This Row],[CAS_rn]],[1]analyte_order!$C:$C,[1]analyte_order!$E:$E)</f>
        <v>24</v>
      </c>
      <c r="I1262">
        <v>0.4</v>
      </c>
    </row>
    <row r="1263" spans="1:9" x14ac:dyDescent="0.3">
      <c r="A1263" s="2" t="s">
        <v>80</v>
      </c>
      <c r="B1263" s="3">
        <v>44308.5</v>
      </c>
      <c r="C1263" s="1" t="str">
        <f t="shared" si="19"/>
        <v>21113</v>
      </c>
      <c r="D1263" t="s">
        <v>29</v>
      </c>
      <c r="E1263" s="2" t="s">
        <v>27</v>
      </c>
      <c r="F1263" s="2" t="str">
        <f>_xlfn.XLOOKUP(Table1_1[[#This Row],[CAS_rn]],[1]analyte_order!$C:$C,[1]analyte_order!$B:$B)</f>
        <v>FOSA</v>
      </c>
      <c r="G1263" t="s">
        <v>130</v>
      </c>
      <c r="H1263" s="2">
        <f>_xlfn.XLOOKUP(Table1_1[[#This Row],[CAS_rn]],[1]analyte_order!$C:$C,[1]analyte_order!$E:$E)</f>
        <v>28</v>
      </c>
      <c r="I1263">
        <v>0.09</v>
      </c>
    </row>
    <row r="1264" spans="1:9" x14ac:dyDescent="0.3">
      <c r="A1264" s="2" t="s">
        <v>80</v>
      </c>
      <c r="B1264" s="3">
        <v>44308.5</v>
      </c>
      <c r="C1264" s="1" t="str">
        <f t="shared" si="19"/>
        <v>21113</v>
      </c>
      <c r="D1264" t="s">
        <v>29</v>
      </c>
      <c r="E1264" s="2" t="s">
        <v>27</v>
      </c>
      <c r="F1264" s="2" t="str">
        <f>_xlfn.XLOOKUP(Table1_1[[#This Row],[CAS_rn]],[1]analyte_order!$C:$C,[1]analyte_order!$B:$B)</f>
        <v>N-MeFOSA</v>
      </c>
      <c r="G1264" t="s">
        <v>131</v>
      </c>
      <c r="H1264" s="2">
        <f>_xlfn.XLOOKUP(Table1_1[[#This Row],[CAS_rn]],[1]analyte_order!$C:$C,[1]analyte_order!$E:$E)</f>
        <v>30</v>
      </c>
      <c r="I1264">
        <v>0.05</v>
      </c>
    </row>
    <row r="1265" spans="1:9" x14ac:dyDescent="0.3">
      <c r="A1265" s="2" t="s">
        <v>80</v>
      </c>
      <c r="B1265" s="3">
        <v>44308.5</v>
      </c>
      <c r="C1265" s="1" t="str">
        <f t="shared" si="19"/>
        <v>21113</v>
      </c>
      <c r="D1265" t="s">
        <v>29</v>
      </c>
      <c r="E1265" s="2" t="s">
        <v>27</v>
      </c>
      <c r="F1265" s="2" t="str">
        <f>_xlfn.XLOOKUP(Table1_1[[#This Row],[CAS_rn]],[1]analyte_order!$C:$C,[1]analyte_order!$B:$B)</f>
        <v>N-MeFOSAA</v>
      </c>
      <c r="G1265" t="s">
        <v>132</v>
      </c>
      <c r="H1265" s="2">
        <f>_xlfn.XLOOKUP(Table1_1[[#This Row],[CAS_rn]],[1]analyte_order!$C:$C,[1]analyte_order!$E:$E)</f>
        <v>26</v>
      </c>
      <c r="I1265">
        <v>0.05</v>
      </c>
    </row>
    <row r="1266" spans="1:9" x14ac:dyDescent="0.3">
      <c r="A1266" s="2" t="s">
        <v>80</v>
      </c>
      <c r="B1266" s="3">
        <v>44308.5</v>
      </c>
      <c r="C1266" s="1" t="str">
        <f t="shared" si="19"/>
        <v>21113</v>
      </c>
      <c r="D1266" t="s">
        <v>29</v>
      </c>
      <c r="E1266" s="2" t="s">
        <v>27</v>
      </c>
      <c r="F1266" s="2" t="str">
        <f>_xlfn.XLOOKUP(Table1_1[[#This Row],[CAS_rn]],[1]analyte_order!$C:$C,[1]analyte_order!$B:$B)</f>
        <v>N-EtFOSA</v>
      </c>
      <c r="G1266" t="s">
        <v>133</v>
      </c>
      <c r="H1266" s="2">
        <f>_xlfn.XLOOKUP(Table1_1[[#This Row],[CAS_rn]],[1]analyte_order!$C:$C,[1]analyte_order!$E:$E)</f>
        <v>31</v>
      </c>
      <c r="I1266">
        <v>0.05</v>
      </c>
    </row>
    <row r="1267" spans="1:9" x14ac:dyDescent="0.3">
      <c r="A1267" s="2" t="s">
        <v>80</v>
      </c>
      <c r="B1267" s="3">
        <v>44308.5</v>
      </c>
      <c r="C1267" s="1" t="str">
        <f t="shared" si="19"/>
        <v>21113</v>
      </c>
      <c r="D1267" t="s">
        <v>29</v>
      </c>
      <c r="E1267" s="2" t="s">
        <v>27</v>
      </c>
      <c r="F1267" s="2" t="str">
        <f>_xlfn.XLOOKUP(Table1_1[[#This Row],[CAS_rn]],[1]analyte_order!$C:$C,[1]analyte_order!$B:$B)</f>
        <v>N-EtFOSAA</v>
      </c>
      <c r="G1267" t="s">
        <v>134</v>
      </c>
      <c r="H1267" s="2">
        <f>_xlfn.XLOOKUP(Table1_1[[#This Row],[CAS_rn]],[1]analyte_order!$C:$C,[1]analyte_order!$E:$E)</f>
        <v>27</v>
      </c>
      <c r="I1267">
        <v>0.05</v>
      </c>
    </row>
    <row r="1268" spans="1:9" x14ac:dyDescent="0.3">
      <c r="A1268" s="2" t="s">
        <v>80</v>
      </c>
      <c r="B1268" s="3">
        <v>44308.5</v>
      </c>
      <c r="C1268" s="1" t="str">
        <f t="shared" si="19"/>
        <v>21113</v>
      </c>
      <c r="D1268" t="s">
        <v>29</v>
      </c>
      <c r="E1268" s="2" t="s">
        <v>27</v>
      </c>
      <c r="F1268" s="2" t="str">
        <f>_xlfn.XLOOKUP(Table1_1[[#This Row],[CAS_rn]],[1]analyte_order!$C:$C,[1]analyte_order!$B:$B)</f>
        <v>N-MeFOSE</v>
      </c>
      <c r="G1268" t="s">
        <v>135</v>
      </c>
      <c r="H1268" s="2">
        <f>_xlfn.XLOOKUP(Table1_1[[#This Row],[CAS_rn]],[1]analyte_order!$C:$C,[1]analyte_order!$E:$E)</f>
        <v>32</v>
      </c>
      <c r="I1268">
        <v>0.5</v>
      </c>
    </row>
    <row r="1269" spans="1:9" x14ac:dyDescent="0.3">
      <c r="A1269" s="2" t="s">
        <v>80</v>
      </c>
      <c r="B1269" s="3">
        <v>44308.5</v>
      </c>
      <c r="C1269" s="1" t="str">
        <f t="shared" si="19"/>
        <v>21113</v>
      </c>
      <c r="D1269" t="s">
        <v>29</v>
      </c>
      <c r="E1269" s="2" t="s">
        <v>27</v>
      </c>
      <c r="F1269" s="2" t="str">
        <f>_xlfn.XLOOKUP(Table1_1[[#This Row],[CAS_rn]],[1]analyte_order!$C:$C,[1]analyte_order!$B:$B)</f>
        <v>N-EtFOSE</v>
      </c>
      <c r="G1269" t="s">
        <v>136</v>
      </c>
      <c r="H1269" s="2">
        <f>_xlfn.XLOOKUP(Table1_1[[#This Row],[CAS_rn]],[1]analyte_order!$C:$C,[1]analyte_order!$E:$E)</f>
        <v>33</v>
      </c>
      <c r="I1269">
        <v>0.5</v>
      </c>
    </row>
    <row r="1270" spans="1:9" x14ac:dyDescent="0.3">
      <c r="A1270" s="2" t="s">
        <v>80</v>
      </c>
      <c r="B1270" s="3">
        <v>44308.5</v>
      </c>
      <c r="C1270" s="1" t="str">
        <f t="shared" si="19"/>
        <v>21113</v>
      </c>
      <c r="D1270" t="s">
        <v>29</v>
      </c>
      <c r="E1270" s="2" t="s">
        <v>27</v>
      </c>
      <c r="F1270" s="2" t="str">
        <f>_xlfn.XLOOKUP(Table1_1[[#This Row],[CAS_rn]],[1]analyte_order!$C:$C,[1]analyte_order!$B:$B)</f>
        <v>HFPO-DA</v>
      </c>
      <c r="G1270" t="s">
        <v>137</v>
      </c>
      <c r="H1270" s="2">
        <f>_xlfn.XLOOKUP(Table1_1[[#This Row],[CAS_rn]],[1]analyte_order!$C:$C,[1]analyte_order!$E:$E)</f>
        <v>34</v>
      </c>
      <c r="I1270">
        <v>0.3</v>
      </c>
    </row>
    <row r="1271" spans="1:9" x14ac:dyDescent="0.3">
      <c r="A1271" s="2" t="s">
        <v>80</v>
      </c>
      <c r="B1271" s="3">
        <v>44308.5</v>
      </c>
      <c r="C1271" s="1" t="str">
        <f t="shared" si="19"/>
        <v>21113</v>
      </c>
      <c r="D1271" t="s">
        <v>29</v>
      </c>
      <c r="E1271" s="2" t="s">
        <v>27</v>
      </c>
      <c r="F1271" s="2" t="str">
        <f>_xlfn.XLOOKUP(Table1_1[[#This Row],[CAS_rn]],[1]analyte_order!$C:$C,[1]analyte_order!$B:$B)</f>
        <v>ADONA</v>
      </c>
      <c r="G1271" t="s">
        <v>138</v>
      </c>
      <c r="H1271" s="2">
        <f>_xlfn.XLOOKUP(Table1_1[[#This Row],[CAS_rn]],[1]analyte_order!$C:$C,[1]analyte_order!$E:$E)</f>
        <v>35</v>
      </c>
      <c r="I1271">
        <v>0.2</v>
      </c>
    </row>
    <row r="1272" spans="1:9" x14ac:dyDescent="0.3">
      <c r="A1272" s="2" t="s">
        <v>80</v>
      </c>
      <c r="B1272" s="3">
        <v>44308.5</v>
      </c>
      <c r="C1272" s="1" t="str">
        <f t="shared" si="19"/>
        <v>21113</v>
      </c>
      <c r="D1272" t="s">
        <v>29</v>
      </c>
      <c r="E1272" s="2" t="s">
        <v>27</v>
      </c>
      <c r="F1272" s="2" t="str">
        <f>_xlfn.XLOOKUP(Table1_1[[#This Row],[CAS_rn]],[1]analyte_order!$C:$C,[1]analyte_order!$B:$B)</f>
        <v>PFMBA</v>
      </c>
      <c r="G1272" t="s">
        <v>139</v>
      </c>
      <c r="H1272" s="2">
        <f>_xlfn.XLOOKUP(Table1_1[[#This Row],[CAS_rn]],[1]analyte_order!$C:$C,[1]analyte_order!$E:$E)</f>
        <v>48</v>
      </c>
      <c r="I1272">
        <v>0.1</v>
      </c>
    </row>
    <row r="1273" spans="1:9" x14ac:dyDescent="0.3">
      <c r="A1273" s="2" t="s">
        <v>80</v>
      </c>
      <c r="B1273" s="3">
        <v>44308.5</v>
      </c>
      <c r="C1273" s="1" t="str">
        <f t="shared" si="19"/>
        <v>21113</v>
      </c>
      <c r="D1273" t="s">
        <v>29</v>
      </c>
      <c r="E1273" s="2" t="s">
        <v>27</v>
      </c>
      <c r="F1273" s="2" t="str">
        <f>_xlfn.XLOOKUP(Table1_1[[#This Row],[CAS_rn]],[1]analyte_order!$C:$C,[1]analyte_order!$B:$B)</f>
        <v>NFDHA</v>
      </c>
      <c r="G1273" t="s">
        <v>140</v>
      </c>
      <c r="H1273" s="2">
        <f>_xlfn.XLOOKUP(Table1_1[[#This Row],[CAS_rn]],[1]analyte_order!$C:$C,[1]analyte_order!$E:$E)</f>
        <v>50</v>
      </c>
      <c r="I1273">
        <v>0.1</v>
      </c>
    </row>
    <row r="1274" spans="1:9" x14ac:dyDescent="0.3">
      <c r="A1274" s="2" t="s">
        <v>80</v>
      </c>
      <c r="B1274" s="3">
        <v>44308.5</v>
      </c>
      <c r="C1274" s="1" t="str">
        <f t="shared" si="19"/>
        <v>21113</v>
      </c>
      <c r="D1274" t="s">
        <v>29</v>
      </c>
      <c r="E1274" s="2" t="s">
        <v>27</v>
      </c>
      <c r="F1274" s="2" t="str">
        <f>_xlfn.XLOOKUP(Table1_1[[#This Row],[CAS_rn]],[1]analyte_order!$C:$C,[1]analyte_order!$B:$B)</f>
        <v>9Cl-PF3ONS</v>
      </c>
      <c r="G1274" t="s">
        <v>141</v>
      </c>
      <c r="H1274" s="2">
        <f>_xlfn.XLOOKUP(Table1_1[[#This Row],[CAS_rn]],[1]analyte_order!$C:$C,[1]analyte_order!$E:$E)</f>
        <v>36</v>
      </c>
      <c r="I1274">
        <v>0.2</v>
      </c>
    </row>
    <row r="1275" spans="1:9" x14ac:dyDescent="0.3">
      <c r="A1275" s="2" t="s">
        <v>80</v>
      </c>
      <c r="B1275" s="3">
        <v>44308.5</v>
      </c>
      <c r="C1275" s="1" t="str">
        <f t="shared" si="19"/>
        <v>21113</v>
      </c>
      <c r="D1275" t="s">
        <v>29</v>
      </c>
      <c r="E1275" s="2" t="s">
        <v>27</v>
      </c>
      <c r="F1275" s="2" t="str">
        <f>_xlfn.XLOOKUP(Table1_1[[#This Row],[CAS_rn]],[1]analyte_order!$C:$C,[1]analyte_order!$B:$B)</f>
        <v>11Cl-PF3OUdS</v>
      </c>
      <c r="G1275" t="s">
        <v>142</v>
      </c>
      <c r="H1275" s="2">
        <f>_xlfn.XLOOKUP(Table1_1[[#This Row],[CAS_rn]],[1]analyte_order!$C:$C,[1]analyte_order!$E:$E)</f>
        <v>37</v>
      </c>
      <c r="I1275">
        <v>0.2</v>
      </c>
    </row>
    <row r="1276" spans="1:9" x14ac:dyDescent="0.3">
      <c r="A1276" s="2" t="s">
        <v>80</v>
      </c>
      <c r="B1276" s="3">
        <v>44308.5</v>
      </c>
      <c r="C1276" s="1" t="str">
        <f t="shared" si="19"/>
        <v>21113</v>
      </c>
      <c r="D1276" t="s">
        <v>29</v>
      </c>
      <c r="E1276" s="2" t="s">
        <v>27</v>
      </c>
      <c r="F1276" s="2" t="str">
        <f>_xlfn.XLOOKUP(Table1_1[[#This Row],[CAS_rn]],[1]analyte_order!$C:$C,[1]analyte_order!$B:$B)</f>
        <v>PFEESA</v>
      </c>
      <c r="G1276" t="s">
        <v>143</v>
      </c>
      <c r="H1276" s="2">
        <f>_xlfn.XLOOKUP(Table1_1[[#This Row],[CAS_rn]],[1]analyte_order!$C:$C,[1]analyte_order!$E:$E)</f>
        <v>47</v>
      </c>
      <c r="I1276">
        <v>0.1</v>
      </c>
    </row>
    <row r="1277" spans="1:9" x14ac:dyDescent="0.3">
      <c r="A1277" s="2" t="s">
        <v>80</v>
      </c>
      <c r="B1277" s="3">
        <v>44308.5</v>
      </c>
      <c r="C1277" s="1" t="str">
        <f t="shared" si="19"/>
        <v>21113</v>
      </c>
      <c r="D1277" t="s">
        <v>29</v>
      </c>
      <c r="E1277" s="2" t="s">
        <v>27</v>
      </c>
      <c r="F1277" s="2" t="str">
        <f>_xlfn.XLOOKUP(Table1_1[[#This Row],[CAS_rn]],[1]analyte_order!$C:$C,[1]analyte_order!$B:$B)</f>
        <v>3:3 FTCA</v>
      </c>
      <c r="G1277" t="s">
        <v>144</v>
      </c>
      <c r="H1277" s="2">
        <f>_xlfn.XLOOKUP(Table1_1[[#This Row],[CAS_rn]],[1]analyte_order!$C:$C,[1]analyte_order!$E:$E)</f>
        <v>38</v>
      </c>
      <c r="I1277">
        <v>0.25</v>
      </c>
    </row>
    <row r="1278" spans="1:9" x14ac:dyDescent="0.3">
      <c r="A1278" s="2" t="s">
        <v>80</v>
      </c>
      <c r="B1278" s="3">
        <v>44308.5</v>
      </c>
      <c r="C1278" s="1" t="str">
        <f t="shared" si="19"/>
        <v>21113</v>
      </c>
      <c r="D1278" t="s">
        <v>29</v>
      </c>
      <c r="E1278" s="2" t="s">
        <v>27</v>
      </c>
      <c r="F1278" s="2" t="str">
        <f>_xlfn.XLOOKUP(Table1_1[[#This Row],[CAS_rn]],[1]analyte_order!$C:$C,[1]analyte_order!$B:$B)</f>
        <v>5:3 FTCA</v>
      </c>
      <c r="G1278" t="s">
        <v>145</v>
      </c>
      <c r="H1278" s="2">
        <f>_xlfn.XLOOKUP(Table1_1[[#This Row],[CAS_rn]],[1]analyte_order!$C:$C,[1]analyte_order!$E:$E)</f>
        <v>39</v>
      </c>
      <c r="I1278">
        <v>1.25</v>
      </c>
    </row>
    <row r="1279" spans="1:9" x14ac:dyDescent="0.3">
      <c r="A1279" s="2" t="s">
        <v>80</v>
      </c>
      <c r="B1279" s="3">
        <v>44308.5</v>
      </c>
      <c r="C1279" s="1" t="str">
        <f t="shared" si="19"/>
        <v>21113</v>
      </c>
      <c r="D1279" t="s">
        <v>29</v>
      </c>
      <c r="E1279" s="2" t="s">
        <v>27</v>
      </c>
      <c r="F1279" s="2" t="str">
        <f>_xlfn.XLOOKUP(Table1_1[[#This Row],[CAS_rn]],[1]analyte_order!$C:$C,[1]analyte_order!$B:$B)</f>
        <v>7:3 FTCA</v>
      </c>
      <c r="G1279" t="s">
        <v>146</v>
      </c>
      <c r="H1279" s="2">
        <f>_xlfn.XLOOKUP(Table1_1[[#This Row],[CAS_rn]],[1]analyte_order!$C:$C,[1]analyte_order!$E:$E)</f>
        <v>40</v>
      </c>
      <c r="I1279">
        <v>1.25</v>
      </c>
    </row>
    <row r="1280" spans="1:9" x14ac:dyDescent="0.3">
      <c r="A1280" s="2" t="s">
        <v>80</v>
      </c>
      <c r="B1280" s="3">
        <v>44308.5</v>
      </c>
      <c r="C1280" s="1" t="str">
        <f t="shared" si="19"/>
        <v>21113</v>
      </c>
      <c r="D1280" t="s">
        <v>29</v>
      </c>
      <c r="E1280" s="2" t="s">
        <v>27</v>
      </c>
      <c r="F1280" s="2" t="str">
        <f>_xlfn.XLOOKUP(Table1_1[[#This Row],[CAS_rn]],[1]analyte_order!$C:$C,[1]analyte_order!$B:$B)</f>
        <v>PFDS</v>
      </c>
      <c r="G1280" t="s">
        <v>147</v>
      </c>
      <c r="H1280" s="2">
        <f>_xlfn.XLOOKUP(Table1_1[[#This Row],[CAS_rn]],[1]analyte_order!$C:$C,[1]analyte_order!$E:$E)</f>
        <v>20</v>
      </c>
      <c r="I1280">
        <v>0.05</v>
      </c>
    </row>
    <row r="1281" spans="1:9" x14ac:dyDescent="0.3">
      <c r="A1281" s="2" t="s">
        <v>80</v>
      </c>
      <c r="B1281" s="3">
        <v>44308.5</v>
      </c>
      <c r="C1281" s="1" t="str">
        <f t="shared" si="19"/>
        <v>21113</v>
      </c>
      <c r="D1281" t="s">
        <v>29</v>
      </c>
      <c r="E1281" s="2" t="s">
        <v>27</v>
      </c>
      <c r="F1281" s="2" t="str">
        <f>_xlfn.XLOOKUP(Table1_1[[#This Row],[CAS_rn]],[1]analyte_order!$C:$C,[1]analyte_order!$B:$B)</f>
        <v>PFMPA</v>
      </c>
      <c r="G1281" t="s">
        <v>148</v>
      </c>
      <c r="H1281" s="2">
        <f>_xlfn.XLOOKUP(Table1_1[[#This Row],[CAS_rn]],[1]analyte_order!$C:$C,[1]analyte_order!$E:$E)</f>
        <v>49</v>
      </c>
      <c r="I1281">
        <v>0.1</v>
      </c>
    </row>
    <row r="1282" spans="1:9" x14ac:dyDescent="0.3">
      <c r="A1282" s="2" t="s">
        <v>81</v>
      </c>
      <c r="B1282" s="3">
        <v>44312.5</v>
      </c>
      <c r="C1282" s="1" t="str">
        <f t="shared" si="19"/>
        <v>21117</v>
      </c>
      <c r="D1282" t="s">
        <v>26</v>
      </c>
      <c r="E1282" s="2" t="s">
        <v>27</v>
      </c>
      <c r="F1282" s="2" t="str">
        <f>_xlfn.XLOOKUP(Table1_1[[#This Row],[CAS_rn]],[1]analyte_order!$C:$C,[1]analyte_order!$B:$B)</f>
        <v>PFBA</v>
      </c>
      <c r="G1282" t="s">
        <v>109</v>
      </c>
      <c r="H1282" s="2">
        <f>_xlfn.XLOOKUP(Table1_1[[#This Row],[CAS_rn]],[1]analyte_order!$C:$C,[1]analyte_order!$E:$E)</f>
        <v>1</v>
      </c>
      <c r="I1282">
        <v>0.2</v>
      </c>
    </row>
    <row r="1283" spans="1:9" x14ac:dyDescent="0.3">
      <c r="A1283" s="2" t="s">
        <v>81</v>
      </c>
      <c r="B1283" s="3">
        <v>44312.5</v>
      </c>
      <c r="C1283" s="1" t="str">
        <f t="shared" ref="C1283:C1346" si="20">TEXT(B1283,"yy")&amp;TEXT((B1283-DATEVALUE("1/1/"&amp;TEXT(B1283,"yy"))+1),"000")</f>
        <v>21117</v>
      </c>
      <c r="D1283" t="s">
        <v>26</v>
      </c>
      <c r="E1283" s="2" t="s">
        <v>27</v>
      </c>
      <c r="F1283" s="2" t="str">
        <f>_xlfn.XLOOKUP(Table1_1[[#This Row],[CAS_rn]],[1]analyte_order!$C:$C,[1]analyte_order!$B:$B)</f>
        <v>PFPeA</v>
      </c>
      <c r="G1283" t="s">
        <v>110</v>
      </c>
      <c r="H1283" s="2">
        <f>_xlfn.XLOOKUP(Table1_1[[#This Row],[CAS_rn]],[1]analyte_order!$C:$C,[1]analyte_order!$E:$E)</f>
        <v>2</v>
      </c>
      <c r="I1283">
        <v>0.1</v>
      </c>
    </row>
    <row r="1284" spans="1:9" x14ac:dyDescent="0.3">
      <c r="A1284" s="2" t="s">
        <v>81</v>
      </c>
      <c r="B1284" s="3">
        <v>44312.5</v>
      </c>
      <c r="C1284" s="1" t="str">
        <f t="shared" si="20"/>
        <v>21117</v>
      </c>
      <c r="D1284" t="s">
        <v>26</v>
      </c>
      <c r="E1284" s="2" t="s">
        <v>27</v>
      </c>
      <c r="F1284" s="2" t="str">
        <f>_xlfn.XLOOKUP(Table1_1[[#This Row],[CAS_rn]],[1]analyte_order!$C:$C,[1]analyte_order!$B:$B)</f>
        <v>PFHxA</v>
      </c>
      <c r="G1284" t="s">
        <v>111</v>
      </c>
      <c r="H1284" s="2">
        <f>_xlfn.XLOOKUP(Table1_1[[#This Row],[CAS_rn]],[1]analyte_order!$C:$C,[1]analyte_order!$E:$E)</f>
        <v>3</v>
      </c>
      <c r="I1284">
        <v>9.1999999999999998E-2</v>
      </c>
    </row>
    <row r="1285" spans="1:9" x14ac:dyDescent="0.3">
      <c r="A1285" s="2" t="s">
        <v>81</v>
      </c>
      <c r="B1285" s="3">
        <v>44312.5</v>
      </c>
      <c r="C1285" s="1" t="str">
        <f t="shared" si="20"/>
        <v>21117</v>
      </c>
      <c r="D1285" t="s">
        <v>26</v>
      </c>
      <c r="E1285" s="2" t="s">
        <v>27</v>
      </c>
      <c r="F1285" s="2" t="str">
        <f>_xlfn.XLOOKUP(Table1_1[[#This Row],[CAS_rn]],[1]analyte_order!$C:$C,[1]analyte_order!$B:$B)</f>
        <v>PFHpA</v>
      </c>
      <c r="G1285" t="s">
        <v>112</v>
      </c>
      <c r="H1285" s="2">
        <f>_xlfn.XLOOKUP(Table1_1[[#This Row],[CAS_rn]],[1]analyte_order!$C:$C,[1]analyte_order!$E:$E)</f>
        <v>4</v>
      </c>
      <c r="I1285">
        <v>0.09</v>
      </c>
    </row>
    <row r="1286" spans="1:9" x14ac:dyDescent="0.3">
      <c r="A1286" s="2" t="s">
        <v>81</v>
      </c>
      <c r="B1286" s="3">
        <v>44312.5</v>
      </c>
      <c r="C1286" s="1" t="str">
        <f t="shared" si="20"/>
        <v>21117</v>
      </c>
      <c r="D1286" t="s">
        <v>26</v>
      </c>
      <c r="E1286" s="2" t="s">
        <v>27</v>
      </c>
      <c r="F1286" s="2" t="str">
        <f>_xlfn.XLOOKUP(Table1_1[[#This Row],[CAS_rn]],[1]analyte_order!$C:$C,[1]analyte_order!$B:$B)</f>
        <v>PFOA</v>
      </c>
      <c r="G1286" t="s">
        <v>113</v>
      </c>
      <c r="H1286" s="2">
        <f>_xlfn.XLOOKUP(Table1_1[[#This Row],[CAS_rn]],[1]analyte_order!$C:$C,[1]analyte_order!$E:$E)</f>
        <v>5</v>
      </c>
      <c r="I1286">
        <v>0.45</v>
      </c>
    </row>
    <row r="1287" spans="1:9" x14ac:dyDescent="0.3">
      <c r="A1287" s="2" t="s">
        <v>81</v>
      </c>
      <c r="B1287" s="3">
        <v>44312.5</v>
      </c>
      <c r="C1287" s="1" t="str">
        <f t="shared" si="20"/>
        <v>21117</v>
      </c>
      <c r="D1287" t="s">
        <v>26</v>
      </c>
      <c r="E1287" s="2" t="s">
        <v>27</v>
      </c>
      <c r="F1287" s="2" t="str">
        <f>_xlfn.XLOOKUP(Table1_1[[#This Row],[CAS_rn]],[1]analyte_order!$C:$C,[1]analyte_order!$B:$B)</f>
        <v>PFNA</v>
      </c>
      <c r="G1287" t="s">
        <v>114</v>
      </c>
      <c r="H1287" s="2">
        <f>_xlfn.XLOOKUP(Table1_1[[#This Row],[CAS_rn]],[1]analyte_order!$C:$C,[1]analyte_order!$E:$E)</f>
        <v>6</v>
      </c>
      <c r="I1287">
        <v>0.05</v>
      </c>
    </row>
    <row r="1288" spans="1:9" x14ac:dyDescent="0.3">
      <c r="A1288" s="2" t="s">
        <v>81</v>
      </c>
      <c r="B1288" s="3">
        <v>44312.5</v>
      </c>
      <c r="C1288" s="1" t="str">
        <f t="shared" si="20"/>
        <v>21117</v>
      </c>
      <c r="D1288" t="s">
        <v>26</v>
      </c>
      <c r="E1288" s="2" t="s">
        <v>27</v>
      </c>
      <c r="F1288" s="2" t="str">
        <f>_xlfn.XLOOKUP(Table1_1[[#This Row],[CAS_rn]],[1]analyte_order!$C:$C,[1]analyte_order!$B:$B)</f>
        <v>PFDA</v>
      </c>
      <c r="G1288" t="s">
        <v>115</v>
      </c>
      <c r="H1288" s="2">
        <f>_xlfn.XLOOKUP(Table1_1[[#This Row],[CAS_rn]],[1]analyte_order!$C:$C,[1]analyte_order!$E:$E)</f>
        <v>7</v>
      </c>
      <c r="I1288">
        <v>0.05</v>
      </c>
    </row>
    <row r="1289" spans="1:9" x14ac:dyDescent="0.3">
      <c r="A1289" s="2" t="s">
        <v>81</v>
      </c>
      <c r="B1289" s="3">
        <v>44312.5</v>
      </c>
      <c r="C1289" s="1" t="str">
        <f t="shared" si="20"/>
        <v>21117</v>
      </c>
      <c r="D1289" t="s">
        <v>26</v>
      </c>
      <c r="E1289" s="2" t="s">
        <v>27</v>
      </c>
      <c r="F1289" s="2" t="str">
        <f>_xlfn.XLOOKUP(Table1_1[[#This Row],[CAS_rn]],[1]analyte_order!$C:$C,[1]analyte_order!$B:$B)</f>
        <v>PFUnA</v>
      </c>
      <c r="G1289" t="s">
        <v>116</v>
      </c>
      <c r="H1289" s="2">
        <f>_xlfn.XLOOKUP(Table1_1[[#This Row],[CAS_rn]],[1]analyte_order!$C:$C,[1]analyte_order!$E:$E)</f>
        <v>8</v>
      </c>
      <c r="I1289">
        <v>0.05</v>
      </c>
    </row>
    <row r="1290" spans="1:9" x14ac:dyDescent="0.3">
      <c r="A1290" s="2" t="s">
        <v>81</v>
      </c>
      <c r="B1290" s="3">
        <v>44312.5</v>
      </c>
      <c r="C1290" s="1" t="str">
        <f t="shared" si="20"/>
        <v>21117</v>
      </c>
      <c r="D1290" t="s">
        <v>26</v>
      </c>
      <c r="E1290" s="2" t="s">
        <v>27</v>
      </c>
      <c r="F1290" s="2" t="str">
        <f>_xlfn.XLOOKUP(Table1_1[[#This Row],[CAS_rn]],[1]analyte_order!$C:$C,[1]analyte_order!$B:$B)</f>
        <v>PFDoA</v>
      </c>
      <c r="G1290" t="s">
        <v>117</v>
      </c>
      <c r="H1290" s="2">
        <f>_xlfn.XLOOKUP(Table1_1[[#This Row],[CAS_rn]],[1]analyte_order!$C:$C,[1]analyte_order!$E:$E)</f>
        <v>9</v>
      </c>
      <c r="I1290">
        <v>0.05</v>
      </c>
    </row>
    <row r="1291" spans="1:9" x14ac:dyDescent="0.3">
      <c r="A1291" s="2" t="s">
        <v>81</v>
      </c>
      <c r="B1291" s="3">
        <v>44312.5</v>
      </c>
      <c r="C1291" s="1" t="str">
        <f t="shared" si="20"/>
        <v>21117</v>
      </c>
      <c r="D1291" t="s">
        <v>26</v>
      </c>
      <c r="E1291" s="2" t="s">
        <v>27</v>
      </c>
      <c r="F1291" s="2" t="str">
        <f>_xlfn.XLOOKUP(Table1_1[[#This Row],[CAS_rn]],[1]analyte_order!$C:$C,[1]analyte_order!$B:$B)</f>
        <v>PFTrDA</v>
      </c>
      <c r="G1291" t="s">
        <v>118</v>
      </c>
      <c r="H1291" s="2">
        <f>_xlfn.XLOOKUP(Table1_1[[#This Row],[CAS_rn]],[1]analyte_order!$C:$C,[1]analyte_order!$E:$E)</f>
        <v>10</v>
      </c>
      <c r="I1291">
        <v>0.05</v>
      </c>
    </row>
    <row r="1292" spans="1:9" x14ac:dyDescent="0.3">
      <c r="A1292" s="2" t="s">
        <v>81</v>
      </c>
      <c r="B1292" s="3">
        <v>44312.5</v>
      </c>
      <c r="C1292" s="1" t="str">
        <f t="shared" si="20"/>
        <v>21117</v>
      </c>
      <c r="D1292" t="s">
        <v>26</v>
      </c>
      <c r="E1292" s="2" t="s">
        <v>27</v>
      </c>
      <c r="F1292" s="2" t="str">
        <f>_xlfn.XLOOKUP(Table1_1[[#This Row],[CAS_rn]],[1]analyte_order!$C:$C,[1]analyte_order!$B:$B)</f>
        <v>PFTeDA</v>
      </c>
      <c r="G1292" t="s">
        <v>119</v>
      </c>
      <c r="H1292" s="2">
        <f>_xlfn.XLOOKUP(Table1_1[[#This Row],[CAS_rn]],[1]analyte_order!$C:$C,[1]analyte_order!$E:$E)</f>
        <v>11</v>
      </c>
      <c r="I1292">
        <v>0.05</v>
      </c>
    </row>
    <row r="1293" spans="1:9" x14ac:dyDescent="0.3">
      <c r="A1293" s="2" t="s">
        <v>81</v>
      </c>
      <c r="B1293" s="3">
        <v>44312.5</v>
      </c>
      <c r="C1293" s="1" t="str">
        <f t="shared" si="20"/>
        <v>21117</v>
      </c>
      <c r="D1293" t="s">
        <v>26</v>
      </c>
      <c r="E1293" s="2" t="s">
        <v>27</v>
      </c>
      <c r="F1293" s="2" t="str">
        <f>_xlfn.XLOOKUP(Table1_1[[#This Row],[CAS_rn]],[1]analyte_order!$C:$C,[1]analyte_order!$B:$B)</f>
        <v>PFBS</v>
      </c>
      <c r="G1293" t="s">
        <v>120</v>
      </c>
      <c r="H1293" s="2">
        <f>_xlfn.XLOOKUP(Table1_1[[#This Row],[CAS_rn]],[1]analyte_order!$C:$C,[1]analyte_order!$E:$E)</f>
        <v>14</v>
      </c>
      <c r="I1293">
        <v>0.05</v>
      </c>
    </row>
    <row r="1294" spans="1:9" x14ac:dyDescent="0.3">
      <c r="A1294" s="2" t="s">
        <v>81</v>
      </c>
      <c r="B1294" s="3">
        <v>44312.5</v>
      </c>
      <c r="C1294" s="1" t="str">
        <f t="shared" si="20"/>
        <v>21117</v>
      </c>
      <c r="D1294" t="s">
        <v>26</v>
      </c>
      <c r="E1294" s="2" t="s">
        <v>27</v>
      </c>
      <c r="F1294" s="2" t="str">
        <f>_xlfn.XLOOKUP(Table1_1[[#This Row],[CAS_rn]],[1]analyte_order!$C:$C,[1]analyte_order!$B:$B)</f>
        <v>PFPeS</v>
      </c>
      <c r="G1294" t="s">
        <v>121</v>
      </c>
      <c r="H1294" s="2">
        <f>_xlfn.XLOOKUP(Table1_1[[#This Row],[CAS_rn]],[1]analyte_order!$C:$C,[1]analyte_order!$E:$E)</f>
        <v>15</v>
      </c>
      <c r="I1294">
        <v>0.05</v>
      </c>
    </row>
    <row r="1295" spans="1:9" x14ac:dyDescent="0.3">
      <c r="A1295" s="2" t="s">
        <v>81</v>
      </c>
      <c r="B1295" s="3">
        <v>44312.5</v>
      </c>
      <c r="C1295" s="1" t="str">
        <f t="shared" si="20"/>
        <v>21117</v>
      </c>
      <c r="D1295" t="s">
        <v>26</v>
      </c>
      <c r="E1295" s="2" t="s">
        <v>27</v>
      </c>
      <c r="F1295" s="2" t="str">
        <f>_xlfn.XLOOKUP(Table1_1[[#This Row],[CAS_rn]],[1]analyte_order!$C:$C,[1]analyte_order!$B:$B)</f>
        <v>PFHxS</v>
      </c>
      <c r="G1295" t="s">
        <v>122</v>
      </c>
      <c r="H1295" s="2">
        <f>_xlfn.XLOOKUP(Table1_1[[#This Row],[CAS_rn]],[1]analyte_order!$C:$C,[1]analyte_order!$E:$E)</f>
        <v>16</v>
      </c>
      <c r="I1295">
        <v>0.25</v>
      </c>
    </row>
    <row r="1296" spans="1:9" x14ac:dyDescent="0.3">
      <c r="A1296" s="2" t="s">
        <v>81</v>
      </c>
      <c r="B1296" s="3">
        <v>44312.5</v>
      </c>
      <c r="C1296" s="1" t="str">
        <f t="shared" si="20"/>
        <v>21117</v>
      </c>
      <c r="D1296" t="s">
        <v>26</v>
      </c>
      <c r="E1296" s="2" t="s">
        <v>27</v>
      </c>
      <c r="F1296" s="2" t="str">
        <f>_xlfn.XLOOKUP(Table1_1[[#This Row],[CAS_rn]],[1]analyte_order!$C:$C,[1]analyte_order!$B:$B)</f>
        <v>PFHpS</v>
      </c>
      <c r="G1296" t="s">
        <v>123</v>
      </c>
      <c r="H1296" s="2">
        <f>_xlfn.XLOOKUP(Table1_1[[#This Row],[CAS_rn]],[1]analyte_order!$C:$C,[1]analyte_order!$E:$E)</f>
        <v>17</v>
      </c>
      <c r="I1296">
        <v>0.05</v>
      </c>
    </row>
    <row r="1297" spans="1:9" x14ac:dyDescent="0.3">
      <c r="A1297" s="2" t="s">
        <v>81</v>
      </c>
      <c r="B1297" s="3">
        <v>44312.5</v>
      </c>
      <c r="C1297" s="1" t="str">
        <f t="shared" si="20"/>
        <v>21117</v>
      </c>
      <c r="D1297" t="s">
        <v>26</v>
      </c>
      <c r="E1297" s="2" t="s">
        <v>27</v>
      </c>
      <c r="F1297" s="2" t="str">
        <f>_xlfn.XLOOKUP(Table1_1[[#This Row],[CAS_rn]],[1]analyte_order!$C:$C,[1]analyte_order!$B:$B)</f>
        <v>PFOS</v>
      </c>
      <c r="G1297" t="s">
        <v>124</v>
      </c>
      <c r="H1297" s="2">
        <f>_xlfn.XLOOKUP(Table1_1[[#This Row],[CAS_rn]],[1]analyte_order!$C:$C,[1]analyte_order!$E:$E)</f>
        <v>18</v>
      </c>
      <c r="I1297">
        <v>0.88</v>
      </c>
    </row>
    <row r="1298" spans="1:9" x14ac:dyDescent="0.3">
      <c r="A1298" s="2" t="s">
        <v>81</v>
      </c>
      <c r="B1298" s="3">
        <v>44312.5</v>
      </c>
      <c r="C1298" s="1" t="str">
        <f t="shared" si="20"/>
        <v>21117</v>
      </c>
      <c r="D1298" t="s">
        <v>26</v>
      </c>
      <c r="E1298" s="2" t="s">
        <v>27</v>
      </c>
      <c r="F1298" s="2" t="str">
        <f>_xlfn.XLOOKUP(Table1_1[[#This Row],[CAS_rn]],[1]analyte_order!$C:$C,[1]analyte_order!$B:$B)</f>
        <v>PFNS</v>
      </c>
      <c r="G1298" t="s">
        <v>125</v>
      </c>
      <c r="H1298" s="2">
        <f>_xlfn.XLOOKUP(Table1_1[[#This Row],[CAS_rn]],[1]analyte_order!$C:$C,[1]analyte_order!$E:$E)</f>
        <v>19</v>
      </c>
      <c r="I1298">
        <v>0.05</v>
      </c>
    </row>
    <row r="1299" spans="1:9" x14ac:dyDescent="0.3">
      <c r="A1299" s="2" t="s">
        <v>81</v>
      </c>
      <c r="B1299" s="3">
        <v>44312.5</v>
      </c>
      <c r="C1299" s="1" t="str">
        <f t="shared" si="20"/>
        <v>21117</v>
      </c>
      <c r="D1299" t="s">
        <v>26</v>
      </c>
      <c r="E1299" s="2" t="s">
        <v>27</v>
      </c>
      <c r="F1299" s="2" t="str">
        <f>_xlfn.XLOOKUP(Table1_1[[#This Row],[CAS_rn]],[1]analyte_order!$C:$C,[1]analyte_order!$B:$B)</f>
        <v>PFDoS</v>
      </c>
      <c r="G1299" t="s">
        <v>126</v>
      </c>
      <c r="H1299" s="2">
        <f>_xlfn.XLOOKUP(Table1_1[[#This Row],[CAS_rn]],[1]analyte_order!$C:$C,[1]analyte_order!$E:$E)</f>
        <v>21</v>
      </c>
      <c r="I1299">
        <v>0.05</v>
      </c>
    </row>
    <row r="1300" spans="1:9" x14ac:dyDescent="0.3">
      <c r="A1300" s="2" t="s">
        <v>81</v>
      </c>
      <c r="B1300" s="3">
        <v>44312.5</v>
      </c>
      <c r="C1300" s="1" t="str">
        <f t="shared" si="20"/>
        <v>21117</v>
      </c>
      <c r="D1300" t="s">
        <v>26</v>
      </c>
      <c r="E1300" s="2" t="s">
        <v>27</v>
      </c>
      <c r="F1300" s="2" t="str">
        <f>_xlfn.XLOOKUP(Table1_1[[#This Row],[CAS_rn]],[1]analyte_order!$C:$C,[1]analyte_order!$B:$B)</f>
        <v>4:2 FTS</v>
      </c>
      <c r="G1300" t="s">
        <v>127</v>
      </c>
      <c r="H1300" s="2">
        <f>_xlfn.XLOOKUP(Table1_1[[#This Row],[CAS_rn]],[1]analyte_order!$C:$C,[1]analyte_order!$E:$E)</f>
        <v>22</v>
      </c>
      <c r="I1300">
        <v>0.2</v>
      </c>
    </row>
    <row r="1301" spans="1:9" x14ac:dyDescent="0.3">
      <c r="A1301" s="2" t="s">
        <v>81</v>
      </c>
      <c r="B1301" s="3">
        <v>44312.5</v>
      </c>
      <c r="C1301" s="1" t="str">
        <f t="shared" si="20"/>
        <v>21117</v>
      </c>
      <c r="D1301" t="s">
        <v>26</v>
      </c>
      <c r="E1301" s="2" t="s">
        <v>27</v>
      </c>
      <c r="F1301" s="2" t="str">
        <f>_xlfn.XLOOKUP(Table1_1[[#This Row],[CAS_rn]],[1]analyte_order!$C:$C,[1]analyte_order!$B:$B)</f>
        <v>6:2 FTS</v>
      </c>
      <c r="G1301" t="s">
        <v>128</v>
      </c>
      <c r="H1301" s="2">
        <f>_xlfn.XLOOKUP(Table1_1[[#This Row],[CAS_rn]],[1]analyte_order!$C:$C,[1]analyte_order!$E:$E)</f>
        <v>23</v>
      </c>
      <c r="I1301">
        <v>0.4</v>
      </c>
    </row>
    <row r="1302" spans="1:9" x14ac:dyDescent="0.3">
      <c r="A1302" s="2" t="s">
        <v>81</v>
      </c>
      <c r="B1302" s="3">
        <v>44312.5</v>
      </c>
      <c r="C1302" s="1" t="str">
        <f t="shared" si="20"/>
        <v>21117</v>
      </c>
      <c r="D1302" t="s">
        <v>26</v>
      </c>
      <c r="E1302" s="2" t="s">
        <v>27</v>
      </c>
      <c r="F1302" s="2" t="str">
        <f>_xlfn.XLOOKUP(Table1_1[[#This Row],[CAS_rn]],[1]analyte_order!$C:$C,[1]analyte_order!$B:$B)</f>
        <v>8:2 FTS</v>
      </c>
      <c r="G1302" t="s">
        <v>129</v>
      </c>
      <c r="H1302" s="2">
        <f>_xlfn.XLOOKUP(Table1_1[[#This Row],[CAS_rn]],[1]analyte_order!$C:$C,[1]analyte_order!$E:$E)</f>
        <v>24</v>
      </c>
      <c r="I1302">
        <v>0.4</v>
      </c>
    </row>
    <row r="1303" spans="1:9" x14ac:dyDescent="0.3">
      <c r="A1303" s="2" t="s">
        <v>81</v>
      </c>
      <c r="B1303" s="3">
        <v>44312.5</v>
      </c>
      <c r="C1303" s="1" t="str">
        <f t="shared" si="20"/>
        <v>21117</v>
      </c>
      <c r="D1303" t="s">
        <v>26</v>
      </c>
      <c r="E1303" s="2" t="s">
        <v>27</v>
      </c>
      <c r="F1303" s="2" t="str">
        <f>_xlfn.XLOOKUP(Table1_1[[#This Row],[CAS_rn]],[1]analyte_order!$C:$C,[1]analyte_order!$B:$B)</f>
        <v>FOSA</v>
      </c>
      <c r="G1303" t="s">
        <v>130</v>
      </c>
      <c r="H1303" s="2">
        <f>_xlfn.XLOOKUP(Table1_1[[#This Row],[CAS_rn]],[1]analyte_order!$C:$C,[1]analyte_order!$E:$E)</f>
        <v>28</v>
      </c>
      <c r="I1303">
        <v>0.09</v>
      </c>
    </row>
    <row r="1304" spans="1:9" x14ac:dyDescent="0.3">
      <c r="A1304" s="2" t="s">
        <v>81</v>
      </c>
      <c r="B1304" s="3">
        <v>44312.5</v>
      </c>
      <c r="C1304" s="1" t="str">
        <f t="shared" si="20"/>
        <v>21117</v>
      </c>
      <c r="D1304" t="s">
        <v>26</v>
      </c>
      <c r="E1304" s="2" t="s">
        <v>27</v>
      </c>
      <c r="F1304" s="2" t="str">
        <f>_xlfn.XLOOKUP(Table1_1[[#This Row],[CAS_rn]],[1]analyte_order!$C:$C,[1]analyte_order!$B:$B)</f>
        <v>N-MeFOSA</v>
      </c>
      <c r="G1304" t="s">
        <v>131</v>
      </c>
      <c r="H1304" s="2">
        <f>_xlfn.XLOOKUP(Table1_1[[#This Row],[CAS_rn]],[1]analyte_order!$C:$C,[1]analyte_order!$E:$E)</f>
        <v>30</v>
      </c>
      <c r="I1304">
        <v>0.05</v>
      </c>
    </row>
    <row r="1305" spans="1:9" x14ac:dyDescent="0.3">
      <c r="A1305" s="2" t="s">
        <v>81</v>
      </c>
      <c r="B1305" s="3">
        <v>44312.5</v>
      </c>
      <c r="C1305" s="1" t="str">
        <f t="shared" si="20"/>
        <v>21117</v>
      </c>
      <c r="D1305" t="s">
        <v>26</v>
      </c>
      <c r="E1305" s="2" t="s">
        <v>27</v>
      </c>
      <c r="F1305" s="2" t="str">
        <f>_xlfn.XLOOKUP(Table1_1[[#This Row],[CAS_rn]],[1]analyte_order!$C:$C,[1]analyte_order!$B:$B)</f>
        <v>N-MeFOSAA</v>
      </c>
      <c r="G1305" t="s">
        <v>132</v>
      </c>
      <c r="H1305" s="2">
        <f>_xlfn.XLOOKUP(Table1_1[[#This Row],[CAS_rn]],[1]analyte_order!$C:$C,[1]analyte_order!$E:$E)</f>
        <v>26</v>
      </c>
      <c r="I1305">
        <v>0.05</v>
      </c>
    </row>
    <row r="1306" spans="1:9" x14ac:dyDescent="0.3">
      <c r="A1306" s="2" t="s">
        <v>81</v>
      </c>
      <c r="B1306" s="3">
        <v>44312.5</v>
      </c>
      <c r="C1306" s="1" t="str">
        <f t="shared" si="20"/>
        <v>21117</v>
      </c>
      <c r="D1306" t="s">
        <v>26</v>
      </c>
      <c r="E1306" s="2" t="s">
        <v>27</v>
      </c>
      <c r="F1306" s="2" t="str">
        <f>_xlfn.XLOOKUP(Table1_1[[#This Row],[CAS_rn]],[1]analyte_order!$C:$C,[1]analyte_order!$B:$B)</f>
        <v>N-EtFOSA</v>
      </c>
      <c r="G1306" t="s">
        <v>133</v>
      </c>
      <c r="H1306" s="2">
        <f>_xlfn.XLOOKUP(Table1_1[[#This Row],[CAS_rn]],[1]analyte_order!$C:$C,[1]analyte_order!$E:$E)</f>
        <v>31</v>
      </c>
      <c r="I1306">
        <v>0.05</v>
      </c>
    </row>
    <row r="1307" spans="1:9" x14ac:dyDescent="0.3">
      <c r="A1307" s="2" t="s">
        <v>81</v>
      </c>
      <c r="B1307" s="3">
        <v>44312.5</v>
      </c>
      <c r="C1307" s="1" t="str">
        <f t="shared" si="20"/>
        <v>21117</v>
      </c>
      <c r="D1307" t="s">
        <v>26</v>
      </c>
      <c r="E1307" s="2" t="s">
        <v>27</v>
      </c>
      <c r="F1307" s="2" t="str">
        <f>_xlfn.XLOOKUP(Table1_1[[#This Row],[CAS_rn]],[1]analyte_order!$C:$C,[1]analyte_order!$B:$B)</f>
        <v>N-EtFOSAA</v>
      </c>
      <c r="G1307" t="s">
        <v>134</v>
      </c>
      <c r="H1307" s="2">
        <f>_xlfn.XLOOKUP(Table1_1[[#This Row],[CAS_rn]],[1]analyte_order!$C:$C,[1]analyte_order!$E:$E)</f>
        <v>27</v>
      </c>
      <c r="I1307">
        <v>0.05</v>
      </c>
    </row>
    <row r="1308" spans="1:9" x14ac:dyDescent="0.3">
      <c r="A1308" s="2" t="s">
        <v>81</v>
      </c>
      <c r="B1308" s="3">
        <v>44312.5</v>
      </c>
      <c r="C1308" s="1" t="str">
        <f t="shared" si="20"/>
        <v>21117</v>
      </c>
      <c r="D1308" t="s">
        <v>26</v>
      </c>
      <c r="E1308" s="2" t="s">
        <v>27</v>
      </c>
      <c r="F1308" s="2" t="str">
        <f>_xlfn.XLOOKUP(Table1_1[[#This Row],[CAS_rn]],[1]analyte_order!$C:$C,[1]analyte_order!$B:$B)</f>
        <v>N-MeFOSE</v>
      </c>
      <c r="G1308" t="s">
        <v>135</v>
      </c>
      <c r="H1308" s="2">
        <f>_xlfn.XLOOKUP(Table1_1[[#This Row],[CAS_rn]],[1]analyte_order!$C:$C,[1]analyte_order!$E:$E)</f>
        <v>32</v>
      </c>
      <c r="I1308">
        <v>0.5</v>
      </c>
    </row>
    <row r="1309" spans="1:9" x14ac:dyDescent="0.3">
      <c r="A1309" s="2" t="s">
        <v>81</v>
      </c>
      <c r="B1309" s="3">
        <v>44312.5</v>
      </c>
      <c r="C1309" s="1" t="str">
        <f t="shared" si="20"/>
        <v>21117</v>
      </c>
      <c r="D1309" t="s">
        <v>26</v>
      </c>
      <c r="E1309" s="2" t="s">
        <v>27</v>
      </c>
      <c r="F1309" s="2" t="str">
        <f>_xlfn.XLOOKUP(Table1_1[[#This Row],[CAS_rn]],[1]analyte_order!$C:$C,[1]analyte_order!$B:$B)</f>
        <v>N-EtFOSE</v>
      </c>
      <c r="G1309" t="s">
        <v>136</v>
      </c>
      <c r="H1309" s="2">
        <f>_xlfn.XLOOKUP(Table1_1[[#This Row],[CAS_rn]],[1]analyte_order!$C:$C,[1]analyte_order!$E:$E)</f>
        <v>33</v>
      </c>
      <c r="I1309">
        <v>0.5</v>
      </c>
    </row>
    <row r="1310" spans="1:9" x14ac:dyDescent="0.3">
      <c r="A1310" s="2" t="s">
        <v>81</v>
      </c>
      <c r="B1310" s="3">
        <v>44312.5</v>
      </c>
      <c r="C1310" s="1" t="str">
        <f t="shared" si="20"/>
        <v>21117</v>
      </c>
      <c r="D1310" t="s">
        <v>26</v>
      </c>
      <c r="E1310" s="2" t="s">
        <v>27</v>
      </c>
      <c r="F1310" s="2" t="str">
        <f>_xlfn.XLOOKUP(Table1_1[[#This Row],[CAS_rn]],[1]analyte_order!$C:$C,[1]analyte_order!$B:$B)</f>
        <v>HFPO-DA</v>
      </c>
      <c r="G1310" t="s">
        <v>137</v>
      </c>
      <c r="H1310" s="2">
        <f>_xlfn.XLOOKUP(Table1_1[[#This Row],[CAS_rn]],[1]analyte_order!$C:$C,[1]analyte_order!$E:$E)</f>
        <v>34</v>
      </c>
      <c r="I1310">
        <v>0.3</v>
      </c>
    </row>
    <row r="1311" spans="1:9" x14ac:dyDescent="0.3">
      <c r="A1311" s="2" t="s">
        <v>81</v>
      </c>
      <c r="B1311" s="3">
        <v>44312.5</v>
      </c>
      <c r="C1311" s="1" t="str">
        <f t="shared" si="20"/>
        <v>21117</v>
      </c>
      <c r="D1311" t="s">
        <v>26</v>
      </c>
      <c r="E1311" s="2" t="s">
        <v>27</v>
      </c>
      <c r="F1311" s="2" t="str">
        <f>_xlfn.XLOOKUP(Table1_1[[#This Row],[CAS_rn]],[1]analyte_order!$C:$C,[1]analyte_order!$B:$B)</f>
        <v>ADONA</v>
      </c>
      <c r="G1311" t="s">
        <v>138</v>
      </c>
      <c r="H1311" s="2">
        <f>_xlfn.XLOOKUP(Table1_1[[#This Row],[CAS_rn]],[1]analyte_order!$C:$C,[1]analyte_order!$E:$E)</f>
        <v>35</v>
      </c>
      <c r="I1311">
        <v>0.2</v>
      </c>
    </row>
    <row r="1312" spans="1:9" x14ac:dyDescent="0.3">
      <c r="A1312" s="2" t="s">
        <v>81</v>
      </c>
      <c r="B1312" s="3">
        <v>44312.5</v>
      </c>
      <c r="C1312" s="1" t="str">
        <f t="shared" si="20"/>
        <v>21117</v>
      </c>
      <c r="D1312" t="s">
        <v>26</v>
      </c>
      <c r="E1312" s="2" t="s">
        <v>27</v>
      </c>
      <c r="F1312" s="2" t="str">
        <f>_xlfn.XLOOKUP(Table1_1[[#This Row],[CAS_rn]],[1]analyte_order!$C:$C,[1]analyte_order!$B:$B)</f>
        <v>PFMBA</v>
      </c>
      <c r="G1312" t="s">
        <v>139</v>
      </c>
      <c r="H1312" s="2">
        <f>_xlfn.XLOOKUP(Table1_1[[#This Row],[CAS_rn]],[1]analyte_order!$C:$C,[1]analyte_order!$E:$E)</f>
        <v>48</v>
      </c>
      <c r="I1312">
        <v>0.1</v>
      </c>
    </row>
    <row r="1313" spans="1:9" x14ac:dyDescent="0.3">
      <c r="A1313" s="2" t="s">
        <v>81</v>
      </c>
      <c r="B1313" s="3">
        <v>44312.5</v>
      </c>
      <c r="C1313" s="1" t="str">
        <f t="shared" si="20"/>
        <v>21117</v>
      </c>
      <c r="D1313" t="s">
        <v>26</v>
      </c>
      <c r="E1313" s="2" t="s">
        <v>27</v>
      </c>
      <c r="F1313" s="2" t="str">
        <f>_xlfn.XLOOKUP(Table1_1[[#This Row],[CAS_rn]],[1]analyte_order!$C:$C,[1]analyte_order!$B:$B)</f>
        <v>NFDHA</v>
      </c>
      <c r="G1313" t="s">
        <v>140</v>
      </c>
      <c r="H1313" s="2">
        <f>_xlfn.XLOOKUP(Table1_1[[#This Row],[CAS_rn]],[1]analyte_order!$C:$C,[1]analyte_order!$E:$E)</f>
        <v>50</v>
      </c>
      <c r="I1313">
        <v>0.1</v>
      </c>
    </row>
    <row r="1314" spans="1:9" x14ac:dyDescent="0.3">
      <c r="A1314" s="2" t="s">
        <v>81</v>
      </c>
      <c r="B1314" s="3">
        <v>44312.5</v>
      </c>
      <c r="C1314" s="1" t="str">
        <f t="shared" si="20"/>
        <v>21117</v>
      </c>
      <c r="D1314" t="s">
        <v>26</v>
      </c>
      <c r="E1314" s="2" t="s">
        <v>27</v>
      </c>
      <c r="F1314" s="2" t="str">
        <f>_xlfn.XLOOKUP(Table1_1[[#This Row],[CAS_rn]],[1]analyte_order!$C:$C,[1]analyte_order!$B:$B)</f>
        <v>9Cl-PF3ONS</v>
      </c>
      <c r="G1314" t="s">
        <v>141</v>
      </c>
      <c r="H1314" s="2">
        <f>_xlfn.XLOOKUP(Table1_1[[#This Row],[CAS_rn]],[1]analyte_order!$C:$C,[1]analyte_order!$E:$E)</f>
        <v>36</v>
      </c>
      <c r="I1314">
        <v>0.2</v>
      </c>
    </row>
    <row r="1315" spans="1:9" x14ac:dyDescent="0.3">
      <c r="A1315" s="2" t="s">
        <v>81</v>
      </c>
      <c r="B1315" s="3">
        <v>44312.5</v>
      </c>
      <c r="C1315" s="1" t="str">
        <f t="shared" si="20"/>
        <v>21117</v>
      </c>
      <c r="D1315" t="s">
        <v>26</v>
      </c>
      <c r="E1315" s="2" t="s">
        <v>27</v>
      </c>
      <c r="F1315" s="2" t="str">
        <f>_xlfn.XLOOKUP(Table1_1[[#This Row],[CAS_rn]],[1]analyte_order!$C:$C,[1]analyte_order!$B:$B)</f>
        <v>11Cl-PF3OUdS</v>
      </c>
      <c r="G1315" t="s">
        <v>142</v>
      </c>
      <c r="H1315" s="2">
        <f>_xlfn.XLOOKUP(Table1_1[[#This Row],[CAS_rn]],[1]analyte_order!$C:$C,[1]analyte_order!$E:$E)</f>
        <v>37</v>
      </c>
      <c r="I1315">
        <v>0.2</v>
      </c>
    </row>
    <row r="1316" spans="1:9" x14ac:dyDescent="0.3">
      <c r="A1316" s="2" t="s">
        <v>81</v>
      </c>
      <c r="B1316" s="3">
        <v>44312.5</v>
      </c>
      <c r="C1316" s="1" t="str">
        <f t="shared" si="20"/>
        <v>21117</v>
      </c>
      <c r="D1316" t="s">
        <v>26</v>
      </c>
      <c r="E1316" s="2" t="s">
        <v>27</v>
      </c>
      <c r="F1316" s="2" t="str">
        <f>_xlfn.XLOOKUP(Table1_1[[#This Row],[CAS_rn]],[1]analyte_order!$C:$C,[1]analyte_order!$B:$B)</f>
        <v>PFEESA</v>
      </c>
      <c r="G1316" t="s">
        <v>143</v>
      </c>
      <c r="H1316" s="2">
        <f>_xlfn.XLOOKUP(Table1_1[[#This Row],[CAS_rn]],[1]analyte_order!$C:$C,[1]analyte_order!$E:$E)</f>
        <v>47</v>
      </c>
      <c r="I1316">
        <v>0.1</v>
      </c>
    </row>
    <row r="1317" spans="1:9" x14ac:dyDescent="0.3">
      <c r="A1317" s="2" t="s">
        <v>81</v>
      </c>
      <c r="B1317" s="3">
        <v>44312.5</v>
      </c>
      <c r="C1317" s="1" t="str">
        <f t="shared" si="20"/>
        <v>21117</v>
      </c>
      <c r="D1317" t="s">
        <v>26</v>
      </c>
      <c r="E1317" s="2" t="s">
        <v>27</v>
      </c>
      <c r="F1317" s="2" t="str">
        <f>_xlfn.XLOOKUP(Table1_1[[#This Row],[CAS_rn]],[1]analyte_order!$C:$C,[1]analyte_order!$B:$B)</f>
        <v>3:3 FTCA</v>
      </c>
      <c r="G1317" t="s">
        <v>144</v>
      </c>
      <c r="H1317" s="2">
        <f>_xlfn.XLOOKUP(Table1_1[[#This Row],[CAS_rn]],[1]analyte_order!$C:$C,[1]analyte_order!$E:$E)</f>
        <v>38</v>
      </c>
      <c r="I1317">
        <v>0.25</v>
      </c>
    </row>
    <row r="1318" spans="1:9" x14ac:dyDescent="0.3">
      <c r="A1318" s="2" t="s">
        <v>81</v>
      </c>
      <c r="B1318" s="3">
        <v>44312.5</v>
      </c>
      <c r="C1318" s="1" t="str">
        <f t="shared" si="20"/>
        <v>21117</v>
      </c>
      <c r="D1318" t="s">
        <v>26</v>
      </c>
      <c r="E1318" s="2" t="s">
        <v>27</v>
      </c>
      <c r="F1318" s="2" t="str">
        <f>_xlfn.XLOOKUP(Table1_1[[#This Row],[CAS_rn]],[1]analyte_order!$C:$C,[1]analyte_order!$B:$B)</f>
        <v>5:3 FTCA</v>
      </c>
      <c r="G1318" t="s">
        <v>145</v>
      </c>
      <c r="H1318" s="2">
        <f>_xlfn.XLOOKUP(Table1_1[[#This Row],[CAS_rn]],[1]analyte_order!$C:$C,[1]analyte_order!$E:$E)</f>
        <v>39</v>
      </c>
      <c r="I1318">
        <v>1.25</v>
      </c>
    </row>
    <row r="1319" spans="1:9" x14ac:dyDescent="0.3">
      <c r="A1319" s="2" t="s">
        <v>81</v>
      </c>
      <c r="B1319" s="3">
        <v>44312.5</v>
      </c>
      <c r="C1319" s="1" t="str">
        <f t="shared" si="20"/>
        <v>21117</v>
      </c>
      <c r="D1319" t="s">
        <v>26</v>
      </c>
      <c r="E1319" s="2" t="s">
        <v>27</v>
      </c>
      <c r="F1319" s="2" t="str">
        <f>_xlfn.XLOOKUP(Table1_1[[#This Row],[CAS_rn]],[1]analyte_order!$C:$C,[1]analyte_order!$B:$B)</f>
        <v>7:3 FTCA</v>
      </c>
      <c r="G1319" t="s">
        <v>146</v>
      </c>
      <c r="H1319" s="2">
        <f>_xlfn.XLOOKUP(Table1_1[[#This Row],[CAS_rn]],[1]analyte_order!$C:$C,[1]analyte_order!$E:$E)</f>
        <v>40</v>
      </c>
      <c r="I1319">
        <v>1.25</v>
      </c>
    </row>
    <row r="1320" spans="1:9" x14ac:dyDescent="0.3">
      <c r="A1320" s="2" t="s">
        <v>81</v>
      </c>
      <c r="B1320" s="3">
        <v>44312.5</v>
      </c>
      <c r="C1320" s="1" t="str">
        <f t="shared" si="20"/>
        <v>21117</v>
      </c>
      <c r="D1320" t="s">
        <v>26</v>
      </c>
      <c r="E1320" s="2" t="s">
        <v>27</v>
      </c>
      <c r="F1320" s="2" t="str">
        <f>_xlfn.XLOOKUP(Table1_1[[#This Row],[CAS_rn]],[1]analyte_order!$C:$C,[1]analyte_order!$B:$B)</f>
        <v>PFDS</v>
      </c>
      <c r="G1320" t="s">
        <v>147</v>
      </c>
      <c r="H1320" s="2">
        <f>_xlfn.XLOOKUP(Table1_1[[#This Row],[CAS_rn]],[1]analyte_order!$C:$C,[1]analyte_order!$E:$E)</f>
        <v>20</v>
      </c>
      <c r="I1320">
        <v>0.05</v>
      </c>
    </row>
    <row r="1321" spans="1:9" x14ac:dyDescent="0.3">
      <c r="A1321" s="2" t="s">
        <v>81</v>
      </c>
      <c r="B1321" s="3">
        <v>44312.5</v>
      </c>
      <c r="C1321" s="1" t="str">
        <f t="shared" si="20"/>
        <v>21117</v>
      </c>
      <c r="D1321" t="s">
        <v>26</v>
      </c>
      <c r="E1321" s="2" t="s">
        <v>27</v>
      </c>
      <c r="F1321" s="2" t="str">
        <f>_xlfn.XLOOKUP(Table1_1[[#This Row],[CAS_rn]],[1]analyte_order!$C:$C,[1]analyte_order!$B:$B)</f>
        <v>PFMPA</v>
      </c>
      <c r="G1321" t="s">
        <v>148</v>
      </c>
      <c r="H1321" s="2">
        <f>_xlfn.XLOOKUP(Table1_1[[#This Row],[CAS_rn]],[1]analyte_order!$C:$C,[1]analyte_order!$E:$E)</f>
        <v>49</v>
      </c>
      <c r="I1321">
        <v>0.1</v>
      </c>
    </row>
    <row r="1322" spans="1:9" x14ac:dyDescent="0.3">
      <c r="A1322" s="2" t="s">
        <v>82</v>
      </c>
      <c r="B1322" s="3">
        <v>44312.5</v>
      </c>
      <c r="C1322" s="1" t="str">
        <f t="shared" si="20"/>
        <v>21117</v>
      </c>
      <c r="D1322" t="s">
        <v>31</v>
      </c>
      <c r="E1322" s="2" t="s">
        <v>27</v>
      </c>
      <c r="F1322" s="2" t="str">
        <f>_xlfn.XLOOKUP(Table1_1[[#This Row],[CAS_rn]],[1]analyte_order!$C:$C,[1]analyte_order!$B:$B)</f>
        <v>PFBA</v>
      </c>
      <c r="G1322" t="s">
        <v>109</v>
      </c>
      <c r="H1322" s="2">
        <f>_xlfn.XLOOKUP(Table1_1[[#This Row],[CAS_rn]],[1]analyte_order!$C:$C,[1]analyte_order!$E:$E)</f>
        <v>1</v>
      </c>
      <c r="I1322">
        <v>0.2</v>
      </c>
    </row>
    <row r="1323" spans="1:9" x14ac:dyDescent="0.3">
      <c r="A1323" s="2" t="s">
        <v>82</v>
      </c>
      <c r="B1323" s="3">
        <v>44312.5</v>
      </c>
      <c r="C1323" s="1" t="str">
        <f t="shared" si="20"/>
        <v>21117</v>
      </c>
      <c r="D1323" t="s">
        <v>31</v>
      </c>
      <c r="E1323" s="2" t="s">
        <v>27</v>
      </c>
      <c r="F1323" s="2" t="str">
        <f>_xlfn.XLOOKUP(Table1_1[[#This Row],[CAS_rn]],[1]analyte_order!$C:$C,[1]analyte_order!$B:$B)</f>
        <v>PFPeA</v>
      </c>
      <c r="G1323" t="s">
        <v>110</v>
      </c>
      <c r="H1323" s="2">
        <f>_xlfn.XLOOKUP(Table1_1[[#This Row],[CAS_rn]],[1]analyte_order!$C:$C,[1]analyte_order!$E:$E)</f>
        <v>2</v>
      </c>
      <c r="I1323">
        <v>0.1</v>
      </c>
    </row>
    <row r="1324" spans="1:9" x14ac:dyDescent="0.3">
      <c r="A1324" s="2" t="s">
        <v>82</v>
      </c>
      <c r="B1324" s="3">
        <v>44312.5</v>
      </c>
      <c r="C1324" s="1" t="str">
        <f t="shared" si="20"/>
        <v>21117</v>
      </c>
      <c r="D1324" t="s">
        <v>31</v>
      </c>
      <c r="E1324" s="2" t="s">
        <v>27</v>
      </c>
      <c r="F1324" s="2" t="str">
        <f>_xlfn.XLOOKUP(Table1_1[[#This Row],[CAS_rn]],[1]analyte_order!$C:$C,[1]analyte_order!$B:$B)</f>
        <v>PFHxA</v>
      </c>
      <c r="G1324" t="s">
        <v>111</v>
      </c>
      <c r="H1324" s="2">
        <f>_xlfn.XLOOKUP(Table1_1[[#This Row],[CAS_rn]],[1]analyte_order!$C:$C,[1]analyte_order!$E:$E)</f>
        <v>3</v>
      </c>
      <c r="I1324">
        <v>0.09</v>
      </c>
    </row>
    <row r="1325" spans="1:9" x14ac:dyDescent="0.3">
      <c r="A1325" s="2" t="s">
        <v>82</v>
      </c>
      <c r="B1325" s="3">
        <v>44312.5</v>
      </c>
      <c r="C1325" s="1" t="str">
        <f t="shared" si="20"/>
        <v>21117</v>
      </c>
      <c r="D1325" t="s">
        <v>31</v>
      </c>
      <c r="E1325" s="2" t="s">
        <v>27</v>
      </c>
      <c r="F1325" s="2" t="str">
        <f>_xlfn.XLOOKUP(Table1_1[[#This Row],[CAS_rn]],[1]analyte_order!$C:$C,[1]analyte_order!$B:$B)</f>
        <v>PFHpA</v>
      </c>
      <c r="G1325" t="s">
        <v>112</v>
      </c>
      <c r="H1325" s="2">
        <f>_xlfn.XLOOKUP(Table1_1[[#This Row],[CAS_rn]],[1]analyte_order!$C:$C,[1]analyte_order!$E:$E)</f>
        <v>4</v>
      </c>
      <c r="I1325">
        <v>0.09</v>
      </c>
    </row>
    <row r="1326" spans="1:9" x14ac:dyDescent="0.3">
      <c r="A1326" s="2" t="s">
        <v>82</v>
      </c>
      <c r="B1326" s="3">
        <v>44312.5</v>
      </c>
      <c r="C1326" s="1" t="str">
        <f t="shared" si="20"/>
        <v>21117</v>
      </c>
      <c r="D1326" t="s">
        <v>31</v>
      </c>
      <c r="E1326" s="2" t="s">
        <v>27</v>
      </c>
      <c r="F1326" s="2" t="str">
        <f>_xlfn.XLOOKUP(Table1_1[[#This Row],[CAS_rn]],[1]analyte_order!$C:$C,[1]analyte_order!$B:$B)</f>
        <v>PFOA</v>
      </c>
      <c r="G1326" t="s">
        <v>113</v>
      </c>
      <c r="H1326" s="2">
        <f>_xlfn.XLOOKUP(Table1_1[[#This Row],[CAS_rn]],[1]analyte_order!$C:$C,[1]analyte_order!$E:$E)</f>
        <v>5</v>
      </c>
      <c r="I1326">
        <v>0.12</v>
      </c>
    </row>
    <row r="1327" spans="1:9" x14ac:dyDescent="0.3">
      <c r="A1327" s="2" t="s">
        <v>82</v>
      </c>
      <c r="B1327" s="3">
        <v>44312.5</v>
      </c>
      <c r="C1327" s="1" t="str">
        <f t="shared" si="20"/>
        <v>21117</v>
      </c>
      <c r="D1327" t="s">
        <v>31</v>
      </c>
      <c r="E1327" s="2" t="s">
        <v>27</v>
      </c>
      <c r="F1327" s="2" t="str">
        <f>_xlfn.XLOOKUP(Table1_1[[#This Row],[CAS_rn]],[1]analyte_order!$C:$C,[1]analyte_order!$B:$B)</f>
        <v>PFNA</v>
      </c>
      <c r="G1327" t="s">
        <v>114</v>
      </c>
      <c r="H1327" s="2">
        <f>_xlfn.XLOOKUP(Table1_1[[#This Row],[CAS_rn]],[1]analyte_order!$C:$C,[1]analyte_order!$E:$E)</f>
        <v>6</v>
      </c>
      <c r="I1327">
        <v>0.05</v>
      </c>
    </row>
    <row r="1328" spans="1:9" x14ac:dyDescent="0.3">
      <c r="A1328" s="2" t="s">
        <v>82</v>
      </c>
      <c r="B1328" s="3">
        <v>44312.5</v>
      </c>
      <c r="C1328" s="1" t="str">
        <f t="shared" si="20"/>
        <v>21117</v>
      </c>
      <c r="D1328" t="s">
        <v>31</v>
      </c>
      <c r="E1328" s="2" t="s">
        <v>27</v>
      </c>
      <c r="F1328" s="2" t="str">
        <f>_xlfn.XLOOKUP(Table1_1[[#This Row],[CAS_rn]],[1]analyte_order!$C:$C,[1]analyte_order!$B:$B)</f>
        <v>PFDA</v>
      </c>
      <c r="G1328" t="s">
        <v>115</v>
      </c>
      <c r="H1328" s="2">
        <f>_xlfn.XLOOKUP(Table1_1[[#This Row],[CAS_rn]],[1]analyte_order!$C:$C,[1]analyte_order!$E:$E)</f>
        <v>7</v>
      </c>
      <c r="I1328">
        <v>0.05</v>
      </c>
    </row>
    <row r="1329" spans="1:9" x14ac:dyDescent="0.3">
      <c r="A1329" s="2" t="s">
        <v>82</v>
      </c>
      <c r="B1329" s="3">
        <v>44312.5</v>
      </c>
      <c r="C1329" s="1" t="str">
        <f t="shared" si="20"/>
        <v>21117</v>
      </c>
      <c r="D1329" t="s">
        <v>31</v>
      </c>
      <c r="E1329" s="2" t="s">
        <v>27</v>
      </c>
      <c r="F1329" s="2" t="str">
        <f>_xlfn.XLOOKUP(Table1_1[[#This Row],[CAS_rn]],[1]analyte_order!$C:$C,[1]analyte_order!$B:$B)</f>
        <v>PFUnA</v>
      </c>
      <c r="G1329" t="s">
        <v>116</v>
      </c>
      <c r="H1329" s="2">
        <f>_xlfn.XLOOKUP(Table1_1[[#This Row],[CAS_rn]],[1]analyte_order!$C:$C,[1]analyte_order!$E:$E)</f>
        <v>8</v>
      </c>
      <c r="I1329">
        <v>0.05</v>
      </c>
    </row>
    <row r="1330" spans="1:9" x14ac:dyDescent="0.3">
      <c r="A1330" s="2" t="s">
        <v>82</v>
      </c>
      <c r="B1330" s="3">
        <v>44312.5</v>
      </c>
      <c r="C1330" s="1" t="str">
        <f t="shared" si="20"/>
        <v>21117</v>
      </c>
      <c r="D1330" t="s">
        <v>31</v>
      </c>
      <c r="E1330" s="2" t="s">
        <v>27</v>
      </c>
      <c r="F1330" s="2" t="str">
        <f>_xlfn.XLOOKUP(Table1_1[[#This Row],[CAS_rn]],[1]analyte_order!$C:$C,[1]analyte_order!$B:$B)</f>
        <v>PFDoA</v>
      </c>
      <c r="G1330" t="s">
        <v>117</v>
      </c>
      <c r="H1330" s="2">
        <f>_xlfn.XLOOKUP(Table1_1[[#This Row],[CAS_rn]],[1]analyte_order!$C:$C,[1]analyte_order!$E:$E)</f>
        <v>9</v>
      </c>
      <c r="I1330">
        <v>5.3999999999999999E-2</v>
      </c>
    </row>
    <row r="1331" spans="1:9" x14ac:dyDescent="0.3">
      <c r="A1331" s="2" t="s">
        <v>82</v>
      </c>
      <c r="B1331" s="3">
        <v>44312.5</v>
      </c>
      <c r="C1331" s="1" t="str">
        <f t="shared" si="20"/>
        <v>21117</v>
      </c>
      <c r="D1331" t="s">
        <v>31</v>
      </c>
      <c r="E1331" s="2" t="s">
        <v>27</v>
      </c>
      <c r="F1331" s="2" t="str">
        <f>_xlfn.XLOOKUP(Table1_1[[#This Row],[CAS_rn]],[1]analyte_order!$C:$C,[1]analyte_order!$B:$B)</f>
        <v>PFTrDA</v>
      </c>
      <c r="G1331" t="s">
        <v>118</v>
      </c>
      <c r="H1331" s="2">
        <f>_xlfn.XLOOKUP(Table1_1[[#This Row],[CAS_rn]],[1]analyte_order!$C:$C,[1]analyte_order!$E:$E)</f>
        <v>10</v>
      </c>
      <c r="I1331">
        <v>0.05</v>
      </c>
    </row>
    <row r="1332" spans="1:9" x14ac:dyDescent="0.3">
      <c r="A1332" s="2" t="s">
        <v>82</v>
      </c>
      <c r="B1332" s="3">
        <v>44312.5</v>
      </c>
      <c r="C1332" s="1" t="str">
        <f t="shared" si="20"/>
        <v>21117</v>
      </c>
      <c r="D1332" t="s">
        <v>31</v>
      </c>
      <c r="E1332" s="2" t="s">
        <v>27</v>
      </c>
      <c r="F1332" s="2" t="str">
        <f>_xlfn.XLOOKUP(Table1_1[[#This Row],[CAS_rn]],[1]analyte_order!$C:$C,[1]analyte_order!$B:$B)</f>
        <v>PFTeDA</v>
      </c>
      <c r="G1332" t="s">
        <v>119</v>
      </c>
      <c r="H1332" s="2">
        <f>_xlfn.XLOOKUP(Table1_1[[#This Row],[CAS_rn]],[1]analyte_order!$C:$C,[1]analyte_order!$E:$E)</f>
        <v>11</v>
      </c>
      <c r="I1332">
        <v>0.05</v>
      </c>
    </row>
    <row r="1333" spans="1:9" x14ac:dyDescent="0.3">
      <c r="A1333" s="2" t="s">
        <v>82</v>
      </c>
      <c r="B1333" s="3">
        <v>44312.5</v>
      </c>
      <c r="C1333" s="1" t="str">
        <f t="shared" si="20"/>
        <v>21117</v>
      </c>
      <c r="D1333" t="s">
        <v>31</v>
      </c>
      <c r="E1333" s="2" t="s">
        <v>27</v>
      </c>
      <c r="F1333" s="2" t="str">
        <f>_xlfn.XLOOKUP(Table1_1[[#This Row],[CAS_rn]],[1]analyte_order!$C:$C,[1]analyte_order!$B:$B)</f>
        <v>PFBS</v>
      </c>
      <c r="G1333" t="s">
        <v>120</v>
      </c>
      <c r="H1333" s="2">
        <f>_xlfn.XLOOKUP(Table1_1[[#This Row],[CAS_rn]],[1]analyte_order!$C:$C,[1]analyte_order!$E:$E)</f>
        <v>14</v>
      </c>
      <c r="I1333">
        <v>0.05</v>
      </c>
    </row>
    <row r="1334" spans="1:9" x14ac:dyDescent="0.3">
      <c r="A1334" s="2" t="s">
        <v>82</v>
      </c>
      <c r="B1334" s="3">
        <v>44312.5</v>
      </c>
      <c r="C1334" s="1" t="str">
        <f t="shared" si="20"/>
        <v>21117</v>
      </c>
      <c r="D1334" t="s">
        <v>31</v>
      </c>
      <c r="E1334" s="2" t="s">
        <v>27</v>
      </c>
      <c r="F1334" s="2" t="str">
        <f>_xlfn.XLOOKUP(Table1_1[[#This Row],[CAS_rn]],[1]analyte_order!$C:$C,[1]analyte_order!$B:$B)</f>
        <v>PFPeS</v>
      </c>
      <c r="G1334" t="s">
        <v>121</v>
      </c>
      <c r="H1334" s="2">
        <f>_xlfn.XLOOKUP(Table1_1[[#This Row],[CAS_rn]],[1]analyte_order!$C:$C,[1]analyte_order!$E:$E)</f>
        <v>15</v>
      </c>
      <c r="I1334">
        <v>0.05</v>
      </c>
    </row>
    <row r="1335" spans="1:9" x14ac:dyDescent="0.3">
      <c r="A1335" s="2" t="s">
        <v>82</v>
      </c>
      <c r="B1335" s="3">
        <v>44312.5</v>
      </c>
      <c r="C1335" s="1" t="str">
        <f t="shared" si="20"/>
        <v>21117</v>
      </c>
      <c r="D1335" t="s">
        <v>31</v>
      </c>
      <c r="E1335" s="2" t="s">
        <v>27</v>
      </c>
      <c r="F1335" s="2" t="str">
        <f>_xlfn.XLOOKUP(Table1_1[[#This Row],[CAS_rn]],[1]analyte_order!$C:$C,[1]analyte_order!$B:$B)</f>
        <v>PFHxS</v>
      </c>
      <c r="G1335" t="s">
        <v>122</v>
      </c>
      <c r="H1335" s="2">
        <f>_xlfn.XLOOKUP(Table1_1[[#This Row],[CAS_rn]],[1]analyte_order!$C:$C,[1]analyte_order!$E:$E)</f>
        <v>16</v>
      </c>
      <c r="I1335">
        <v>0.28999999999999998</v>
      </c>
    </row>
    <row r="1336" spans="1:9" x14ac:dyDescent="0.3">
      <c r="A1336" s="2" t="s">
        <v>82</v>
      </c>
      <c r="B1336" s="3">
        <v>44312.5</v>
      </c>
      <c r="C1336" s="1" t="str">
        <f t="shared" si="20"/>
        <v>21117</v>
      </c>
      <c r="D1336" t="s">
        <v>31</v>
      </c>
      <c r="E1336" s="2" t="s">
        <v>27</v>
      </c>
      <c r="F1336" s="2" t="str">
        <f>_xlfn.XLOOKUP(Table1_1[[#This Row],[CAS_rn]],[1]analyte_order!$C:$C,[1]analyte_order!$B:$B)</f>
        <v>PFHpS</v>
      </c>
      <c r="G1336" t="s">
        <v>123</v>
      </c>
      <c r="H1336" s="2">
        <f>_xlfn.XLOOKUP(Table1_1[[#This Row],[CAS_rn]],[1]analyte_order!$C:$C,[1]analyte_order!$E:$E)</f>
        <v>17</v>
      </c>
      <c r="I1336">
        <v>0.05</v>
      </c>
    </row>
    <row r="1337" spans="1:9" x14ac:dyDescent="0.3">
      <c r="A1337" s="2" t="s">
        <v>82</v>
      </c>
      <c r="B1337" s="3">
        <v>44312.5</v>
      </c>
      <c r="C1337" s="1" t="str">
        <f t="shared" si="20"/>
        <v>21117</v>
      </c>
      <c r="D1337" t="s">
        <v>31</v>
      </c>
      <c r="E1337" s="2" t="s">
        <v>27</v>
      </c>
      <c r="F1337" s="2" t="str">
        <f>_xlfn.XLOOKUP(Table1_1[[#This Row],[CAS_rn]],[1]analyte_order!$C:$C,[1]analyte_order!$B:$B)</f>
        <v>PFOS</v>
      </c>
      <c r="G1337" t="s">
        <v>124</v>
      </c>
      <c r="H1337" s="2">
        <f>_xlfn.XLOOKUP(Table1_1[[#This Row],[CAS_rn]],[1]analyte_order!$C:$C,[1]analyte_order!$E:$E)</f>
        <v>18</v>
      </c>
      <c r="I1337">
        <v>1.9</v>
      </c>
    </row>
    <row r="1338" spans="1:9" x14ac:dyDescent="0.3">
      <c r="A1338" s="2" t="s">
        <v>82</v>
      </c>
      <c r="B1338" s="3">
        <v>44312.5</v>
      </c>
      <c r="C1338" s="1" t="str">
        <f t="shared" si="20"/>
        <v>21117</v>
      </c>
      <c r="D1338" t="s">
        <v>31</v>
      </c>
      <c r="E1338" s="2" t="s">
        <v>27</v>
      </c>
      <c r="F1338" s="2" t="str">
        <f>_xlfn.XLOOKUP(Table1_1[[#This Row],[CAS_rn]],[1]analyte_order!$C:$C,[1]analyte_order!$B:$B)</f>
        <v>PFNS</v>
      </c>
      <c r="G1338" t="s">
        <v>125</v>
      </c>
      <c r="H1338" s="2">
        <f>_xlfn.XLOOKUP(Table1_1[[#This Row],[CAS_rn]],[1]analyte_order!$C:$C,[1]analyte_order!$E:$E)</f>
        <v>19</v>
      </c>
      <c r="I1338">
        <v>0.05</v>
      </c>
    </row>
    <row r="1339" spans="1:9" x14ac:dyDescent="0.3">
      <c r="A1339" s="2" t="s">
        <v>82</v>
      </c>
      <c r="B1339" s="3">
        <v>44312.5</v>
      </c>
      <c r="C1339" s="1" t="str">
        <f t="shared" si="20"/>
        <v>21117</v>
      </c>
      <c r="D1339" t="s">
        <v>31</v>
      </c>
      <c r="E1339" s="2" t="s">
        <v>27</v>
      </c>
      <c r="F1339" s="2" t="str">
        <f>_xlfn.XLOOKUP(Table1_1[[#This Row],[CAS_rn]],[1]analyte_order!$C:$C,[1]analyte_order!$B:$B)</f>
        <v>PFDoS</v>
      </c>
      <c r="G1339" t="s">
        <v>126</v>
      </c>
      <c r="H1339" s="2">
        <f>_xlfn.XLOOKUP(Table1_1[[#This Row],[CAS_rn]],[1]analyte_order!$C:$C,[1]analyte_order!$E:$E)</f>
        <v>21</v>
      </c>
      <c r="I1339">
        <v>0.05</v>
      </c>
    </row>
    <row r="1340" spans="1:9" x14ac:dyDescent="0.3">
      <c r="A1340" s="2" t="s">
        <v>82</v>
      </c>
      <c r="B1340" s="3">
        <v>44312.5</v>
      </c>
      <c r="C1340" s="1" t="str">
        <f t="shared" si="20"/>
        <v>21117</v>
      </c>
      <c r="D1340" t="s">
        <v>31</v>
      </c>
      <c r="E1340" s="2" t="s">
        <v>27</v>
      </c>
      <c r="F1340" s="2" t="str">
        <f>_xlfn.XLOOKUP(Table1_1[[#This Row],[CAS_rn]],[1]analyte_order!$C:$C,[1]analyte_order!$B:$B)</f>
        <v>4:2 FTS</v>
      </c>
      <c r="G1340" t="s">
        <v>127</v>
      </c>
      <c r="H1340" s="2">
        <f>_xlfn.XLOOKUP(Table1_1[[#This Row],[CAS_rn]],[1]analyte_order!$C:$C,[1]analyte_order!$E:$E)</f>
        <v>22</v>
      </c>
      <c r="I1340">
        <v>0.2</v>
      </c>
    </row>
    <row r="1341" spans="1:9" x14ac:dyDescent="0.3">
      <c r="A1341" s="2" t="s">
        <v>82</v>
      </c>
      <c r="B1341" s="3">
        <v>44312.5</v>
      </c>
      <c r="C1341" s="1" t="str">
        <f t="shared" si="20"/>
        <v>21117</v>
      </c>
      <c r="D1341" t="s">
        <v>31</v>
      </c>
      <c r="E1341" s="2" t="s">
        <v>27</v>
      </c>
      <c r="F1341" s="2" t="str">
        <f>_xlfn.XLOOKUP(Table1_1[[#This Row],[CAS_rn]],[1]analyte_order!$C:$C,[1]analyte_order!$B:$B)</f>
        <v>6:2 FTS</v>
      </c>
      <c r="G1341" t="s">
        <v>128</v>
      </c>
      <c r="H1341" s="2">
        <f>_xlfn.XLOOKUP(Table1_1[[#This Row],[CAS_rn]],[1]analyte_order!$C:$C,[1]analyte_order!$E:$E)</f>
        <v>23</v>
      </c>
      <c r="I1341">
        <v>0.4</v>
      </c>
    </row>
    <row r="1342" spans="1:9" x14ac:dyDescent="0.3">
      <c r="A1342" s="2" t="s">
        <v>82</v>
      </c>
      <c r="B1342" s="3">
        <v>44312.5</v>
      </c>
      <c r="C1342" s="1" t="str">
        <f t="shared" si="20"/>
        <v>21117</v>
      </c>
      <c r="D1342" t="s">
        <v>31</v>
      </c>
      <c r="E1342" s="2" t="s">
        <v>27</v>
      </c>
      <c r="F1342" s="2" t="str">
        <f>_xlfn.XLOOKUP(Table1_1[[#This Row],[CAS_rn]],[1]analyte_order!$C:$C,[1]analyte_order!$B:$B)</f>
        <v>8:2 FTS</v>
      </c>
      <c r="G1342" t="s">
        <v>129</v>
      </c>
      <c r="H1342" s="2">
        <f>_xlfn.XLOOKUP(Table1_1[[#This Row],[CAS_rn]],[1]analyte_order!$C:$C,[1]analyte_order!$E:$E)</f>
        <v>24</v>
      </c>
      <c r="I1342">
        <v>0.4</v>
      </c>
    </row>
    <row r="1343" spans="1:9" x14ac:dyDescent="0.3">
      <c r="A1343" s="2" t="s">
        <v>82</v>
      </c>
      <c r="B1343" s="3">
        <v>44312.5</v>
      </c>
      <c r="C1343" s="1" t="str">
        <f t="shared" si="20"/>
        <v>21117</v>
      </c>
      <c r="D1343" t="s">
        <v>31</v>
      </c>
      <c r="E1343" s="2" t="s">
        <v>27</v>
      </c>
      <c r="F1343" s="2" t="str">
        <f>_xlfn.XLOOKUP(Table1_1[[#This Row],[CAS_rn]],[1]analyte_order!$C:$C,[1]analyte_order!$B:$B)</f>
        <v>FOSA</v>
      </c>
      <c r="G1343" t="s">
        <v>130</v>
      </c>
      <c r="H1343" s="2">
        <f>_xlfn.XLOOKUP(Table1_1[[#This Row],[CAS_rn]],[1]analyte_order!$C:$C,[1]analyte_order!$E:$E)</f>
        <v>28</v>
      </c>
      <c r="I1343">
        <v>0.13</v>
      </c>
    </row>
    <row r="1344" spans="1:9" x14ac:dyDescent="0.3">
      <c r="A1344" s="2" t="s">
        <v>82</v>
      </c>
      <c r="B1344" s="3">
        <v>44312.5</v>
      </c>
      <c r="C1344" s="1" t="str">
        <f t="shared" si="20"/>
        <v>21117</v>
      </c>
      <c r="D1344" t="s">
        <v>31</v>
      </c>
      <c r="E1344" s="2" t="s">
        <v>27</v>
      </c>
      <c r="F1344" s="2" t="str">
        <f>_xlfn.XLOOKUP(Table1_1[[#This Row],[CAS_rn]],[1]analyte_order!$C:$C,[1]analyte_order!$B:$B)</f>
        <v>N-MeFOSA</v>
      </c>
      <c r="G1344" t="s">
        <v>131</v>
      </c>
      <c r="H1344" s="2">
        <f>_xlfn.XLOOKUP(Table1_1[[#This Row],[CAS_rn]],[1]analyte_order!$C:$C,[1]analyte_order!$E:$E)</f>
        <v>30</v>
      </c>
      <c r="I1344">
        <v>0.05</v>
      </c>
    </row>
    <row r="1345" spans="1:9" x14ac:dyDescent="0.3">
      <c r="A1345" s="2" t="s">
        <v>82</v>
      </c>
      <c r="B1345" s="3">
        <v>44312.5</v>
      </c>
      <c r="C1345" s="1" t="str">
        <f t="shared" si="20"/>
        <v>21117</v>
      </c>
      <c r="D1345" t="s">
        <v>31</v>
      </c>
      <c r="E1345" s="2" t="s">
        <v>27</v>
      </c>
      <c r="F1345" s="2" t="str">
        <f>_xlfn.XLOOKUP(Table1_1[[#This Row],[CAS_rn]],[1]analyte_order!$C:$C,[1]analyte_order!$B:$B)</f>
        <v>N-MeFOSAA</v>
      </c>
      <c r="G1345" t="s">
        <v>132</v>
      </c>
      <c r="H1345" s="2">
        <f>_xlfn.XLOOKUP(Table1_1[[#This Row],[CAS_rn]],[1]analyte_order!$C:$C,[1]analyte_order!$E:$E)</f>
        <v>26</v>
      </c>
      <c r="I1345">
        <v>0.05</v>
      </c>
    </row>
    <row r="1346" spans="1:9" x14ac:dyDescent="0.3">
      <c r="A1346" s="2" t="s">
        <v>82</v>
      </c>
      <c r="B1346" s="3">
        <v>44312.5</v>
      </c>
      <c r="C1346" s="1" t="str">
        <f t="shared" si="20"/>
        <v>21117</v>
      </c>
      <c r="D1346" t="s">
        <v>31</v>
      </c>
      <c r="E1346" s="2" t="s">
        <v>27</v>
      </c>
      <c r="F1346" s="2" t="str">
        <f>_xlfn.XLOOKUP(Table1_1[[#This Row],[CAS_rn]],[1]analyte_order!$C:$C,[1]analyte_order!$B:$B)</f>
        <v>N-EtFOSA</v>
      </c>
      <c r="G1346" t="s">
        <v>133</v>
      </c>
      <c r="H1346" s="2">
        <f>_xlfn.XLOOKUP(Table1_1[[#This Row],[CAS_rn]],[1]analyte_order!$C:$C,[1]analyte_order!$E:$E)</f>
        <v>31</v>
      </c>
      <c r="I1346">
        <v>0.05</v>
      </c>
    </row>
    <row r="1347" spans="1:9" x14ac:dyDescent="0.3">
      <c r="A1347" s="2" t="s">
        <v>82</v>
      </c>
      <c r="B1347" s="3">
        <v>44312.5</v>
      </c>
      <c r="C1347" s="1" t="str">
        <f t="shared" ref="C1347:C1409" si="21">TEXT(B1347,"yy")&amp;TEXT((B1347-DATEVALUE("1/1/"&amp;TEXT(B1347,"yy"))+1),"000")</f>
        <v>21117</v>
      </c>
      <c r="D1347" t="s">
        <v>31</v>
      </c>
      <c r="E1347" s="2" t="s">
        <v>27</v>
      </c>
      <c r="F1347" s="2" t="str">
        <f>_xlfn.XLOOKUP(Table1_1[[#This Row],[CAS_rn]],[1]analyte_order!$C:$C,[1]analyte_order!$B:$B)</f>
        <v>N-EtFOSAA</v>
      </c>
      <c r="G1347" t="s">
        <v>134</v>
      </c>
      <c r="H1347" s="2">
        <f>_xlfn.XLOOKUP(Table1_1[[#This Row],[CAS_rn]],[1]analyte_order!$C:$C,[1]analyte_order!$E:$E)</f>
        <v>27</v>
      </c>
      <c r="I1347">
        <v>0.05</v>
      </c>
    </row>
    <row r="1348" spans="1:9" x14ac:dyDescent="0.3">
      <c r="A1348" s="2" t="s">
        <v>82</v>
      </c>
      <c r="B1348" s="3">
        <v>44312.5</v>
      </c>
      <c r="C1348" s="1" t="str">
        <f t="shared" si="21"/>
        <v>21117</v>
      </c>
      <c r="D1348" t="s">
        <v>31</v>
      </c>
      <c r="E1348" s="2" t="s">
        <v>27</v>
      </c>
      <c r="F1348" s="2" t="str">
        <f>_xlfn.XLOOKUP(Table1_1[[#This Row],[CAS_rn]],[1]analyte_order!$C:$C,[1]analyte_order!$B:$B)</f>
        <v>N-MeFOSE</v>
      </c>
      <c r="G1348" t="s">
        <v>135</v>
      </c>
      <c r="H1348" s="2">
        <f>_xlfn.XLOOKUP(Table1_1[[#This Row],[CAS_rn]],[1]analyte_order!$C:$C,[1]analyte_order!$E:$E)</f>
        <v>32</v>
      </c>
      <c r="I1348">
        <v>0.5</v>
      </c>
    </row>
    <row r="1349" spans="1:9" x14ac:dyDescent="0.3">
      <c r="A1349" s="2" t="s">
        <v>82</v>
      </c>
      <c r="B1349" s="3">
        <v>44312.5</v>
      </c>
      <c r="C1349" s="1" t="str">
        <f t="shared" si="21"/>
        <v>21117</v>
      </c>
      <c r="D1349" t="s">
        <v>31</v>
      </c>
      <c r="E1349" s="2" t="s">
        <v>27</v>
      </c>
      <c r="F1349" s="2" t="str">
        <f>_xlfn.XLOOKUP(Table1_1[[#This Row],[CAS_rn]],[1]analyte_order!$C:$C,[1]analyte_order!$B:$B)</f>
        <v>N-EtFOSE</v>
      </c>
      <c r="G1349" t="s">
        <v>136</v>
      </c>
      <c r="H1349" s="2">
        <f>_xlfn.XLOOKUP(Table1_1[[#This Row],[CAS_rn]],[1]analyte_order!$C:$C,[1]analyte_order!$E:$E)</f>
        <v>33</v>
      </c>
      <c r="I1349">
        <v>0.5</v>
      </c>
    </row>
    <row r="1350" spans="1:9" x14ac:dyDescent="0.3">
      <c r="A1350" s="2" t="s">
        <v>82</v>
      </c>
      <c r="B1350" s="3">
        <v>44312.5</v>
      </c>
      <c r="C1350" s="1" t="str">
        <f t="shared" si="21"/>
        <v>21117</v>
      </c>
      <c r="D1350" t="s">
        <v>31</v>
      </c>
      <c r="E1350" s="2" t="s">
        <v>27</v>
      </c>
      <c r="F1350" s="2" t="str">
        <f>_xlfn.XLOOKUP(Table1_1[[#This Row],[CAS_rn]],[1]analyte_order!$C:$C,[1]analyte_order!$B:$B)</f>
        <v>HFPO-DA</v>
      </c>
      <c r="G1350" t="s">
        <v>137</v>
      </c>
      <c r="H1350" s="2">
        <f>_xlfn.XLOOKUP(Table1_1[[#This Row],[CAS_rn]],[1]analyte_order!$C:$C,[1]analyte_order!$E:$E)</f>
        <v>34</v>
      </c>
      <c r="I1350">
        <v>0.3</v>
      </c>
    </row>
    <row r="1351" spans="1:9" x14ac:dyDescent="0.3">
      <c r="A1351" s="2" t="s">
        <v>82</v>
      </c>
      <c r="B1351" s="3">
        <v>44312.5</v>
      </c>
      <c r="C1351" s="1" t="str">
        <f t="shared" si="21"/>
        <v>21117</v>
      </c>
      <c r="D1351" t="s">
        <v>31</v>
      </c>
      <c r="E1351" s="2" t="s">
        <v>27</v>
      </c>
      <c r="F1351" s="2" t="str">
        <f>_xlfn.XLOOKUP(Table1_1[[#This Row],[CAS_rn]],[1]analyte_order!$C:$C,[1]analyte_order!$B:$B)</f>
        <v>ADONA</v>
      </c>
      <c r="G1351" t="s">
        <v>138</v>
      </c>
      <c r="H1351" s="2">
        <f>_xlfn.XLOOKUP(Table1_1[[#This Row],[CAS_rn]],[1]analyte_order!$C:$C,[1]analyte_order!$E:$E)</f>
        <v>35</v>
      </c>
      <c r="I1351">
        <v>0.2</v>
      </c>
    </row>
    <row r="1352" spans="1:9" x14ac:dyDescent="0.3">
      <c r="A1352" s="2" t="s">
        <v>82</v>
      </c>
      <c r="B1352" s="3">
        <v>44312.5</v>
      </c>
      <c r="C1352" s="1" t="str">
        <f t="shared" si="21"/>
        <v>21117</v>
      </c>
      <c r="D1352" t="s">
        <v>31</v>
      </c>
      <c r="E1352" s="2" t="s">
        <v>27</v>
      </c>
      <c r="F1352" s="2" t="str">
        <f>_xlfn.XLOOKUP(Table1_1[[#This Row],[CAS_rn]],[1]analyte_order!$C:$C,[1]analyte_order!$B:$B)</f>
        <v>PFMBA</v>
      </c>
      <c r="G1352" t="s">
        <v>139</v>
      </c>
      <c r="H1352" s="2">
        <f>_xlfn.XLOOKUP(Table1_1[[#This Row],[CAS_rn]],[1]analyte_order!$C:$C,[1]analyte_order!$E:$E)</f>
        <v>48</v>
      </c>
      <c r="I1352">
        <v>0.1</v>
      </c>
    </row>
    <row r="1353" spans="1:9" x14ac:dyDescent="0.3">
      <c r="A1353" s="2" t="s">
        <v>82</v>
      </c>
      <c r="B1353" s="3">
        <v>44312.5</v>
      </c>
      <c r="C1353" s="1" t="str">
        <f t="shared" si="21"/>
        <v>21117</v>
      </c>
      <c r="D1353" t="s">
        <v>31</v>
      </c>
      <c r="E1353" s="2" t="s">
        <v>27</v>
      </c>
      <c r="F1353" s="2" t="str">
        <f>_xlfn.XLOOKUP(Table1_1[[#This Row],[CAS_rn]],[1]analyte_order!$C:$C,[1]analyte_order!$B:$B)</f>
        <v>NFDHA</v>
      </c>
      <c r="G1353" t="s">
        <v>140</v>
      </c>
      <c r="H1353" s="2">
        <f>_xlfn.XLOOKUP(Table1_1[[#This Row],[CAS_rn]],[1]analyte_order!$C:$C,[1]analyte_order!$E:$E)</f>
        <v>50</v>
      </c>
      <c r="I1353">
        <v>0.1</v>
      </c>
    </row>
    <row r="1354" spans="1:9" x14ac:dyDescent="0.3">
      <c r="A1354" s="2" t="s">
        <v>82</v>
      </c>
      <c r="B1354" s="3">
        <v>44312.5</v>
      </c>
      <c r="C1354" s="1" t="str">
        <f t="shared" si="21"/>
        <v>21117</v>
      </c>
      <c r="D1354" t="s">
        <v>31</v>
      </c>
      <c r="E1354" s="2" t="s">
        <v>27</v>
      </c>
      <c r="F1354" s="2" t="str">
        <f>_xlfn.XLOOKUP(Table1_1[[#This Row],[CAS_rn]],[1]analyte_order!$C:$C,[1]analyte_order!$B:$B)</f>
        <v>9Cl-PF3ONS</v>
      </c>
      <c r="G1354" t="s">
        <v>141</v>
      </c>
      <c r="H1354" s="2">
        <f>_xlfn.XLOOKUP(Table1_1[[#This Row],[CAS_rn]],[1]analyte_order!$C:$C,[1]analyte_order!$E:$E)</f>
        <v>36</v>
      </c>
      <c r="I1354">
        <v>0.2</v>
      </c>
    </row>
    <row r="1355" spans="1:9" x14ac:dyDescent="0.3">
      <c r="A1355" s="2" t="s">
        <v>82</v>
      </c>
      <c r="B1355" s="3">
        <v>44312.5</v>
      </c>
      <c r="C1355" s="1" t="str">
        <f t="shared" si="21"/>
        <v>21117</v>
      </c>
      <c r="D1355" t="s">
        <v>31</v>
      </c>
      <c r="E1355" s="2" t="s">
        <v>27</v>
      </c>
      <c r="F1355" s="2" t="str">
        <f>_xlfn.XLOOKUP(Table1_1[[#This Row],[CAS_rn]],[1]analyte_order!$C:$C,[1]analyte_order!$B:$B)</f>
        <v>11Cl-PF3OUdS</v>
      </c>
      <c r="G1355" t="s">
        <v>142</v>
      </c>
      <c r="H1355" s="2">
        <f>_xlfn.XLOOKUP(Table1_1[[#This Row],[CAS_rn]],[1]analyte_order!$C:$C,[1]analyte_order!$E:$E)</f>
        <v>37</v>
      </c>
      <c r="I1355">
        <v>0.2</v>
      </c>
    </row>
    <row r="1356" spans="1:9" x14ac:dyDescent="0.3">
      <c r="A1356" s="2" t="s">
        <v>82</v>
      </c>
      <c r="B1356" s="3">
        <v>44312.5</v>
      </c>
      <c r="C1356" s="1" t="str">
        <f t="shared" si="21"/>
        <v>21117</v>
      </c>
      <c r="D1356" t="s">
        <v>31</v>
      </c>
      <c r="E1356" s="2" t="s">
        <v>27</v>
      </c>
      <c r="F1356" s="2" t="str">
        <f>_xlfn.XLOOKUP(Table1_1[[#This Row],[CAS_rn]],[1]analyte_order!$C:$C,[1]analyte_order!$B:$B)</f>
        <v>PFEESA</v>
      </c>
      <c r="G1356" t="s">
        <v>143</v>
      </c>
      <c r="H1356" s="2">
        <f>_xlfn.XLOOKUP(Table1_1[[#This Row],[CAS_rn]],[1]analyte_order!$C:$C,[1]analyte_order!$E:$E)</f>
        <v>47</v>
      </c>
      <c r="I1356">
        <v>0.1</v>
      </c>
    </row>
    <row r="1357" spans="1:9" x14ac:dyDescent="0.3">
      <c r="A1357" s="2" t="s">
        <v>82</v>
      </c>
      <c r="B1357" s="3">
        <v>44312.5</v>
      </c>
      <c r="C1357" s="1" t="str">
        <f t="shared" si="21"/>
        <v>21117</v>
      </c>
      <c r="D1357" t="s">
        <v>31</v>
      </c>
      <c r="E1357" s="2" t="s">
        <v>27</v>
      </c>
      <c r="F1357" s="2" t="str">
        <f>_xlfn.XLOOKUP(Table1_1[[#This Row],[CAS_rn]],[1]analyte_order!$C:$C,[1]analyte_order!$B:$B)</f>
        <v>3:3 FTCA</v>
      </c>
      <c r="G1357" t="s">
        <v>144</v>
      </c>
      <c r="H1357" s="2">
        <f>_xlfn.XLOOKUP(Table1_1[[#This Row],[CAS_rn]],[1]analyte_order!$C:$C,[1]analyte_order!$E:$E)</f>
        <v>38</v>
      </c>
      <c r="I1357">
        <v>0.25</v>
      </c>
    </row>
    <row r="1358" spans="1:9" x14ac:dyDescent="0.3">
      <c r="A1358" s="2" t="s">
        <v>82</v>
      </c>
      <c r="B1358" s="3">
        <v>44312.5</v>
      </c>
      <c r="C1358" s="1" t="str">
        <f t="shared" si="21"/>
        <v>21117</v>
      </c>
      <c r="D1358" t="s">
        <v>31</v>
      </c>
      <c r="E1358" s="2" t="s">
        <v>27</v>
      </c>
      <c r="F1358" s="2" t="str">
        <f>_xlfn.XLOOKUP(Table1_1[[#This Row],[CAS_rn]],[1]analyte_order!$C:$C,[1]analyte_order!$B:$B)</f>
        <v>5:3 FTCA</v>
      </c>
      <c r="G1358" t="s">
        <v>145</v>
      </c>
      <c r="H1358" s="2">
        <f>_xlfn.XLOOKUP(Table1_1[[#This Row],[CAS_rn]],[1]analyte_order!$C:$C,[1]analyte_order!$E:$E)</f>
        <v>39</v>
      </c>
      <c r="I1358">
        <v>1.25</v>
      </c>
    </row>
    <row r="1359" spans="1:9" x14ac:dyDescent="0.3">
      <c r="A1359" s="2" t="s">
        <v>82</v>
      </c>
      <c r="B1359" s="3">
        <v>44312.5</v>
      </c>
      <c r="C1359" s="1" t="str">
        <f t="shared" si="21"/>
        <v>21117</v>
      </c>
      <c r="D1359" t="s">
        <v>31</v>
      </c>
      <c r="E1359" s="2" t="s">
        <v>27</v>
      </c>
      <c r="F1359" s="2" t="str">
        <f>_xlfn.XLOOKUP(Table1_1[[#This Row],[CAS_rn]],[1]analyte_order!$C:$C,[1]analyte_order!$B:$B)</f>
        <v>7:3 FTCA</v>
      </c>
      <c r="G1359" t="s">
        <v>146</v>
      </c>
      <c r="H1359" s="2">
        <f>_xlfn.XLOOKUP(Table1_1[[#This Row],[CAS_rn]],[1]analyte_order!$C:$C,[1]analyte_order!$E:$E)</f>
        <v>40</v>
      </c>
      <c r="I1359">
        <v>1.25</v>
      </c>
    </row>
    <row r="1360" spans="1:9" x14ac:dyDescent="0.3">
      <c r="A1360" s="2" t="s">
        <v>82</v>
      </c>
      <c r="B1360" s="3">
        <v>44312.5</v>
      </c>
      <c r="C1360" s="1" t="str">
        <f t="shared" si="21"/>
        <v>21117</v>
      </c>
      <c r="D1360" t="s">
        <v>31</v>
      </c>
      <c r="E1360" s="2" t="s">
        <v>27</v>
      </c>
      <c r="F1360" s="2" t="str">
        <f>_xlfn.XLOOKUP(Table1_1[[#This Row],[CAS_rn]],[1]analyte_order!$C:$C,[1]analyte_order!$B:$B)</f>
        <v>PFDS</v>
      </c>
      <c r="G1360" t="s">
        <v>147</v>
      </c>
      <c r="H1360" s="2">
        <f>_xlfn.XLOOKUP(Table1_1[[#This Row],[CAS_rn]],[1]analyte_order!$C:$C,[1]analyte_order!$E:$E)</f>
        <v>20</v>
      </c>
      <c r="I1360">
        <v>0.05</v>
      </c>
    </row>
    <row r="1361" spans="1:9" x14ac:dyDescent="0.3">
      <c r="A1361" s="2" t="s">
        <v>82</v>
      </c>
      <c r="B1361" s="3">
        <v>44312.5</v>
      </c>
      <c r="C1361" s="1" t="str">
        <f t="shared" si="21"/>
        <v>21117</v>
      </c>
      <c r="D1361" t="s">
        <v>31</v>
      </c>
      <c r="E1361" s="2" t="s">
        <v>27</v>
      </c>
      <c r="F1361" s="2" t="str">
        <f>_xlfn.XLOOKUP(Table1_1[[#This Row],[CAS_rn]],[1]analyte_order!$C:$C,[1]analyte_order!$B:$B)</f>
        <v>PFMPA</v>
      </c>
      <c r="G1361" t="s">
        <v>148</v>
      </c>
      <c r="H1361" s="2">
        <f>_xlfn.XLOOKUP(Table1_1[[#This Row],[CAS_rn]],[1]analyte_order!$C:$C,[1]analyte_order!$E:$E)</f>
        <v>49</v>
      </c>
      <c r="I1361">
        <v>0.1</v>
      </c>
    </row>
    <row r="1362" spans="1:9" x14ac:dyDescent="0.3">
      <c r="A1362" s="2" t="s">
        <v>83</v>
      </c>
      <c r="B1362" s="3">
        <v>44312.5</v>
      </c>
      <c r="C1362" s="1" t="str">
        <f t="shared" si="21"/>
        <v>21117</v>
      </c>
      <c r="D1362" t="s">
        <v>33</v>
      </c>
      <c r="E1362" s="2" t="s">
        <v>27</v>
      </c>
      <c r="F1362" s="2" t="str">
        <f>_xlfn.XLOOKUP(Table1_1[[#This Row],[CAS_rn]],[1]analyte_order!$C:$C,[1]analyte_order!$B:$B)</f>
        <v>PFBA</v>
      </c>
      <c r="G1362" t="s">
        <v>109</v>
      </c>
      <c r="H1362" s="2">
        <f>_xlfn.XLOOKUP(Table1_1[[#This Row],[CAS_rn]],[1]analyte_order!$C:$C,[1]analyte_order!$E:$E)</f>
        <v>1</v>
      </c>
      <c r="I1362">
        <v>0.2</v>
      </c>
    </row>
    <row r="1363" spans="1:9" x14ac:dyDescent="0.3">
      <c r="A1363" s="2" t="s">
        <v>83</v>
      </c>
      <c r="B1363" s="3">
        <v>44312.5</v>
      </c>
      <c r="C1363" s="1" t="str">
        <f t="shared" si="21"/>
        <v>21117</v>
      </c>
      <c r="D1363" t="s">
        <v>33</v>
      </c>
      <c r="E1363" s="2" t="s">
        <v>27</v>
      </c>
      <c r="F1363" s="2" t="str">
        <f>_xlfn.XLOOKUP(Table1_1[[#This Row],[CAS_rn]],[1]analyte_order!$C:$C,[1]analyte_order!$B:$B)</f>
        <v>PFPeA</v>
      </c>
      <c r="G1363" t="s">
        <v>110</v>
      </c>
      <c r="H1363" s="2">
        <f>_xlfn.XLOOKUP(Table1_1[[#This Row],[CAS_rn]],[1]analyte_order!$C:$C,[1]analyte_order!$E:$E)</f>
        <v>2</v>
      </c>
      <c r="I1363">
        <v>0.1</v>
      </c>
    </row>
    <row r="1364" spans="1:9" x14ac:dyDescent="0.3">
      <c r="A1364" s="2" t="s">
        <v>83</v>
      </c>
      <c r="B1364" s="3">
        <v>44312.5</v>
      </c>
      <c r="C1364" s="1" t="str">
        <f t="shared" si="21"/>
        <v>21117</v>
      </c>
      <c r="D1364" t="s">
        <v>33</v>
      </c>
      <c r="E1364" s="2" t="s">
        <v>27</v>
      </c>
      <c r="F1364" s="2" t="str">
        <f>_xlfn.XLOOKUP(Table1_1[[#This Row],[CAS_rn]],[1]analyte_order!$C:$C,[1]analyte_order!$B:$B)</f>
        <v>PFHxA</v>
      </c>
      <c r="G1364" t="s">
        <v>111</v>
      </c>
      <c r="H1364" s="2">
        <f>_xlfn.XLOOKUP(Table1_1[[#This Row],[CAS_rn]],[1]analyte_order!$C:$C,[1]analyte_order!$E:$E)</f>
        <v>3</v>
      </c>
      <c r="I1364">
        <v>0.09</v>
      </c>
    </row>
    <row r="1365" spans="1:9" x14ac:dyDescent="0.3">
      <c r="A1365" s="2" t="s">
        <v>83</v>
      </c>
      <c r="B1365" s="3">
        <v>44312.5</v>
      </c>
      <c r="C1365" s="1" t="str">
        <f t="shared" si="21"/>
        <v>21117</v>
      </c>
      <c r="D1365" t="s">
        <v>33</v>
      </c>
      <c r="E1365" s="2" t="s">
        <v>27</v>
      </c>
      <c r="F1365" s="2" t="str">
        <f>_xlfn.XLOOKUP(Table1_1[[#This Row],[CAS_rn]],[1]analyte_order!$C:$C,[1]analyte_order!$B:$B)</f>
        <v>PFHpA</v>
      </c>
      <c r="G1365" t="s">
        <v>112</v>
      </c>
      <c r="H1365" s="2">
        <f>_xlfn.XLOOKUP(Table1_1[[#This Row],[CAS_rn]],[1]analyte_order!$C:$C,[1]analyte_order!$E:$E)</f>
        <v>4</v>
      </c>
      <c r="I1365">
        <v>0.09</v>
      </c>
    </row>
    <row r="1366" spans="1:9" x14ac:dyDescent="0.3">
      <c r="A1366" s="2" t="s">
        <v>83</v>
      </c>
      <c r="B1366" s="3">
        <v>44312.5</v>
      </c>
      <c r="C1366" s="1" t="str">
        <f t="shared" si="21"/>
        <v>21117</v>
      </c>
      <c r="D1366" t="s">
        <v>33</v>
      </c>
      <c r="E1366" s="2" t="s">
        <v>27</v>
      </c>
      <c r="F1366" s="2" t="str">
        <f>_xlfn.XLOOKUP(Table1_1[[#This Row],[CAS_rn]],[1]analyte_order!$C:$C,[1]analyte_order!$B:$B)</f>
        <v>PFOA</v>
      </c>
      <c r="G1366" t="s">
        <v>113</v>
      </c>
      <c r="H1366" s="2">
        <f>_xlfn.XLOOKUP(Table1_1[[#This Row],[CAS_rn]],[1]analyte_order!$C:$C,[1]analyte_order!$E:$E)</f>
        <v>5</v>
      </c>
      <c r="I1366">
        <v>0.15</v>
      </c>
    </row>
    <row r="1367" spans="1:9" x14ac:dyDescent="0.3">
      <c r="A1367" s="2" t="s">
        <v>83</v>
      </c>
      <c r="B1367" s="3">
        <v>44312.5</v>
      </c>
      <c r="C1367" s="1" t="str">
        <f t="shared" si="21"/>
        <v>21117</v>
      </c>
      <c r="D1367" t="s">
        <v>33</v>
      </c>
      <c r="E1367" s="2" t="s">
        <v>27</v>
      </c>
      <c r="F1367" s="2" t="str">
        <f>_xlfn.XLOOKUP(Table1_1[[#This Row],[CAS_rn]],[1]analyte_order!$C:$C,[1]analyte_order!$B:$B)</f>
        <v>PFNA</v>
      </c>
      <c r="G1367" t="s">
        <v>114</v>
      </c>
      <c r="H1367" s="2">
        <f>_xlfn.XLOOKUP(Table1_1[[#This Row],[CAS_rn]],[1]analyte_order!$C:$C,[1]analyte_order!$E:$E)</f>
        <v>6</v>
      </c>
      <c r="I1367">
        <v>0.05</v>
      </c>
    </row>
    <row r="1368" spans="1:9" x14ac:dyDescent="0.3">
      <c r="A1368" s="2" t="s">
        <v>83</v>
      </c>
      <c r="B1368" s="3">
        <v>44312.5</v>
      </c>
      <c r="C1368" s="1" t="str">
        <f t="shared" si="21"/>
        <v>21117</v>
      </c>
      <c r="D1368" t="s">
        <v>33</v>
      </c>
      <c r="E1368" s="2" t="s">
        <v>27</v>
      </c>
      <c r="F1368" s="2" t="str">
        <f>_xlfn.XLOOKUP(Table1_1[[#This Row],[CAS_rn]],[1]analyte_order!$C:$C,[1]analyte_order!$B:$B)</f>
        <v>PFDA</v>
      </c>
      <c r="G1368" t="s">
        <v>115</v>
      </c>
      <c r="H1368" s="2">
        <f>_xlfn.XLOOKUP(Table1_1[[#This Row],[CAS_rn]],[1]analyte_order!$C:$C,[1]analyte_order!$E:$E)</f>
        <v>7</v>
      </c>
      <c r="I1368">
        <v>0.05</v>
      </c>
    </row>
    <row r="1369" spans="1:9" x14ac:dyDescent="0.3">
      <c r="A1369" s="2" t="s">
        <v>83</v>
      </c>
      <c r="B1369" s="3">
        <v>44312.5</v>
      </c>
      <c r="C1369" s="1" t="str">
        <f t="shared" si="21"/>
        <v>21117</v>
      </c>
      <c r="D1369" t="s">
        <v>33</v>
      </c>
      <c r="E1369" s="2" t="s">
        <v>27</v>
      </c>
      <c r="F1369" s="2" t="str">
        <f>_xlfn.XLOOKUP(Table1_1[[#This Row],[CAS_rn]],[1]analyte_order!$C:$C,[1]analyte_order!$B:$B)</f>
        <v>PFUnA</v>
      </c>
      <c r="G1369" t="s">
        <v>116</v>
      </c>
      <c r="H1369" s="2">
        <f>_xlfn.XLOOKUP(Table1_1[[#This Row],[CAS_rn]],[1]analyte_order!$C:$C,[1]analyte_order!$E:$E)</f>
        <v>8</v>
      </c>
      <c r="I1369">
        <v>0.05</v>
      </c>
    </row>
    <row r="1370" spans="1:9" x14ac:dyDescent="0.3">
      <c r="A1370" s="2" t="s">
        <v>83</v>
      </c>
      <c r="B1370" s="3">
        <v>44312.5</v>
      </c>
      <c r="C1370" s="1" t="str">
        <f t="shared" si="21"/>
        <v>21117</v>
      </c>
      <c r="D1370" t="s">
        <v>33</v>
      </c>
      <c r="E1370" s="2" t="s">
        <v>27</v>
      </c>
      <c r="F1370" s="2" t="str">
        <f>_xlfn.XLOOKUP(Table1_1[[#This Row],[CAS_rn]],[1]analyte_order!$C:$C,[1]analyte_order!$B:$B)</f>
        <v>PFDoA</v>
      </c>
      <c r="G1370" t="s">
        <v>117</v>
      </c>
      <c r="H1370" s="2">
        <f>_xlfn.XLOOKUP(Table1_1[[#This Row],[CAS_rn]],[1]analyte_order!$C:$C,[1]analyte_order!$E:$E)</f>
        <v>9</v>
      </c>
      <c r="I1370">
        <v>0.05</v>
      </c>
    </row>
    <row r="1371" spans="1:9" x14ac:dyDescent="0.3">
      <c r="A1371" s="2" t="s">
        <v>83</v>
      </c>
      <c r="B1371" s="3">
        <v>44312.5</v>
      </c>
      <c r="C1371" s="1" t="str">
        <f t="shared" si="21"/>
        <v>21117</v>
      </c>
      <c r="D1371" t="s">
        <v>33</v>
      </c>
      <c r="E1371" s="2" t="s">
        <v>27</v>
      </c>
      <c r="F1371" s="2" t="str">
        <f>_xlfn.XLOOKUP(Table1_1[[#This Row],[CAS_rn]],[1]analyte_order!$C:$C,[1]analyte_order!$B:$B)</f>
        <v>PFTrDA</v>
      </c>
      <c r="G1371" t="s">
        <v>118</v>
      </c>
      <c r="H1371" s="2">
        <f>_xlfn.XLOOKUP(Table1_1[[#This Row],[CAS_rn]],[1]analyte_order!$C:$C,[1]analyte_order!$E:$E)</f>
        <v>10</v>
      </c>
      <c r="I1371">
        <v>0.05</v>
      </c>
    </row>
    <row r="1372" spans="1:9" x14ac:dyDescent="0.3">
      <c r="A1372" s="2" t="s">
        <v>83</v>
      </c>
      <c r="B1372" s="3">
        <v>44312.5</v>
      </c>
      <c r="C1372" s="1" t="str">
        <f t="shared" si="21"/>
        <v>21117</v>
      </c>
      <c r="D1372" t="s">
        <v>33</v>
      </c>
      <c r="E1372" s="2" t="s">
        <v>27</v>
      </c>
      <c r="F1372" s="2" t="str">
        <f>_xlfn.XLOOKUP(Table1_1[[#This Row],[CAS_rn]],[1]analyte_order!$C:$C,[1]analyte_order!$B:$B)</f>
        <v>PFTeDA</v>
      </c>
      <c r="G1372" t="s">
        <v>119</v>
      </c>
      <c r="H1372" s="2">
        <f>_xlfn.XLOOKUP(Table1_1[[#This Row],[CAS_rn]],[1]analyte_order!$C:$C,[1]analyte_order!$E:$E)</f>
        <v>11</v>
      </c>
      <c r="I1372">
        <v>0.05</v>
      </c>
    </row>
    <row r="1373" spans="1:9" x14ac:dyDescent="0.3">
      <c r="A1373" s="2" t="s">
        <v>83</v>
      </c>
      <c r="B1373" s="3">
        <v>44312.5</v>
      </c>
      <c r="C1373" s="1" t="str">
        <f t="shared" si="21"/>
        <v>21117</v>
      </c>
      <c r="D1373" t="s">
        <v>33</v>
      </c>
      <c r="E1373" s="2" t="s">
        <v>27</v>
      </c>
      <c r="F1373" s="2" t="str">
        <f>_xlfn.XLOOKUP(Table1_1[[#This Row],[CAS_rn]],[1]analyte_order!$C:$C,[1]analyte_order!$B:$B)</f>
        <v>PFBS</v>
      </c>
      <c r="G1373" t="s">
        <v>120</v>
      </c>
      <c r="H1373" s="2">
        <f>_xlfn.XLOOKUP(Table1_1[[#This Row],[CAS_rn]],[1]analyte_order!$C:$C,[1]analyte_order!$E:$E)</f>
        <v>14</v>
      </c>
      <c r="I1373">
        <v>0.05</v>
      </c>
    </row>
    <row r="1374" spans="1:9" x14ac:dyDescent="0.3">
      <c r="A1374" s="2" t="s">
        <v>83</v>
      </c>
      <c r="B1374" s="3">
        <v>44312.5</v>
      </c>
      <c r="C1374" s="1" t="str">
        <f t="shared" si="21"/>
        <v>21117</v>
      </c>
      <c r="D1374" t="s">
        <v>33</v>
      </c>
      <c r="E1374" s="2" t="s">
        <v>27</v>
      </c>
      <c r="F1374" s="2" t="str">
        <f>_xlfn.XLOOKUP(Table1_1[[#This Row],[CAS_rn]],[1]analyte_order!$C:$C,[1]analyte_order!$B:$B)</f>
        <v>PFPeS</v>
      </c>
      <c r="G1374" t="s">
        <v>121</v>
      </c>
      <c r="H1374" s="2">
        <f>_xlfn.XLOOKUP(Table1_1[[#This Row],[CAS_rn]],[1]analyte_order!$C:$C,[1]analyte_order!$E:$E)</f>
        <v>15</v>
      </c>
      <c r="I1374">
        <v>0.05</v>
      </c>
    </row>
    <row r="1375" spans="1:9" x14ac:dyDescent="0.3">
      <c r="A1375" s="2" t="s">
        <v>83</v>
      </c>
      <c r="B1375" s="3">
        <v>44312.5</v>
      </c>
      <c r="C1375" s="1" t="str">
        <f t="shared" si="21"/>
        <v>21117</v>
      </c>
      <c r="D1375" t="s">
        <v>33</v>
      </c>
      <c r="E1375" s="2" t="s">
        <v>27</v>
      </c>
      <c r="F1375" s="2" t="str">
        <f>_xlfn.XLOOKUP(Table1_1[[#This Row],[CAS_rn]],[1]analyte_order!$C:$C,[1]analyte_order!$B:$B)</f>
        <v>PFHxS</v>
      </c>
      <c r="G1375" t="s">
        <v>122</v>
      </c>
      <c r="H1375" s="2">
        <f>_xlfn.XLOOKUP(Table1_1[[#This Row],[CAS_rn]],[1]analyte_order!$C:$C,[1]analyte_order!$E:$E)</f>
        <v>16</v>
      </c>
      <c r="I1375">
        <v>0.27</v>
      </c>
    </row>
    <row r="1376" spans="1:9" x14ac:dyDescent="0.3">
      <c r="A1376" s="2" t="s">
        <v>83</v>
      </c>
      <c r="B1376" s="3">
        <v>44312.5</v>
      </c>
      <c r="C1376" s="1" t="str">
        <f t="shared" si="21"/>
        <v>21117</v>
      </c>
      <c r="D1376" t="s">
        <v>33</v>
      </c>
      <c r="E1376" s="2" t="s">
        <v>27</v>
      </c>
      <c r="F1376" s="2" t="str">
        <f>_xlfn.XLOOKUP(Table1_1[[#This Row],[CAS_rn]],[1]analyte_order!$C:$C,[1]analyte_order!$B:$B)</f>
        <v>PFHpS</v>
      </c>
      <c r="G1376" t="s">
        <v>123</v>
      </c>
      <c r="H1376" s="2">
        <f>_xlfn.XLOOKUP(Table1_1[[#This Row],[CAS_rn]],[1]analyte_order!$C:$C,[1]analyte_order!$E:$E)</f>
        <v>17</v>
      </c>
      <c r="I1376">
        <v>0.05</v>
      </c>
    </row>
    <row r="1377" spans="1:9" x14ac:dyDescent="0.3">
      <c r="A1377" s="2" t="s">
        <v>83</v>
      </c>
      <c r="B1377" s="3">
        <v>44312.5</v>
      </c>
      <c r="C1377" s="1" t="str">
        <f t="shared" si="21"/>
        <v>21117</v>
      </c>
      <c r="D1377" t="s">
        <v>33</v>
      </c>
      <c r="E1377" s="2" t="s">
        <v>27</v>
      </c>
      <c r="F1377" s="2" t="str">
        <f>_xlfn.XLOOKUP(Table1_1[[#This Row],[CAS_rn]],[1]analyte_order!$C:$C,[1]analyte_order!$B:$B)</f>
        <v>PFOS</v>
      </c>
      <c r="G1377" t="s">
        <v>124</v>
      </c>
      <c r="H1377" s="2">
        <f>_xlfn.XLOOKUP(Table1_1[[#This Row],[CAS_rn]],[1]analyte_order!$C:$C,[1]analyte_order!$E:$E)</f>
        <v>18</v>
      </c>
      <c r="I1377">
        <v>1.4</v>
      </c>
    </row>
    <row r="1378" spans="1:9" x14ac:dyDescent="0.3">
      <c r="A1378" s="2" t="s">
        <v>83</v>
      </c>
      <c r="B1378" s="3">
        <v>44312.5</v>
      </c>
      <c r="C1378" s="1" t="str">
        <f t="shared" si="21"/>
        <v>21117</v>
      </c>
      <c r="D1378" t="s">
        <v>33</v>
      </c>
      <c r="E1378" s="2" t="s">
        <v>27</v>
      </c>
      <c r="F1378" s="2" t="str">
        <f>_xlfn.XLOOKUP(Table1_1[[#This Row],[CAS_rn]],[1]analyte_order!$C:$C,[1]analyte_order!$B:$B)</f>
        <v>PFNS</v>
      </c>
      <c r="G1378" t="s">
        <v>125</v>
      </c>
      <c r="H1378" s="2">
        <f>_xlfn.XLOOKUP(Table1_1[[#This Row],[CAS_rn]],[1]analyte_order!$C:$C,[1]analyte_order!$E:$E)</f>
        <v>19</v>
      </c>
      <c r="I1378">
        <v>0.05</v>
      </c>
    </row>
    <row r="1379" spans="1:9" x14ac:dyDescent="0.3">
      <c r="A1379" s="2" t="s">
        <v>83</v>
      </c>
      <c r="B1379" s="3">
        <v>44312.5</v>
      </c>
      <c r="C1379" s="1" t="str">
        <f t="shared" si="21"/>
        <v>21117</v>
      </c>
      <c r="D1379" t="s">
        <v>33</v>
      </c>
      <c r="E1379" s="2" t="s">
        <v>27</v>
      </c>
      <c r="F1379" s="2" t="str">
        <f>_xlfn.XLOOKUP(Table1_1[[#This Row],[CAS_rn]],[1]analyte_order!$C:$C,[1]analyte_order!$B:$B)</f>
        <v>PFDoS</v>
      </c>
      <c r="G1379" t="s">
        <v>126</v>
      </c>
      <c r="H1379" s="2">
        <f>_xlfn.XLOOKUP(Table1_1[[#This Row],[CAS_rn]],[1]analyte_order!$C:$C,[1]analyte_order!$E:$E)</f>
        <v>21</v>
      </c>
      <c r="I1379">
        <v>0.05</v>
      </c>
    </row>
    <row r="1380" spans="1:9" x14ac:dyDescent="0.3">
      <c r="A1380" s="2" t="s">
        <v>83</v>
      </c>
      <c r="B1380" s="3">
        <v>44312.5</v>
      </c>
      <c r="C1380" s="1" t="str">
        <f t="shared" si="21"/>
        <v>21117</v>
      </c>
      <c r="D1380" t="s">
        <v>33</v>
      </c>
      <c r="E1380" s="2" t="s">
        <v>27</v>
      </c>
      <c r="F1380" s="2" t="str">
        <f>_xlfn.XLOOKUP(Table1_1[[#This Row],[CAS_rn]],[1]analyte_order!$C:$C,[1]analyte_order!$B:$B)</f>
        <v>4:2 FTS</v>
      </c>
      <c r="G1380" t="s">
        <v>127</v>
      </c>
      <c r="H1380" s="2">
        <f>_xlfn.XLOOKUP(Table1_1[[#This Row],[CAS_rn]],[1]analyte_order!$C:$C,[1]analyte_order!$E:$E)</f>
        <v>22</v>
      </c>
      <c r="I1380">
        <v>0.2</v>
      </c>
    </row>
    <row r="1381" spans="1:9" x14ac:dyDescent="0.3">
      <c r="A1381" s="2" t="s">
        <v>83</v>
      </c>
      <c r="B1381" s="3">
        <v>44312.5</v>
      </c>
      <c r="C1381" s="1" t="str">
        <f t="shared" si="21"/>
        <v>21117</v>
      </c>
      <c r="D1381" t="s">
        <v>33</v>
      </c>
      <c r="E1381" s="2" t="s">
        <v>27</v>
      </c>
      <c r="F1381" s="2" t="str">
        <f>_xlfn.XLOOKUP(Table1_1[[#This Row],[CAS_rn]],[1]analyte_order!$C:$C,[1]analyte_order!$B:$B)</f>
        <v>6:2 FTS</v>
      </c>
      <c r="G1381" t="s">
        <v>128</v>
      </c>
      <c r="H1381" s="2">
        <f>_xlfn.XLOOKUP(Table1_1[[#This Row],[CAS_rn]],[1]analyte_order!$C:$C,[1]analyte_order!$E:$E)</f>
        <v>23</v>
      </c>
      <c r="I1381">
        <v>0.4</v>
      </c>
    </row>
    <row r="1382" spans="1:9" x14ac:dyDescent="0.3">
      <c r="A1382" s="2" t="s">
        <v>83</v>
      </c>
      <c r="B1382" s="3">
        <v>44312.5</v>
      </c>
      <c r="C1382" s="1" t="str">
        <f t="shared" si="21"/>
        <v>21117</v>
      </c>
      <c r="D1382" t="s">
        <v>33</v>
      </c>
      <c r="E1382" s="2" t="s">
        <v>27</v>
      </c>
      <c r="F1382" s="2" t="str">
        <f>_xlfn.XLOOKUP(Table1_1[[#This Row],[CAS_rn]],[1]analyte_order!$C:$C,[1]analyte_order!$B:$B)</f>
        <v>8:2 FTS</v>
      </c>
      <c r="G1382" t="s">
        <v>129</v>
      </c>
      <c r="H1382" s="2">
        <f>_xlfn.XLOOKUP(Table1_1[[#This Row],[CAS_rn]],[1]analyte_order!$C:$C,[1]analyte_order!$E:$E)</f>
        <v>24</v>
      </c>
      <c r="I1382">
        <v>0.4</v>
      </c>
    </row>
    <row r="1383" spans="1:9" x14ac:dyDescent="0.3">
      <c r="A1383" s="2" t="s">
        <v>83</v>
      </c>
      <c r="B1383" s="3">
        <v>44312.5</v>
      </c>
      <c r="C1383" s="1" t="str">
        <f t="shared" si="21"/>
        <v>21117</v>
      </c>
      <c r="D1383" t="s">
        <v>33</v>
      </c>
      <c r="E1383" s="2" t="s">
        <v>27</v>
      </c>
      <c r="F1383" s="2" t="str">
        <f>_xlfn.XLOOKUP(Table1_1[[#This Row],[CAS_rn]],[1]analyte_order!$C:$C,[1]analyte_order!$B:$B)</f>
        <v>FOSA</v>
      </c>
      <c r="G1383" t="s">
        <v>130</v>
      </c>
      <c r="H1383" s="2">
        <f>_xlfn.XLOOKUP(Table1_1[[#This Row],[CAS_rn]],[1]analyte_order!$C:$C,[1]analyte_order!$E:$E)</f>
        <v>28</v>
      </c>
      <c r="I1383">
        <v>9.2999999999999999E-2</v>
      </c>
    </row>
    <row r="1384" spans="1:9" x14ac:dyDescent="0.3">
      <c r="A1384" s="2" t="s">
        <v>83</v>
      </c>
      <c r="B1384" s="3">
        <v>44312.5</v>
      </c>
      <c r="C1384" s="1" t="str">
        <f t="shared" si="21"/>
        <v>21117</v>
      </c>
      <c r="D1384" t="s">
        <v>33</v>
      </c>
      <c r="E1384" s="2" t="s">
        <v>27</v>
      </c>
      <c r="F1384" s="2" t="str">
        <f>_xlfn.XLOOKUP(Table1_1[[#This Row],[CAS_rn]],[1]analyte_order!$C:$C,[1]analyte_order!$B:$B)</f>
        <v>N-MeFOSA</v>
      </c>
      <c r="G1384" t="s">
        <v>131</v>
      </c>
      <c r="H1384" s="2">
        <f>_xlfn.XLOOKUP(Table1_1[[#This Row],[CAS_rn]],[1]analyte_order!$C:$C,[1]analyte_order!$E:$E)</f>
        <v>30</v>
      </c>
      <c r="I1384">
        <v>0.05</v>
      </c>
    </row>
    <row r="1385" spans="1:9" x14ac:dyDescent="0.3">
      <c r="A1385" s="2" t="s">
        <v>83</v>
      </c>
      <c r="B1385" s="3">
        <v>44312.5</v>
      </c>
      <c r="C1385" s="1" t="str">
        <f t="shared" si="21"/>
        <v>21117</v>
      </c>
      <c r="D1385" t="s">
        <v>33</v>
      </c>
      <c r="E1385" s="2" t="s">
        <v>27</v>
      </c>
      <c r="F1385" s="2" t="str">
        <f>_xlfn.XLOOKUP(Table1_1[[#This Row],[CAS_rn]],[1]analyte_order!$C:$C,[1]analyte_order!$B:$B)</f>
        <v>N-MeFOSAA</v>
      </c>
      <c r="G1385" t="s">
        <v>132</v>
      </c>
      <c r="H1385" s="2">
        <f>_xlfn.XLOOKUP(Table1_1[[#This Row],[CAS_rn]],[1]analyte_order!$C:$C,[1]analyte_order!$E:$E)</f>
        <v>26</v>
      </c>
      <c r="I1385">
        <v>0.05</v>
      </c>
    </row>
    <row r="1386" spans="1:9" x14ac:dyDescent="0.3">
      <c r="A1386" s="2" t="s">
        <v>83</v>
      </c>
      <c r="B1386" s="3">
        <v>44312.5</v>
      </c>
      <c r="C1386" s="1" t="str">
        <f t="shared" si="21"/>
        <v>21117</v>
      </c>
      <c r="D1386" t="s">
        <v>33</v>
      </c>
      <c r="E1386" s="2" t="s">
        <v>27</v>
      </c>
      <c r="F1386" s="2" t="str">
        <f>_xlfn.XLOOKUP(Table1_1[[#This Row],[CAS_rn]],[1]analyte_order!$C:$C,[1]analyte_order!$B:$B)</f>
        <v>N-EtFOSA</v>
      </c>
      <c r="G1386" t="s">
        <v>133</v>
      </c>
      <c r="H1386" s="2">
        <f>_xlfn.XLOOKUP(Table1_1[[#This Row],[CAS_rn]],[1]analyte_order!$C:$C,[1]analyte_order!$E:$E)</f>
        <v>31</v>
      </c>
      <c r="I1386">
        <v>0.05</v>
      </c>
    </row>
    <row r="1387" spans="1:9" x14ac:dyDescent="0.3">
      <c r="A1387" s="2" t="s">
        <v>83</v>
      </c>
      <c r="B1387" s="3">
        <v>44312.5</v>
      </c>
      <c r="C1387" s="1" t="str">
        <f t="shared" si="21"/>
        <v>21117</v>
      </c>
      <c r="D1387" t="s">
        <v>33</v>
      </c>
      <c r="E1387" s="2" t="s">
        <v>27</v>
      </c>
      <c r="F1387" s="2" t="str">
        <f>_xlfn.XLOOKUP(Table1_1[[#This Row],[CAS_rn]],[1]analyte_order!$C:$C,[1]analyte_order!$B:$B)</f>
        <v>N-EtFOSAA</v>
      </c>
      <c r="G1387" t="s">
        <v>134</v>
      </c>
      <c r="H1387" s="2">
        <f>_xlfn.XLOOKUP(Table1_1[[#This Row],[CAS_rn]],[1]analyte_order!$C:$C,[1]analyte_order!$E:$E)</f>
        <v>27</v>
      </c>
      <c r="I1387">
        <v>0.05</v>
      </c>
    </row>
    <row r="1388" spans="1:9" x14ac:dyDescent="0.3">
      <c r="A1388" s="2" t="s">
        <v>83</v>
      </c>
      <c r="B1388" s="3">
        <v>44312.5</v>
      </c>
      <c r="C1388" s="1" t="str">
        <f t="shared" si="21"/>
        <v>21117</v>
      </c>
      <c r="D1388" t="s">
        <v>33</v>
      </c>
      <c r="E1388" s="2" t="s">
        <v>27</v>
      </c>
      <c r="F1388" s="2" t="str">
        <f>_xlfn.XLOOKUP(Table1_1[[#This Row],[CAS_rn]],[1]analyte_order!$C:$C,[1]analyte_order!$B:$B)</f>
        <v>N-MeFOSE</v>
      </c>
      <c r="G1388" t="s">
        <v>135</v>
      </c>
      <c r="H1388" s="2">
        <f>_xlfn.XLOOKUP(Table1_1[[#This Row],[CAS_rn]],[1]analyte_order!$C:$C,[1]analyte_order!$E:$E)</f>
        <v>32</v>
      </c>
      <c r="I1388">
        <v>0.5</v>
      </c>
    </row>
    <row r="1389" spans="1:9" x14ac:dyDescent="0.3">
      <c r="A1389" s="2" t="s">
        <v>83</v>
      </c>
      <c r="B1389" s="3">
        <v>44312.5</v>
      </c>
      <c r="C1389" s="1" t="str">
        <f t="shared" si="21"/>
        <v>21117</v>
      </c>
      <c r="D1389" t="s">
        <v>33</v>
      </c>
      <c r="E1389" s="2" t="s">
        <v>27</v>
      </c>
      <c r="F1389" s="2" t="str">
        <f>_xlfn.XLOOKUP(Table1_1[[#This Row],[CAS_rn]],[1]analyte_order!$C:$C,[1]analyte_order!$B:$B)</f>
        <v>N-EtFOSE</v>
      </c>
      <c r="G1389" t="s">
        <v>136</v>
      </c>
      <c r="H1389" s="2">
        <f>_xlfn.XLOOKUP(Table1_1[[#This Row],[CAS_rn]],[1]analyte_order!$C:$C,[1]analyte_order!$E:$E)</f>
        <v>33</v>
      </c>
      <c r="I1389">
        <v>0.5</v>
      </c>
    </row>
    <row r="1390" spans="1:9" x14ac:dyDescent="0.3">
      <c r="A1390" s="2" t="s">
        <v>83</v>
      </c>
      <c r="B1390" s="3">
        <v>44312.5</v>
      </c>
      <c r="C1390" s="1" t="str">
        <f t="shared" si="21"/>
        <v>21117</v>
      </c>
      <c r="D1390" t="s">
        <v>33</v>
      </c>
      <c r="E1390" s="2" t="s">
        <v>27</v>
      </c>
      <c r="F1390" s="2" t="str">
        <f>_xlfn.XLOOKUP(Table1_1[[#This Row],[CAS_rn]],[1]analyte_order!$C:$C,[1]analyte_order!$B:$B)</f>
        <v>HFPO-DA</v>
      </c>
      <c r="G1390" t="s">
        <v>137</v>
      </c>
      <c r="H1390" s="2">
        <f>_xlfn.XLOOKUP(Table1_1[[#This Row],[CAS_rn]],[1]analyte_order!$C:$C,[1]analyte_order!$E:$E)</f>
        <v>34</v>
      </c>
      <c r="I1390">
        <v>0.3</v>
      </c>
    </row>
    <row r="1391" spans="1:9" x14ac:dyDescent="0.3">
      <c r="A1391" s="2" t="s">
        <v>83</v>
      </c>
      <c r="B1391" s="3">
        <v>44312.5</v>
      </c>
      <c r="C1391" s="1" t="str">
        <f t="shared" si="21"/>
        <v>21117</v>
      </c>
      <c r="D1391" t="s">
        <v>33</v>
      </c>
      <c r="E1391" s="2" t="s">
        <v>27</v>
      </c>
      <c r="F1391" s="2" t="str">
        <f>_xlfn.XLOOKUP(Table1_1[[#This Row],[CAS_rn]],[1]analyte_order!$C:$C,[1]analyte_order!$B:$B)</f>
        <v>ADONA</v>
      </c>
      <c r="G1391" t="s">
        <v>138</v>
      </c>
      <c r="H1391" s="2">
        <f>_xlfn.XLOOKUP(Table1_1[[#This Row],[CAS_rn]],[1]analyte_order!$C:$C,[1]analyte_order!$E:$E)</f>
        <v>35</v>
      </c>
      <c r="I1391">
        <v>0.2</v>
      </c>
    </row>
    <row r="1392" spans="1:9" x14ac:dyDescent="0.3">
      <c r="A1392" s="2" t="s">
        <v>83</v>
      </c>
      <c r="B1392" s="3">
        <v>44312.5</v>
      </c>
      <c r="C1392" s="1" t="str">
        <f t="shared" si="21"/>
        <v>21117</v>
      </c>
      <c r="D1392" t="s">
        <v>33</v>
      </c>
      <c r="E1392" s="2" t="s">
        <v>27</v>
      </c>
      <c r="F1392" s="2" t="str">
        <f>_xlfn.XLOOKUP(Table1_1[[#This Row],[CAS_rn]],[1]analyte_order!$C:$C,[1]analyte_order!$B:$B)</f>
        <v>PFMBA</v>
      </c>
      <c r="G1392" t="s">
        <v>139</v>
      </c>
      <c r="H1392" s="2">
        <f>_xlfn.XLOOKUP(Table1_1[[#This Row],[CAS_rn]],[1]analyte_order!$C:$C,[1]analyte_order!$E:$E)</f>
        <v>48</v>
      </c>
      <c r="I1392">
        <v>0.1</v>
      </c>
    </row>
    <row r="1393" spans="1:9" x14ac:dyDescent="0.3">
      <c r="A1393" s="2" t="s">
        <v>83</v>
      </c>
      <c r="B1393" s="3">
        <v>44312.5</v>
      </c>
      <c r="C1393" s="1" t="str">
        <f t="shared" si="21"/>
        <v>21117</v>
      </c>
      <c r="D1393" t="s">
        <v>33</v>
      </c>
      <c r="E1393" s="2" t="s">
        <v>27</v>
      </c>
      <c r="F1393" s="2" t="str">
        <f>_xlfn.XLOOKUP(Table1_1[[#This Row],[CAS_rn]],[1]analyte_order!$C:$C,[1]analyte_order!$B:$B)</f>
        <v>NFDHA</v>
      </c>
      <c r="G1393" t="s">
        <v>140</v>
      </c>
      <c r="H1393" s="2">
        <f>_xlfn.XLOOKUP(Table1_1[[#This Row],[CAS_rn]],[1]analyte_order!$C:$C,[1]analyte_order!$E:$E)</f>
        <v>50</v>
      </c>
      <c r="I1393">
        <v>0.1</v>
      </c>
    </row>
    <row r="1394" spans="1:9" x14ac:dyDescent="0.3">
      <c r="A1394" s="2" t="s">
        <v>83</v>
      </c>
      <c r="B1394" s="3">
        <v>44312.5</v>
      </c>
      <c r="C1394" s="1" t="str">
        <f t="shared" si="21"/>
        <v>21117</v>
      </c>
      <c r="D1394" t="s">
        <v>33</v>
      </c>
      <c r="E1394" s="2" t="s">
        <v>27</v>
      </c>
      <c r="F1394" s="2" t="str">
        <f>_xlfn.XLOOKUP(Table1_1[[#This Row],[CAS_rn]],[1]analyte_order!$C:$C,[1]analyte_order!$B:$B)</f>
        <v>9Cl-PF3ONS</v>
      </c>
      <c r="G1394" t="s">
        <v>141</v>
      </c>
      <c r="H1394" s="2">
        <f>_xlfn.XLOOKUP(Table1_1[[#This Row],[CAS_rn]],[1]analyte_order!$C:$C,[1]analyte_order!$E:$E)</f>
        <v>36</v>
      </c>
      <c r="I1394">
        <v>0.2</v>
      </c>
    </row>
    <row r="1395" spans="1:9" x14ac:dyDescent="0.3">
      <c r="A1395" s="2" t="s">
        <v>83</v>
      </c>
      <c r="B1395" s="3">
        <v>44312.5</v>
      </c>
      <c r="C1395" s="1" t="str">
        <f t="shared" si="21"/>
        <v>21117</v>
      </c>
      <c r="D1395" t="s">
        <v>33</v>
      </c>
      <c r="E1395" s="2" t="s">
        <v>27</v>
      </c>
      <c r="F1395" s="2" t="str">
        <f>_xlfn.XLOOKUP(Table1_1[[#This Row],[CAS_rn]],[1]analyte_order!$C:$C,[1]analyte_order!$B:$B)</f>
        <v>11Cl-PF3OUdS</v>
      </c>
      <c r="G1395" t="s">
        <v>142</v>
      </c>
      <c r="H1395" s="2">
        <f>_xlfn.XLOOKUP(Table1_1[[#This Row],[CAS_rn]],[1]analyte_order!$C:$C,[1]analyte_order!$E:$E)</f>
        <v>37</v>
      </c>
      <c r="I1395">
        <v>0.2</v>
      </c>
    </row>
    <row r="1396" spans="1:9" x14ac:dyDescent="0.3">
      <c r="A1396" s="2" t="s">
        <v>83</v>
      </c>
      <c r="B1396" s="3">
        <v>44312.5</v>
      </c>
      <c r="C1396" s="1" t="str">
        <f t="shared" si="21"/>
        <v>21117</v>
      </c>
      <c r="D1396" t="s">
        <v>33</v>
      </c>
      <c r="E1396" s="2" t="s">
        <v>27</v>
      </c>
      <c r="F1396" s="2" t="str">
        <f>_xlfn.XLOOKUP(Table1_1[[#This Row],[CAS_rn]],[1]analyte_order!$C:$C,[1]analyte_order!$B:$B)</f>
        <v>PFEESA</v>
      </c>
      <c r="G1396" t="s">
        <v>143</v>
      </c>
      <c r="H1396" s="2">
        <f>_xlfn.XLOOKUP(Table1_1[[#This Row],[CAS_rn]],[1]analyte_order!$C:$C,[1]analyte_order!$E:$E)</f>
        <v>47</v>
      </c>
      <c r="I1396">
        <v>0.1</v>
      </c>
    </row>
    <row r="1397" spans="1:9" x14ac:dyDescent="0.3">
      <c r="A1397" s="2" t="s">
        <v>83</v>
      </c>
      <c r="B1397" s="3">
        <v>44312.5</v>
      </c>
      <c r="C1397" s="1" t="str">
        <f t="shared" si="21"/>
        <v>21117</v>
      </c>
      <c r="D1397" t="s">
        <v>33</v>
      </c>
      <c r="E1397" s="2" t="s">
        <v>27</v>
      </c>
      <c r="F1397" s="2" t="str">
        <f>_xlfn.XLOOKUP(Table1_1[[#This Row],[CAS_rn]],[1]analyte_order!$C:$C,[1]analyte_order!$B:$B)</f>
        <v>3:3 FTCA</v>
      </c>
      <c r="G1397" t="s">
        <v>144</v>
      </c>
      <c r="H1397" s="2">
        <f>_xlfn.XLOOKUP(Table1_1[[#This Row],[CAS_rn]],[1]analyte_order!$C:$C,[1]analyte_order!$E:$E)</f>
        <v>38</v>
      </c>
      <c r="I1397">
        <v>0.25</v>
      </c>
    </row>
    <row r="1398" spans="1:9" x14ac:dyDescent="0.3">
      <c r="A1398" s="2" t="s">
        <v>83</v>
      </c>
      <c r="B1398" s="3">
        <v>44312.5</v>
      </c>
      <c r="C1398" s="1" t="str">
        <f t="shared" si="21"/>
        <v>21117</v>
      </c>
      <c r="D1398" t="s">
        <v>33</v>
      </c>
      <c r="E1398" s="2" t="s">
        <v>27</v>
      </c>
      <c r="F1398" s="2" t="str">
        <f>_xlfn.XLOOKUP(Table1_1[[#This Row],[CAS_rn]],[1]analyte_order!$C:$C,[1]analyte_order!$B:$B)</f>
        <v>5:3 FTCA</v>
      </c>
      <c r="G1398" t="s">
        <v>145</v>
      </c>
      <c r="H1398" s="2">
        <f>_xlfn.XLOOKUP(Table1_1[[#This Row],[CAS_rn]],[1]analyte_order!$C:$C,[1]analyte_order!$E:$E)</f>
        <v>39</v>
      </c>
      <c r="I1398">
        <v>1.25</v>
      </c>
    </row>
    <row r="1399" spans="1:9" x14ac:dyDescent="0.3">
      <c r="A1399" s="2" t="s">
        <v>83</v>
      </c>
      <c r="B1399" s="3">
        <v>44312.5</v>
      </c>
      <c r="C1399" s="1" t="str">
        <f t="shared" si="21"/>
        <v>21117</v>
      </c>
      <c r="D1399" t="s">
        <v>33</v>
      </c>
      <c r="E1399" s="2" t="s">
        <v>27</v>
      </c>
      <c r="F1399" s="2" t="str">
        <f>_xlfn.XLOOKUP(Table1_1[[#This Row],[CAS_rn]],[1]analyte_order!$C:$C,[1]analyte_order!$B:$B)</f>
        <v>7:3 FTCA</v>
      </c>
      <c r="G1399" t="s">
        <v>146</v>
      </c>
      <c r="H1399" s="2">
        <f>_xlfn.XLOOKUP(Table1_1[[#This Row],[CAS_rn]],[1]analyte_order!$C:$C,[1]analyte_order!$E:$E)</f>
        <v>40</v>
      </c>
      <c r="I1399">
        <v>1.25</v>
      </c>
    </row>
    <row r="1400" spans="1:9" x14ac:dyDescent="0.3">
      <c r="A1400" s="2" t="s">
        <v>83</v>
      </c>
      <c r="B1400" s="3">
        <v>44312.5</v>
      </c>
      <c r="C1400" s="1" t="str">
        <f t="shared" si="21"/>
        <v>21117</v>
      </c>
      <c r="D1400" t="s">
        <v>33</v>
      </c>
      <c r="E1400" s="2" t="s">
        <v>27</v>
      </c>
      <c r="F1400" s="2" t="str">
        <f>_xlfn.XLOOKUP(Table1_1[[#This Row],[CAS_rn]],[1]analyte_order!$C:$C,[1]analyte_order!$B:$B)</f>
        <v>PFDS</v>
      </c>
      <c r="G1400" t="s">
        <v>147</v>
      </c>
      <c r="H1400" s="2">
        <f>_xlfn.XLOOKUP(Table1_1[[#This Row],[CAS_rn]],[1]analyte_order!$C:$C,[1]analyte_order!$E:$E)</f>
        <v>20</v>
      </c>
      <c r="I1400">
        <v>0.05</v>
      </c>
    </row>
    <row r="1401" spans="1:9" x14ac:dyDescent="0.3">
      <c r="A1401" s="2" t="s">
        <v>83</v>
      </c>
      <c r="B1401" s="3">
        <v>44312.5</v>
      </c>
      <c r="C1401" s="1" t="str">
        <f t="shared" si="21"/>
        <v>21117</v>
      </c>
      <c r="D1401" t="s">
        <v>33</v>
      </c>
      <c r="E1401" s="2" t="s">
        <v>27</v>
      </c>
      <c r="F1401" s="2" t="str">
        <f>_xlfn.XLOOKUP(Table1_1[[#This Row],[CAS_rn]],[1]analyte_order!$C:$C,[1]analyte_order!$B:$B)</f>
        <v>PFMPA</v>
      </c>
      <c r="G1401" t="s">
        <v>148</v>
      </c>
      <c r="H1401" s="2">
        <f>_xlfn.XLOOKUP(Table1_1[[#This Row],[CAS_rn]],[1]analyte_order!$C:$C,[1]analyte_order!$E:$E)</f>
        <v>49</v>
      </c>
      <c r="I1401">
        <v>0.1</v>
      </c>
    </row>
    <row r="1402" spans="1:9" x14ac:dyDescent="0.3">
      <c r="A1402" s="2" t="s">
        <v>84</v>
      </c>
      <c r="B1402" s="3">
        <v>44312.5</v>
      </c>
      <c r="C1402" s="1" t="str">
        <f t="shared" si="21"/>
        <v>21117</v>
      </c>
      <c r="D1402" t="s">
        <v>29</v>
      </c>
      <c r="E1402" s="2" t="s">
        <v>27</v>
      </c>
      <c r="F1402" s="2" t="str">
        <f>_xlfn.XLOOKUP(Table1_1[[#This Row],[CAS_rn]],[1]analyte_order!$C:$C,[1]analyte_order!$B:$B)</f>
        <v>PFBA</v>
      </c>
      <c r="G1402" t="s">
        <v>109</v>
      </c>
      <c r="H1402" s="2">
        <f>_xlfn.XLOOKUP(Table1_1[[#This Row],[CAS_rn]],[1]analyte_order!$C:$C,[1]analyte_order!$E:$E)</f>
        <v>1</v>
      </c>
      <c r="I1402">
        <v>0.2</v>
      </c>
    </row>
    <row r="1403" spans="1:9" x14ac:dyDescent="0.3">
      <c r="A1403" s="2" t="s">
        <v>84</v>
      </c>
      <c r="B1403" s="3">
        <v>44312.5</v>
      </c>
      <c r="C1403" s="1" t="str">
        <f t="shared" si="21"/>
        <v>21117</v>
      </c>
      <c r="D1403" t="s">
        <v>29</v>
      </c>
      <c r="E1403" s="2" t="s">
        <v>27</v>
      </c>
      <c r="F1403" s="2" t="str">
        <f>_xlfn.XLOOKUP(Table1_1[[#This Row],[CAS_rn]],[1]analyte_order!$C:$C,[1]analyte_order!$B:$B)</f>
        <v>PFPeA</v>
      </c>
      <c r="G1403" t="s">
        <v>110</v>
      </c>
      <c r="H1403" s="2">
        <f>_xlfn.XLOOKUP(Table1_1[[#This Row],[CAS_rn]],[1]analyte_order!$C:$C,[1]analyte_order!$E:$E)</f>
        <v>2</v>
      </c>
      <c r="I1403">
        <v>0.1</v>
      </c>
    </row>
    <row r="1404" spans="1:9" x14ac:dyDescent="0.3">
      <c r="A1404" s="2" t="s">
        <v>84</v>
      </c>
      <c r="B1404" s="3">
        <v>44312.5</v>
      </c>
      <c r="C1404" s="1" t="str">
        <f t="shared" si="21"/>
        <v>21117</v>
      </c>
      <c r="D1404" t="s">
        <v>29</v>
      </c>
      <c r="E1404" s="2" t="s">
        <v>27</v>
      </c>
      <c r="F1404" s="2" t="str">
        <f>_xlfn.XLOOKUP(Table1_1[[#This Row],[CAS_rn]],[1]analyte_order!$C:$C,[1]analyte_order!$B:$B)</f>
        <v>PFHxA</v>
      </c>
      <c r="G1404" t="s">
        <v>111</v>
      </c>
      <c r="H1404" s="2">
        <f>_xlfn.XLOOKUP(Table1_1[[#This Row],[CAS_rn]],[1]analyte_order!$C:$C,[1]analyte_order!$E:$E)</f>
        <v>3</v>
      </c>
      <c r="I1404">
        <v>0.09</v>
      </c>
    </row>
    <row r="1405" spans="1:9" x14ac:dyDescent="0.3">
      <c r="A1405" s="2" t="s">
        <v>84</v>
      </c>
      <c r="B1405" s="3">
        <v>44312.5</v>
      </c>
      <c r="C1405" s="1" t="str">
        <f t="shared" si="21"/>
        <v>21117</v>
      </c>
      <c r="D1405" t="s">
        <v>29</v>
      </c>
      <c r="E1405" s="2" t="s">
        <v>27</v>
      </c>
      <c r="F1405" s="2" t="str">
        <f>_xlfn.XLOOKUP(Table1_1[[#This Row],[CAS_rn]],[1]analyte_order!$C:$C,[1]analyte_order!$B:$B)</f>
        <v>PFHpA</v>
      </c>
      <c r="G1405" t="s">
        <v>112</v>
      </c>
      <c r="H1405" s="2">
        <f>_xlfn.XLOOKUP(Table1_1[[#This Row],[CAS_rn]],[1]analyte_order!$C:$C,[1]analyte_order!$E:$E)</f>
        <v>4</v>
      </c>
      <c r="I1405">
        <v>0.09</v>
      </c>
    </row>
    <row r="1406" spans="1:9" x14ac:dyDescent="0.3">
      <c r="A1406" s="2" t="s">
        <v>84</v>
      </c>
      <c r="B1406" s="3">
        <v>44312.5</v>
      </c>
      <c r="C1406" s="1" t="str">
        <f t="shared" si="21"/>
        <v>21117</v>
      </c>
      <c r="D1406" t="s">
        <v>29</v>
      </c>
      <c r="E1406" s="2" t="s">
        <v>27</v>
      </c>
      <c r="F1406" s="2" t="str">
        <f>_xlfn.XLOOKUP(Table1_1[[#This Row],[CAS_rn]],[1]analyte_order!$C:$C,[1]analyte_order!$B:$B)</f>
        <v>PFOA</v>
      </c>
      <c r="G1406" t="s">
        <v>113</v>
      </c>
      <c r="H1406" s="2">
        <f>_xlfn.XLOOKUP(Table1_1[[#This Row],[CAS_rn]],[1]analyte_order!$C:$C,[1]analyte_order!$E:$E)</f>
        <v>5</v>
      </c>
      <c r="I1406">
        <v>0.14000000000000001</v>
      </c>
    </row>
    <row r="1407" spans="1:9" x14ac:dyDescent="0.3">
      <c r="A1407" s="2" t="s">
        <v>84</v>
      </c>
      <c r="B1407" s="3">
        <v>44312.5</v>
      </c>
      <c r="C1407" s="1" t="str">
        <f t="shared" si="21"/>
        <v>21117</v>
      </c>
      <c r="D1407" t="s">
        <v>29</v>
      </c>
      <c r="E1407" s="2" t="s">
        <v>27</v>
      </c>
      <c r="F1407" s="2" t="str">
        <f>_xlfn.XLOOKUP(Table1_1[[#This Row],[CAS_rn]],[1]analyte_order!$C:$C,[1]analyte_order!$B:$B)</f>
        <v>PFNA</v>
      </c>
      <c r="G1407" t="s">
        <v>114</v>
      </c>
      <c r="H1407" s="2">
        <f>_xlfn.XLOOKUP(Table1_1[[#This Row],[CAS_rn]],[1]analyte_order!$C:$C,[1]analyte_order!$E:$E)</f>
        <v>6</v>
      </c>
      <c r="I1407">
        <v>0.05</v>
      </c>
    </row>
    <row r="1408" spans="1:9" x14ac:dyDescent="0.3">
      <c r="A1408" s="2" t="s">
        <v>84</v>
      </c>
      <c r="B1408" s="3">
        <v>44312.5</v>
      </c>
      <c r="C1408" s="1" t="str">
        <f t="shared" si="21"/>
        <v>21117</v>
      </c>
      <c r="D1408" t="s">
        <v>29</v>
      </c>
      <c r="E1408" s="2" t="s">
        <v>27</v>
      </c>
      <c r="F1408" s="2" t="str">
        <f>_xlfn.XLOOKUP(Table1_1[[#This Row],[CAS_rn]],[1]analyte_order!$C:$C,[1]analyte_order!$B:$B)</f>
        <v>PFDA</v>
      </c>
      <c r="G1408" t="s">
        <v>115</v>
      </c>
      <c r="H1408" s="2">
        <f>_xlfn.XLOOKUP(Table1_1[[#This Row],[CAS_rn]],[1]analyte_order!$C:$C,[1]analyte_order!$E:$E)</f>
        <v>7</v>
      </c>
      <c r="I1408">
        <v>0.05</v>
      </c>
    </row>
    <row r="1409" spans="1:9" x14ac:dyDescent="0.3">
      <c r="A1409" s="2" t="s">
        <v>84</v>
      </c>
      <c r="B1409" s="3">
        <v>44312.5</v>
      </c>
      <c r="C1409" s="1" t="str">
        <f t="shared" si="21"/>
        <v>21117</v>
      </c>
      <c r="D1409" t="s">
        <v>29</v>
      </c>
      <c r="E1409" s="2" t="s">
        <v>27</v>
      </c>
      <c r="F1409" s="2" t="str">
        <f>_xlfn.XLOOKUP(Table1_1[[#This Row],[CAS_rn]],[1]analyte_order!$C:$C,[1]analyte_order!$B:$B)</f>
        <v>PFUnA</v>
      </c>
      <c r="G1409" t="s">
        <v>116</v>
      </c>
      <c r="H1409" s="2">
        <f>_xlfn.XLOOKUP(Table1_1[[#This Row],[CAS_rn]],[1]analyte_order!$C:$C,[1]analyte_order!$E:$E)</f>
        <v>8</v>
      </c>
      <c r="I1409">
        <v>0.05</v>
      </c>
    </row>
    <row r="1410" spans="1:9" x14ac:dyDescent="0.3">
      <c r="A1410" s="2" t="s">
        <v>84</v>
      </c>
      <c r="B1410" s="3">
        <v>44312.5</v>
      </c>
      <c r="C1410" s="1" t="str">
        <f t="shared" ref="C1410:C1441" si="22">TEXT(B1410,"yy")&amp;TEXT((B1410-DATEVALUE("1/1/"&amp;TEXT(B1410,"yy"))+1),"000")</f>
        <v>21117</v>
      </c>
      <c r="D1410" t="s">
        <v>29</v>
      </c>
      <c r="E1410" s="2" t="s">
        <v>27</v>
      </c>
      <c r="F1410" s="2" t="str">
        <f>_xlfn.XLOOKUP(Table1_1[[#This Row],[CAS_rn]],[1]analyte_order!$C:$C,[1]analyte_order!$B:$B)</f>
        <v>PFBS</v>
      </c>
      <c r="G1410" t="s">
        <v>120</v>
      </c>
      <c r="H1410" s="2">
        <f>_xlfn.XLOOKUP(Table1_1[[#This Row],[CAS_rn]],[1]analyte_order!$C:$C,[1]analyte_order!$E:$E)</f>
        <v>14</v>
      </c>
      <c r="I1410">
        <v>0.05</v>
      </c>
    </row>
    <row r="1411" spans="1:9" x14ac:dyDescent="0.3">
      <c r="A1411" s="2" t="s">
        <v>84</v>
      </c>
      <c r="B1411" s="3">
        <v>44312.5</v>
      </c>
      <c r="C1411" s="1" t="str">
        <f t="shared" si="22"/>
        <v>21117</v>
      </c>
      <c r="D1411" t="s">
        <v>29</v>
      </c>
      <c r="E1411" s="2" t="s">
        <v>27</v>
      </c>
      <c r="F1411" s="2" t="str">
        <f>_xlfn.XLOOKUP(Table1_1[[#This Row],[CAS_rn]],[1]analyte_order!$C:$C,[1]analyte_order!$B:$B)</f>
        <v>PFPeS</v>
      </c>
      <c r="G1411" t="s">
        <v>121</v>
      </c>
      <c r="H1411" s="2">
        <f>_xlfn.XLOOKUP(Table1_1[[#This Row],[CAS_rn]],[1]analyte_order!$C:$C,[1]analyte_order!$E:$E)</f>
        <v>15</v>
      </c>
      <c r="I1411">
        <v>0.05</v>
      </c>
    </row>
    <row r="1412" spans="1:9" x14ac:dyDescent="0.3">
      <c r="A1412" s="2" t="s">
        <v>84</v>
      </c>
      <c r="B1412" s="3">
        <v>44312.5</v>
      </c>
      <c r="C1412" s="1" t="str">
        <f t="shared" si="22"/>
        <v>21117</v>
      </c>
      <c r="D1412" t="s">
        <v>29</v>
      </c>
      <c r="E1412" s="2" t="s">
        <v>27</v>
      </c>
      <c r="F1412" s="2" t="str">
        <f>_xlfn.XLOOKUP(Table1_1[[#This Row],[CAS_rn]],[1]analyte_order!$C:$C,[1]analyte_order!$B:$B)</f>
        <v>PFHxS</v>
      </c>
      <c r="G1412" t="s">
        <v>122</v>
      </c>
      <c r="H1412" s="2">
        <f>_xlfn.XLOOKUP(Table1_1[[#This Row],[CAS_rn]],[1]analyte_order!$C:$C,[1]analyte_order!$E:$E)</f>
        <v>16</v>
      </c>
      <c r="I1412">
        <v>0.22</v>
      </c>
    </row>
    <row r="1413" spans="1:9" x14ac:dyDescent="0.3">
      <c r="A1413" s="2" t="s">
        <v>84</v>
      </c>
      <c r="B1413" s="3">
        <v>44312.5</v>
      </c>
      <c r="C1413" s="1" t="str">
        <f t="shared" si="22"/>
        <v>21117</v>
      </c>
      <c r="D1413" t="s">
        <v>29</v>
      </c>
      <c r="E1413" s="2" t="s">
        <v>27</v>
      </c>
      <c r="F1413" s="2" t="str">
        <f>_xlfn.XLOOKUP(Table1_1[[#This Row],[CAS_rn]],[1]analyte_order!$C:$C,[1]analyte_order!$B:$B)</f>
        <v>PFHpS</v>
      </c>
      <c r="G1413" t="s">
        <v>123</v>
      </c>
      <c r="H1413" s="2">
        <f>_xlfn.XLOOKUP(Table1_1[[#This Row],[CAS_rn]],[1]analyte_order!$C:$C,[1]analyte_order!$E:$E)</f>
        <v>17</v>
      </c>
      <c r="I1413">
        <v>0.05</v>
      </c>
    </row>
    <row r="1414" spans="1:9" x14ac:dyDescent="0.3">
      <c r="A1414" s="2" t="s">
        <v>84</v>
      </c>
      <c r="B1414" s="3">
        <v>44312.5</v>
      </c>
      <c r="C1414" s="1" t="str">
        <f t="shared" si="22"/>
        <v>21117</v>
      </c>
      <c r="D1414" t="s">
        <v>29</v>
      </c>
      <c r="E1414" s="2" t="s">
        <v>27</v>
      </c>
      <c r="F1414" s="2" t="str">
        <f>_xlfn.XLOOKUP(Table1_1[[#This Row],[CAS_rn]],[1]analyte_order!$C:$C,[1]analyte_order!$B:$B)</f>
        <v>PFOS</v>
      </c>
      <c r="G1414" t="s">
        <v>124</v>
      </c>
      <c r="H1414" s="2">
        <f>_xlfn.XLOOKUP(Table1_1[[#This Row],[CAS_rn]],[1]analyte_order!$C:$C,[1]analyte_order!$E:$E)</f>
        <v>18</v>
      </c>
      <c r="I1414">
        <v>0.87</v>
      </c>
    </row>
    <row r="1415" spans="1:9" x14ac:dyDescent="0.3">
      <c r="A1415" s="2" t="s">
        <v>84</v>
      </c>
      <c r="B1415" s="3">
        <v>44312.5</v>
      </c>
      <c r="C1415" s="1" t="str">
        <f t="shared" si="22"/>
        <v>21117</v>
      </c>
      <c r="D1415" t="s">
        <v>29</v>
      </c>
      <c r="E1415" s="2" t="s">
        <v>27</v>
      </c>
      <c r="F1415" s="2" t="str">
        <f>_xlfn.XLOOKUP(Table1_1[[#This Row],[CAS_rn]],[1]analyte_order!$C:$C,[1]analyte_order!$B:$B)</f>
        <v>PFNS</v>
      </c>
      <c r="G1415" t="s">
        <v>125</v>
      </c>
      <c r="H1415" s="2">
        <f>_xlfn.XLOOKUP(Table1_1[[#This Row],[CAS_rn]],[1]analyte_order!$C:$C,[1]analyte_order!$E:$E)</f>
        <v>19</v>
      </c>
      <c r="I1415">
        <v>0.05</v>
      </c>
    </row>
    <row r="1416" spans="1:9" x14ac:dyDescent="0.3">
      <c r="A1416" s="2" t="s">
        <v>84</v>
      </c>
      <c r="B1416" s="3">
        <v>44312.5</v>
      </c>
      <c r="C1416" s="1" t="str">
        <f t="shared" si="22"/>
        <v>21117</v>
      </c>
      <c r="D1416" t="s">
        <v>29</v>
      </c>
      <c r="E1416" s="2" t="s">
        <v>27</v>
      </c>
      <c r="F1416" s="2" t="str">
        <f>_xlfn.XLOOKUP(Table1_1[[#This Row],[CAS_rn]],[1]analyte_order!$C:$C,[1]analyte_order!$B:$B)</f>
        <v>PFDoS</v>
      </c>
      <c r="G1416" t="s">
        <v>126</v>
      </c>
      <c r="H1416" s="2">
        <f>_xlfn.XLOOKUP(Table1_1[[#This Row],[CAS_rn]],[1]analyte_order!$C:$C,[1]analyte_order!$E:$E)</f>
        <v>21</v>
      </c>
      <c r="I1416">
        <v>0.05</v>
      </c>
    </row>
    <row r="1417" spans="1:9" x14ac:dyDescent="0.3">
      <c r="A1417" s="2" t="s">
        <v>84</v>
      </c>
      <c r="B1417" s="3">
        <v>44312.5</v>
      </c>
      <c r="C1417" s="1" t="str">
        <f t="shared" si="22"/>
        <v>21117</v>
      </c>
      <c r="D1417" t="s">
        <v>29</v>
      </c>
      <c r="E1417" s="2" t="s">
        <v>27</v>
      </c>
      <c r="F1417" s="2" t="str">
        <f>_xlfn.XLOOKUP(Table1_1[[#This Row],[CAS_rn]],[1]analyte_order!$C:$C,[1]analyte_order!$B:$B)</f>
        <v>4:2 FTS</v>
      </c>
      <c r="G1417" t="s">
        <v>127</v>
      </c>
      <c r="H1417" s="2">
        <f>_xlfn.XLOOKUP(Table1_1[[#This Row],[CAS_rn]],[1]analyte_order!$C:$C,[1]analyte_order!$E:$E)</f>
        <v>22</v>
      </c>
      <c r="I1417">
        <v>0.2</v>
      </c>
    </row>
    <row r="1418" spans="1:9" x14ac:dyDescent="0.3">
      <c r="A1418" s="2" t="s">
        <v>84</v>
      </c>
      <c r="B1418" s="3">
        <v>44312.5</v>
      </c>
      <c r="C1418" s="1" t="str">
        <f t="shared" si="22"/>
        <v>21117</v>
      </c>
      <c r="D1418" t="s">
        <v>29</v>
      </c>
      <c r="E1418" s="2" t="s">
        <v>27</v>
      </c>
      <c r="F1418" s="2" t="str">
        <f>_xlfn.XLOOKUP(Table1_1[[#This Row],[CAS_rn]],[1]analyte_order!$C:$C,[1]analyte_order!$B:$B)</f>
        <v>6:2 FTS</v>
      </c>
      <c r="G1418" t="s">
        <v>128</v>
      </c>
      <c r="H1418" s="2">
        <f>_xlfn.XLOOKUP(Table1_1[[#This Row],[CAS_rn]],[1]analyte_order!$C:$C,[1]analyte_order!$E:$E)</f>
        <v>23</v>
      </c>
      <c r="I1418">
        <v>0.4</v>
      </c>
    </row>
    <row r="1419" spans="1:9" x14ac:dyDescent="0.3">
      <c r="A1419" s="2" t="s">
        <v>84</v>
      </c>
      <c r="B1419" s="3">
        <v>44312.5</v>
      </c>
      <c r="C1419" s="1" t="str">
        <f t="shared" si="22"/>
        <v>21117</v>
      </c>
      <c r="D1419" t="s">
        <v>29</v>
      </c>
      <c r="E1419" s="2" t="s">
        <v>27</v>
      </c>
      <c r="F1419" s="2" t="str">
        <f>_xlfn.XLOOKUP(Table1_1[[#This Row],[CAS_rn]],[1]analyte_order!$C:$C,[1]analyte_order!$B:$B)</f>
        <v>8:2 FTS</v>
      </c>
      <c r="G1419" t="s">
        <v>129</v>
      </c>
      <c r="H1419" s="2">
        <f>_xlfn.XLOOKUP(Table1_1[[#This Row],[CAS_rn]],[1]analyte_order!$C:$C,[1]analyte_order!$E:$E)</f>
        <v>24</v>
      </c>
      <c r="I1419">
        <v>0.4</v>
      </c>
    </row>
    <row r="1420" spans="1:9" x14ac:dyDescent="0.3">
      <c r="A1420" s="2" t="s">
        <v>84</v>
      </c>
      <c r="B1420" s="3">
        <v>44312.5</v>
      </c>
      <c r="C1420" s="1" t="str">
        <f t="shared" si="22"/>
        <v>21117</v>
      </c>
      <c r="D1420" t="s">
        <v>29</v>
      </c>
      <c r="E1420" s="2" t="s">
        <v>27</v>
      </c>
      <c r="F1420" s="2" t="str">
        <f>_xlfn.XLOOKUP(Table1_1[[#This Row],[CAS_rn]],[1]analyte_order!$C:$C,[1]analyte_order!$B:$B)</f>
        <v>FOSA</v>
      </c>
      <c r="G1420" t="s">
        <v>130</v>
      </c>
      <c r="H1420" s="2">
        <f>_xlfn.XLOOKUP(Table1_1[[#This Row],[CAS_rn]],[1]analyte_order!$C:$C,[1]analyte_order!$E:$E)</f>
        <v>28</v>
      </c>
      <c r="I1420">
        <v>0.09</v>
      </c>
    </row>
    <row r="1421" spans="1:9" x14ac:dyDescent="0.3">
      <c r="A1421" s="2" t="s">
        <v>84</v>
      </c>
      <c r="B1421" s="3">
        <v>44312.5</v>
      </c>
      <c r="C1421" s="1" t="str">
        <f t="shared" si="22"/>
        <v>21117</v>
      </c>
      <c r="D1421" t="s">
        <v>29</v>
      </c>
      <c r="E1421" s="2" t="s">
        <v>27</v>
      </c>
      <c r="F1421" s="2" t="str">
        <f>_xlfn.XLOOKUP(Table1_1[[#This Row],[CAS_rn]],[1]analyte_order!$C:$C,[1]analyte_order!$B:$B)</f>
        <v>N-MeFOSA</v>
      </c>
      <c r="G1421" t="s">
        <v>131</v>
      </c>
      <c r="H1421" s="2">
        <f>_xlfn.XLOOKUP(Table1_1[[#This Row],[CAS_rn]],[1]analyte_order!$C:$C,[1]analyte_order!$E:$E)</f>
        <v>30</v>
      </c>
      <c r="I1421">
        <v>0.05</v>
      </c>
    </row>
    <row r="1422" spans="1:9" x14ac:dyDescent="0.3">
      <c r="A1422" s="2" t="s">
        <v>84</v>
      </c>
      <c r="B1422" s="3">
        <v>44312.5</v>
      </c>
      <c r="C1422" s="1" t="str">
        <f t="shared" si="22"/>
        <v>21117</v>
      </c>
      <c r="D1422" t="s">
        <v>29</v>
      </c>
      <c r="E1422" s="2" t="s">
        <v>27</v>
      </c>
      <c r="F1422" s="2" t="str">
        <f>_xlfn.XLOOKUP(Table1_1[[#This Row],[CAS_rn]],[1]analyte_order!$C:$C,[1]analyte_order!$B:$B)</f>
        <v>N-MeFOSAA</v>
      </c>
      <c r="G1422" t="s">
        <v>132</v>
      </c>
      <c r="H1422" s="2">
        <f>_xlfn.XLOOKUP(Table1_1[[#This Row],[CAS_rn]],[1]analyte_order!$C:$C,[1]analyte_order!$E:$E)</f>
        <v>26</v>
      </c>
      <c r="I1422">
        <v>0.05</v>
      </c>
    </row>
    <row r="1423" spans="1:9" x14ac:dyDescent="0.3">
      <c r="A1423" s="2" t="s">
        <v>84</v>
      </c>
      <c r="B1423" s="3">
        <v>44312.5</v>
      </c>
      <c r="C1423" s="1" t="str">
        <f t="shared" si="22"/>
        <v>21117</v>
      </c>
      <c r="D1423" t="s">
        <v>29</v>
      </c>
      <c r="E1423" s="2" t="s">
        <v>27</v>
      </c>
      <c r="F1423" s="2" t="str">
        <f>_xlfn.XLOOKUP(Table1_1[[#This Row],[CAS_rn]],[1]analyte_order!$C:$C,[1]analyte_order!$B:$B)</f>
        <v>N-EtFOSA</v>
      </c>
      <c r="G1423" t="s">
        <v>133</v>
      </c>
      <c r="H1423" s="2">
        <f>_xlfn.XLOOKUP(Table1_1[[#This Row],[CAS_rn]],[1]analyte_order!$C:$C,[1]analyte_order!$E:$E)</f>
        <v>31</v>
      </c>
      <c r="I1423">
        <v>0.05</v>
      </c>
    </row>
    <row r="1424" spans="1:9" x14ac:dyDescent="0.3">
      <c r="A1424" s="2" t="s">
        <v>84</v>
      </c>
      <c r="B1424" s="3">
        <v>44312.5</v>
      </c>
      <c r="C1424" s="1" t="str">
        <f t="shared" si="22"/>
        <v>21117</v>
      </c>
      <c r="D1424" t="s">
        <v>29</v>
      </c>
      <c r="E1424" s="2" t="s">
        <v>27</v>
      </c>
      <c r="F1424" s="2" t="str">
        <f>_xlfn.XLOOKUP(Table1_1[[#This Row],[CAS_rn]],[1]analyte_order!$C:$C,[1]analyte_order!$B:$B)</f>
        <v>N-EtFOSAA</v>
      </c>
      <c r="G1424" t="s">
        <v>134</v>
      </c>
      <c r="H1424" s="2">
        <f>_xlfn.XLOOKUP(Table1_1[[#This Row],[CAS_rn]],[1]analyte_order!$C:$C,[1]analyte_order!$E:$E)</f>
        <v>27</v>
      </c>
      <c r="I1424">
        <v>0.05</v>
      </c>
    </row>
    <row r="1425" spans="1:9" x14ac:dyDescent="0.3">
      <c r="A1425" s="2" t="s">
        <v>84</v>
      </c>
      <c r="B1425" s="3">
        <v>44312.5</v>
      </c>
      <c r="C1425" s="1" t="str">
        <f t="shared" si="22"/>
        <v>21117</v>
      </c>
      <c r="D1425" t="s">
        <v>29</v>
      </c>
      <c r="E1425" s="2" t="s">
        <v>27</v>
      </c>
      <c r="F1425" s="2" t="str">
        <f>_xlfn.XLOOKUP(Table1_1[[#This Row],[CAS_rn]],[1]analyte_order!$C:$C,[1]analyte_order!$B:$B)</f>
        <v>N-MeFOSE</v>
      </c>
      <c r="G1425" t="s">
        <v>135</v>
      </c>
      <c r="H1425" s="2">
        <f>_xlfn.XLOOKUP(Table1_1[[#This Row],[CAS_rn]],[1]analyte_order!$C:$C,[1]analyte_order!$E:$E)</f>
        <v>32</v>
      </c>
      <c r="I1425">
        <v>0.5</v>
      </c>
    </row>
    <row r="1426" spans="1:9" x14ac:dyDescent="0.3">
      <c r="A1426" s="2" t="s">
        <v>84</v>
      </c>
      <c r="B1426" s="3">
        <v>44312.5</v>
      </c>
      <c r="C1426" s="1" t="str">
        <f t="shared" si="22"/>
        <v>21117</v>
      </c>
      <c r="D1426" t="s">
        <v>29</v>
      </c>
      <c r="E1426" s="2" t="s">
        <v>27</v>
      </c>
      <c r="F1426" s="2" t="str">
        <f>_xlfn.XLOOKUP(Table1_1[[#This Row],[CAS_rn]],[1]analyte_order!$C:$C,[1]analyte_order!$B:$B)</f>
        <v>N-EtFOSE</v>
      </c>
      <c r="G1426" t="s">
        <v>136</v>
      </c>
      <c r="H1426" s="2">
        <f>_xlfn.XLOOKUP(Table1_1[[#This Row],[CAS_rn]],[1]analyte_order!$C:$C,[1]analyte_order!$E:$E)</f>
        <v>33</v>
      </c>
      <c r="I1426">
        <v>0.5</v>
      </c>
    </row>
    <row r="1427" spans="1:9" x14ac:dyDescent="0.3">
      <c r="A1427" s="2" t="s">
        <v>84</v>
      </c>
      <c r="B1427" s="3">
        <v>44312.5</v>
      </c>
      <c r="C1427" s="1" t="str">
        <f t="shared" si="22"/>
        <v>21117</v>
      </c>
      <c r="D1427" t="s">
        <v>29</v>
      </c>
      <c r="E1427" s="2" t="s">
        <v>27</v>
      </c>
      <c r="F1427" s="2" t="str">
        <f>_xlfn.XLOOKUP(Table1_1[[#This Row],[CAS_rn]],[1]analyte_order!$C:$C,[1]analyte_order!$B:$B)</f>
        <v>HFPO-DA</v>
      </c>
      <c r="G1427" t="s">
        <v>137</v>
      </c>
      <c r="H1427" s="2">
        <f>_xlfn.XLOOKUP(Table1_1[[#This Row],[CAS_rn]],[1]analyte_order!$C:$C,[1]analyte_order!$E:$E)</f>
        <v>34</v>
      </c>
      <c r="I1427">
        <v>0.3</v>
      </c>
    </row>
    <row r="1428" spans="1:9" x14ac:dyDescent="0.3">
      <c r="A1428" s="2" t="s">
        <v>84</v>
      </c>
      <c r="B1428" s="3">
        <v>44312.5</v>
      </c>
      <c r="C1428" s="1" t="str">
        <f t="shared" si="22"/>
        <v>21117</v>
      </c>
      <c r="D1428" t="s">
        <v>29</v>
      </c>
      <c r="E1428" s="2" t="s">
        <v>27</v>
      </c>
      <c r="F1428" s="2" t="str">
        <f>_xlfn.XLOOKUP(Table1_1[[#This Row],[CAS_rn]],[1]analyte_order!$C:$C,[1]analyte_order!$B:$B)</f>
        <v>ADONA</v>
      </c>
      <c r="G1428" t="s">
        <v>138</v>
      </c>
      <c r="H1428" s="2">
        <f>_xlfn.XLOOKUP(Table1_1[[#This Row],[CAS_rn]],[1]analyte_order!$C:$C,[1]analyte_order!$E:$E)</f>
        <v>35</v>
      </c>
      <c r="I1428">
        <v>0.2</v>
      </c>
    </row>
    <row r="1429" spans="1:9" x14ac:dyDescent="0.3">
      <c r="A1429" s="2" t="s">
        <v>84</v>
      </c>
      <c r="B1429" s="3">
        <v>44312.5</v>
      </c>
      <c r="C1429" s="1" t="str">
        <f t="shared" si="22"/>
        <v>21117</v>
      </c>
      <c r="D1429" t="s">
        <v>29</v>
      </c>
      <c r="E1429" s="2" t="s">
        <v>27</v>
      </c>
      <c r="F1429" s="2" t="str">
        <f>_xlfn.XLOOKUP(Table1_1[[#This Row],[CAS_rn]],[1]analyte_order!$C:$C,[1]analyte_order!$B:$B)</f>
        <v>PFMBA</v>
      </c>
      <c r="G1429" t="s">
        <v>139</v>
      </c>
      <c r="H1429" s="2">
        <f>_xlfn.XLOOKUP(Table1_1[[#This Row],[CAS_rn]],[1]analyte_order!$C:$C,[1]analyte_order!$E:$E)</f>
        <v>48</v>
      </c>
      <c r="I1429">
        <v>0.1</v>
      </c>
    </row>
    <row r="1430" spans="1:9" x14ac:dyDescent="0.3">
      <c r="A1430" s="2" t="s">
        <v>84</v>
      </c>
      <c r="B1430" s="3">
        <v>44312.5</v>
      </c>
      <c r="C1430" s="1" t="str">
        <f t="shared" si="22"/>
        <v>21117</v>
      </c>
      <c r="D1430" t="s">
        <v>29</v>
      </c>
      <c r="E1430" s="2" t="s">
        <v>27</v>
      </c>
      <c r="F1430" s="2" t="str">
        <f>_xlfn.XLOOKUP(Table1_1[[#This Row],[CAS_rn]],[1]analyte_order!$C:$C,[1]analyte_order!$B:$B)</f>
        <v>NFDHA</v>
      </c>
      <c r="G1430" t="s">
        <v>140</v>
      </c>
      <c r="H1430" s="2">
        <f>_xlfn.XLOOKUP(Table1_1[[#This Row],[CAS_rn]],[1]analyte_order!$C:$C,[1]analyte_order!$E:$E)</f>
        <v>50</v>
      </c>
      <c r="I1430">
        <v>0.1</v>
      </c>
    </row>
    <row r="1431" spans="1:9" x14ac:dyDescent="0.3">
      <c r="A1431" s="2" t="s">
        <v>84</v>
      </c>
      <c r="B1431" s="3">
        <v>44312.5</v>
      </c>
      <c r="C1431" s="1" t="str">
        <f t="shared" si="22"/>
        <v>21117</v>
      </c>
      <c r="D1431" t="s">
        <v>29</v>
      </c>
      <c r="E1431" s="2" t="s">
        <v>27</v>
      </c>
      <c r="F1431" s="2" t="str">
        <f>_xlfn.XLOOKUP(Table1_1[[#This Row],[CAS_rn]],[1]analyte_order!$C:$C,[1]analyte_order!$B:$B)</f>
        <v>9Cl-PF3ONS</v>
      </c>
      <c r="G1431" t="s">
        <v>141</v>
      </c>
      <c r="H1431" s="2">
        <f>_xlfn.XLOOKUP(Table1_1[[#This Row],[CAS_rn]],[1]analyte_order!$C:$C,[1]analyte_order!$E:$E)</f>
        <v>36</v>
      </c>
      <c r="I1431">
        <v>0.2</v>
      </c>
    </row>
    <row r="1432" spans="1:9" x14ac:dyDescent="0.3">
      <c r="A1432" s="2" t="s">
        <v>84</v>
      </c>
      <c r="B1432" s="3">
        <v>44312.5</v>
      </c>
      <c r="C1432" s="1" t="str">
        <f t="shared" si="22"/>
        <v>21117</v>
      </c>
      <c r="D1432" t="s">
        <v>29</v>
      </c>
      <c r="E1432" s="2" t="s">
        <v>27</v>
      </c>
      <c r="F1432" s="2" t="str">
        <f>_xlfn.XLOOKUP(Table1_1[[#This Row],[CAS_rn]],[1]analyte_order!$C:$C,[1]analyte_order!$B:$B)</f>
        <v>11Cl-PF3OUdS</v>
      </c>
      <c r="G1432" t="s">
        <v>142</v>
      </c>
      <c r="H1432" s="2">
        <f>_xlfn.XLOOKUP(Table1_1[[#This Row],[CAS_rn]],[1]analyte_order!$C:$C,[1]analyte_order!$E:$E)</f>
        <v>37</v>
      </c>
      <c r="I1432">
        <v>0.2</v>
      </c>
    </row>
    <row r="1433" spans="1:9" x14ac:dyDescent="0.3">
      <c r="A1433" s="2" t="s">
        <v>84</v>
      </c>
      <c r="B1433" s="3">
        <v>44312.5</v>
      </c>
      <c r="C1433" s="1" t="str">
        <f t="shared" si="22"/>
        <v>21117</v>
      </c>
      <c r="D1433" t="s">
        <v>29</v>
      </c>
      <c r="E1433" s="2" t="s">
        <v>27</v>
      </c>
      <c r="F1433" s="2" t="str">
        <f>_xlfn.XLOOKUP(Table1_1[[#This Row],[CAS_rn]],[1]analyte_order!$C:$C,[1]analyte_order!$B:$B)</f>
        <v>PFEESA</v>
      </c>
      <c r="G1433" t="s">
        <v>143</v>
      </c>
      <c r="H1433" s="2">
        <f>_xlfn.XLOOKUP(Table1_1[[#This Row],[CAS_rn]],[1]analyte_order!$C:$C,[1]analyte_order!$E:$E)</f>
        <v>47</v>
      </c>
      <c r="I1433">
        <v>0.1</v>
      </c>
    </row>
    <row r="1434" spans="1:9" x14ac:dyDescent="0.3">
      <c r="A1434" s="2" t="s">
        <v>84</v>
      </c>
      <c r="B1434" s="3">
        <v>44312.5</v>
      </c>
      <c r="C1434" s="1" t="str">
        <f t="shared" si="22"/>
        <v>21117</v>
      </c>
      <c r="D1434" t="s">
        <v>29</v>
      </c>
      <c r="E1434" s="2" t="s">
        <v>27</v>
      </c>
      <c r="F1434" s="2" t="str">
        <f>_xlfn.XLOOKUP(Table1_1[[#This Row],[CAS_rn]],[1]analyte_order!$C:$C,[1]analyte_order!$B:$B)</f>
        <v>3:3 FTCA</v>
      </c>
      <c r="G1434" t="s">
        <v>144</v>
      </c>
      <c r="H1434" s="2">
        <f>_xlfn.XLOOKUP(Table1_1[[#This Row],[CAS_rn]],[1]analyte_order!$C:$C,[1]analyte_order!$E:$E)</f>
        <v>38</v>
      </c>
      <c r="I1434">
        <v>0.25</v>
      </c>
    </row>
    <row r="1435" spans="1:9" x14ac:dyDescent="0.3">
      <c r="A1435" s="2" t="s">
        <v>84</v>
      </c>
      <c r="B1435" s="3">
        <v>44312.5</v>
      </c>
      <c r="C1435" s="1" t="str">
        <f t="shared" si="22"/>
        <v>21117</v>
      </c>
      <c r="D1435" t="s">
        <v>29</v>
      </c>
      <c r="E1435" s="2" t="s">
        <v>27</v>
      </c>
      <c r="F1435" s="2" t="str">
        <f>_xlfn.XLOOKUP(Table1_1[[#This Row],[CAS_rn]],[1]analyte_order!$C:$C,[1]analyte_order!$B:$B)</f>
        <v>5:3 FTCA</v>
      </c>
      <c r="G1435" t="s">
        <v>145</v>
      </c>
      <c r="H1435" s="2">
        <f>_xlfn.XLOOKUP(Table1_1[[#This Row],[CAS_rn]],[1]analyte_order!$C:$C,[1]analyte_order!$E:$E)</f>
        <v>39</v>
      </c>
      <c r="I1435">
        <v>1.25</v>
      </c>
    </row>
    <row r="1436" spans="1:9" x14ac:dyDescent="0.3">
      <c r="A1436" s="2" t="s">
        <v>84</v>
      </c>
      <c r="B1436" s="3">
        <v>44312.5</v>
      </c>
      <c r="C1436" s="1" t="str">
        <f t="shared" si="22"/>
        <v>21117</v>
      </c>
      <c r="D1436" t="s">
        <v>29</v>
      </c>
      <c r="E1436" s="2" t="s">
        <v>27</v>
      </c>
      <c r="F1436" s="2" t="str">
        <f>_xlfn.XLOOKUP(Table1_1[[#This Row],[CAS_rn]],[1]analyte_order!$C:$C,[1]analyte_order!$B:$B)</f>
        <v>7:3 FTCA</v>
      </c>
      <c r="G1436" t="s">
        <v>146</v>
      </c>
      <c r="H1436" s="2">
        <f>_xlfn.XLOOKUP(Table1_1[[#This Row],[CAS_rn]],[1]analyte_order!$C:$C,[1]analyte_order!$E:$E)</f>
        <v>40</v>
      </c>
      <c r="I1436">
        <v>1.25</v>
      </c>
    </row>
    <row r="1437" spans="1:9" x14ac:dyDescent="0.3">
      <c r="A1437" s="2" t="s">
        <v>84</v>
      </c>
      <c r="B1437" s="3">
        <v>44312.5</v>
      </c>
      <c r="C1437" s="1" t="str">
        <f t="shared" si="22"/>
        <v>21117</v>
      </c>
      <c r="D1437" t="s">
        <v>29</v>
      </c>
      <c r="E1437" s="2" t="s">
        <v>27</v>
      </c>
      <c r="F1437" s="2" t="str">
        <f>_xlfn.XLOOKUP(Table1_1[[#This Row],[CAS_rn]],[1]analyte_order!$C:$C,[1]analyte_order!$B:$B)</f>
        <v>PFDS</v>
      </c>
      <c r="G1437" t="s">
        <v>147</v>
      </c>
      <c r="H1437" s="2">
        <f>_xlfn.XLOOKUP(Table1_1[[#This Row],[CAS_rn]],[1]analyte_order!$C:$C,[1]analyte_order!$E:$E)</f>
        <v>20</v>
      </c>
      <c r="I1437">
        <v>0.05</v>
      </c>
    </row>
    <row r="1438" spans="1:9" x14ac:dyDescent="0.3">
      <c r="A1438" s="2" t="s">
        <v>84</v>
      </c>
      <c r="B1438" s="3">
        <v>44312.5</v>
      </c>
      <c r="C1438" s="1" t="str">
        <f t="shared" si="22"/>
        <v>21117</v>
      </c>
      <c r="D1438" t="s">
        <v>29</v>
      </c>
      <c r="E1438" s="2" t="s">
        <v>27</v>
      </c>
      <c r="F1438" s="2" t="str">
        <f>_xlfn.XLOOKUP(Table1_1[[#This Row],[CAS_rn]],[1]analyte_order!$C:$C,[1]analyte_order!$B:$B)</f>
        <v>PFMPA</v>
      </c>
      <c r="G1438" t="s">
        <v>148</v>
      </c>
      <c r="H1438" s="2">
        <f>_xlfn.XLOOKUP(Table1_1[[#This Row],[CAS_rn]],[1]analyte_order!$C:$C,[1]analyte_order!$E:$E)</f>
        <v>49</v>
      </c>
      <c r="I1438">
        <v>0.1</v>
      </c>
    </row>
    <row r="1439" spans="1:9" x14ac:dyDescent="0.3">
      <c r="A1439" s="2" t="s">
        <v>84</v>
      </c>
      <c r="B1439" s="3">
        <v>44312.5</v>
      </c>
      <c r="C1439" s="1" t="str">
        <f t="shared" si="22"/>
        <v>21117</v>
      </c>
      <c r="D1439" t="s">
        <v>29</v>
      </c>
      <c r="E1439" s="2" t="s">
        <v>27</v>
      </c>
      <c r="F1439" s="2" t="str">
        <f>_xlfn.XLOOKUP(Table1_1[[#This Row],[CAS_rn]],[1]analyte_order!$C:$C,[1]analyte_order!$B:$B)</f>
        <v>PFDoA</v>
      </c>
      <c r="G1439" t="s">
        <v>117</v>
      </c>
      <c r="H1439" s="2">
        <f>_xlfn.XLOOKUP(Table1_1[[#This Row],[CAS_rn]],[1]analyte_order!$C:$C,[1]analyte_order!$E:$E)</f>
        <v>9</v>
      </c>
      <c r="I1439">
        <v>0.23499999999999999</v>
      </c>
    </row>
    <row r="1440" spans="1:9" x14ac:dyDescent="0.3">
      <c r="A1440" s="2" t="s">
        <v>84</v>
      </c>
      <c r="B1440" s="3">
        <v>44312.5</v>
      </c>
      <c r="C1440" s="1" t="str">
        <f t="shared" si="22"/>
        <v>21117</v>
      </c>
      <c r="D1440" t="s">
        <v>29</v>
      </c>
      <c r="E1440" s="2" t="s">
        <v>27</v>
      </c>
      <c r="F1440" s="2" t="str">
        <f>_xlfn.XLOOKUP(Table1_1[[#This Row],[CAS_rn]],[1]analyte_order!$C:$C,[1]analyte_order!$B:$B)</f>
        <v>PFTrDA</v>
      </c>
      <c r="G1440" t="s">
        <v>118</v>
      </c>
      <c r="H1440" s="2">
        <f>_xlfn.XLOOKUP(Table1_1[[#This Row],[CAS_rn]],[1]analyte_order!$C:$C,[1]analyte_order!$E:$E)</f>
        <v>10</v>
      </c>
      <c r="I1440">
        <v>0.23499999999999999</v>
      </c>
    </row>
    <row r="1441" spans="1:9" x14ac:dyDescent="0.3">
      <c r="A1441" s="2" t="s">
        <v>84</v>
      </c>
      <c r="B1441" s="3">
        <v>44312.5</v>
      </c>
      <c r="C1441" s="1" t="str">
        <f t="shared" si="22"/>
        <v>21117</v>
      </c>
      <c r="D1441" t="s">
        <v>29</v>
      </c>
      <c r="E1441" s="2" t="s">
        <v>27</v>
      </c>
      <c r="F1441" s="2" t="str">
        <f>_xlfn.XLOOKUP(Table1_1[[#This Row],[CAS_rn]],[1]analyte_order!$C:$C,[1]analyte_order!$B:$B)</f>
        <v>PFTeDA</v>
      </c>
      <c r="G1441" t="s">
        <v>119</v>
      </c>
      <c r="H1441" s="2">
        <f>_xlfn.XLOOKUP(Table1_1[[#This Row],[CAS_rn]],[1]analyte_order!$C:$C,[1]analyte_order!$E:$E)</f>
        <v>11</v>
      </c>
      <c r="I1441">
        <v>0.23499999999999999</v>
      </c>
    </row>
    <row r="1442" spans="1:9" x14ac:dyDescent="0.3">
      <c r="A1442" s="2" t="s">
        <v>85</v>
      </c>
      <c r="B1442" s="3">
        <v>44363.5</v>
      </c>
      <c r="C1442" s="1" t="str">
        <f t="shared" ref="C1442:C1481" si="23">TEXT(B1442,"yy")&amp;TEXT((B1442-DATEVALUE("1/1/"&amp;TEXT(B1442,"yy"))+1),"000")</f>
        <v>21168</v>
      </c>
      <c r="D1442" t="s">
        <v>26</v>
      </c>
      <c r="E1442" s="2" t="s">
        <v>39</v>
      </c>
      <c r="F1442" s="2" t="str">
        <f>_xlfn.XLOOKUP(Table1_1[[#This Row],[CAS_rn]],[1]analyte_order!$C:$C,[1]analyte_order!$B:$B)</f>
        <v>PFBA</v>
      </c>
      <c r="G1442" t="s">
        <v>109</v>
      </c>
      <c r="H1442" s="2">
        <f>_xlfn.XLOOKUP(Table1_1[[#This Row],[CAS_rn]],[1]analyte_order!$C:$C,[1]analyte_order!$E:$E)</f>
        <v>1</v>
      </c>
      <c r="I1442">
        <v>0.2</v>
      </c>
    </row>
    <row r="1443" spans="1:9" x14ac:dyDescent="0.3">
      <c r="A1443" s="2" t="s">
        <v>85</v>
      </c>
      <c r="B1443" s="3">
        <v>44363.5</v>
      </c>
      <c r="C1443" s="1" t="str">
        <f t="shared" si="23"/>
        <v>21168</v>
      </c>
      <c r="D1443" t="s">
        <v>26</v>
      </c>
      <c r="E1443" s="2" t="s">
        <v>39</v>
      </c>
      <c r="F1443" s="2" t="str">
        <f>_xlfn.XLOOKUP(Table1_1[[#This Row],[CAS_rn]],[1]analyte_order!$C:$C,[1]analyte_order!$B:$B)</f>
        <v>PFPeA</v>
      </c>
      <c r="G1443" t="s">
        <v>110</v>
      </c>
      <c r="H1443" s="2">
        <f>_xlfn.XLOOKUP(Table1_1[[#This Row],[CAS_rn]],[1]analyte_order!$C:$C,[1]analyte_order!$E:$E)</f>
        <v>2</v>
      </c>
      <c r="I1443">
        <v>0.1</v>
      </c>
    </row>
    <row r="1444" spans="1:9" x14ac:dyDescent="0.3">
      <c r="A1444" s="2" t="s">
        <v>85</v>
      </c>
      <c r="B1444" s="3">
        <v>44363.5</v>
      </c>
      <c r="C1444" s="1" t="str">
        <f t="shared" si="23"/>
        <v>21168</v>
      </c>
      <c r="D1444" t="s">
        <v>26</v>
      </c>
      <c r="E1444" s="2" t="s">
        <v>39</v>
      </c>
      <c r="F1444" s="2" t="str">
        <f>_xlfn.XLOOKUP(Table1_1[[#This Row],[CAS_rn]],[1]analyte_order!$C:$C,[1]analyte_order!$B:$B)</f>
        <v>PFHxA</v>
      </c>
      <c r="G1444" t="s">
        <v>111</v>
      </c>
      <c r="H1444" s="2">
        <f>_xlfn.XLOOKUP(Table1_1[[#This Row],[CAS_rn]],[1]analyte_order!$C:$C,[1]analyte_order!$E:$E)</f>
        <v>3</v>
      </c>
      <c r="I1444">
        <v>0.16</v>
      </c>
    </row>
    <row r="1445" spans="1:9" x14ac:dyDescent="0.3">
      <c r="A1445" s="2" t="s">
        <v>85</v>
      </c>
      <c r="B1445" s="3">
        <v>44363.5</v>
      </c>
      <c r="C1445" s="1" t="str">
        <f t="shared" si="23"/>
        <v>21168</v>
      </c>
      <c r="D1445" t="s">
        <v>26</v>
      </c>
      <c r="E1445" s="2" t="s">
        <v>39</v>
      </c>
      <c r="F1445" s="2" t="str">
        <f>_xlfn.XLOOKUP(Table1_1[[#This Row],[CAS_rn]],[1]analyte_order!$C:$C,[1]analyte_order!$B:$B)</f>
        <v>PFHpA</v>
      </c>
      <c r="G1445" t="s">
        <v>112</v>
      </c>
      <c r="H1445" s="2">
        <f>_xlfn.XLOOKUP(Table1_1[[#This Row],[CAS_rn]],[1]analyte_order!$C:$C,[1]analyte_order!$E:$E)</f>
        <v>4</v>
      </c>
      <c r="I1445">
        <v>0.09</v>
      </c>
    </row>
    <row r="1446" spans="1:9" x14ac:dyDescent="0.3">
      <c r="A1446" s="2" t="s">
        <v>85</v>
      </c>
      <c r="B1446" s="3">
        <v>44363.5</v>
      </c>
      <c r="C1446" s="1" t="str">
        <f t="shared" si="23"/>
        <v>21168</v>
      </c>
      <c r="D1446" t="s">
        <v>26</v>
      </c>
      <c r="E1446" s="2" t="s">
        <v>39</v>
      </c>
      <c r="F1446" s="2" t="str">
        <f>_xlfn.XLOOKUP(Table1_1[[#This Row],[CAS_rn]],[1]analyte_order!$C:$C,[1]analyte_order!$B:$B)</f>
        <v>PFOA</v>
      </c>
      <c r="G1446" t="s">
        <v>113</v>
      </c>
      <c r="H1446" s="2">
        <f>_xlfn.XLOOKUP(Table1_1[[#This Row],[CAS_rn]],[1]analyte_order!$C:$C,[1]analyte_order!$E:$E)</f>
        <v>5</v>
      </c>
      <c r="I1446">
        <v>0.38</v>
      </c>
    </row>
    <row r="1447" spans="1:9" x14ac:dyDescent="0.3">
      <c r="A1447" s="2" t="s">
        <v>85</v>
      </c>
      <c r="B1447" s="3">
        <v>44363.5</v>
      </c>
      <c r="C1447" s="1" t="str">
        <f t="shared" si="23"/>
        <v>21168</v>
      </c>
      <c r="D1447" t="s">
        <v>26</v>
      </c>
      <c r="E1447" s="2" t="s">
        <v>39</v>
      </c>
      <c r="F1447" s="2" t="str">
        <f>_xlfn.XLOOKUP(Table1_1[[#This Row],[CAS_rn]],[1]analyte_order!$C:$C,[1]analyte_order!$B:$B)</f>
        <v>PFNA</v>
      </c>
      <c r="G1447" t="s">
        <v>114</v>
      </c>
      <c r="H1447" s="2">
        <f>_xlfn.XLOOKUP(Table1_1[[#This Row],[CAS_rn]],[1]analyte_order!$C:$C,[1]analyte_order!$E:$E)</f>
        <v>6</v>
      </c>
      <c r="I1447">
        <v>0.05</v>
      </c>
    </row>
    <row r="1448" spans="1:9" x14ac:dyDescent="0.3">
      <c r="A1448" s="2" t="s">
        <v>85</v>
      </c>
      <c r="B1448" s="3">
        <v>44363.5</v>
      </c>
      <c r="C1448" s="1" t="str">
        <f t="shared" si="23"/>
        <v>21168</v>
      </c>
      <c r="D1448" t="s">
        <v>26</v>
      </c>
      <c r="E1448" s="2" t="s">
        <v>39</v>
      </c>
      <c r="F1448" s="2" t="str">
        <f>_xlfn.XLOOKUP(Table1_1[[#This Row],[CAS_rn]],[1]analyte_order!$C:$C,[1]analyte_order!$B:$B)</f>
        <v>PFDA</v>
      </c>
      <c r="G1448" t="s">
        <v>115</v>
      </c>
      <c r="H1448" s="2">
        <f>_xlfn.XLOOKUP(Table1_1[[#This Row],[CAS_rn]],[1]analyte_order!$C:$C,[1]analyte_order!$E:$E)</f>
        <v>7</v>
      </c>
      <c r="I1448">
        <v>0.05</v>
      </c>
    </row>
    <row r="1449" spans="1:9" x14ac:dyDescent="0.3">
      <c r="A1449" s="2" t="s">
        <v>85</v>
      </c>
      <c r="B1449" s="3">
        <v>44363.5</v>
      </c>
      <c r="C1449" s="1" t="str">
        <f t="shared" si="23"/>
        <v>21168</v>
      </c>
      <c r="D1449" t="s">
        <v>26</v>
      </c>
      <c r="E1449" s="2" t="s">
        <v>39</v>
      </c>
      <c r="F1449" s="2" t="str">
        <f>_xlfn.XLOOKUP(Table1_1[[#This Row],[CAS_rn]],[1]analyte_order!$C:$C,[1]analyte_order!$B:$B)</f>
        <v>PFUnA</v>
      </c>
      <c r="G1449" t="s">
        <v>116</v>
      </c>
      <c r="H1449" s="2">
        <f>_xlfn.XLOOKUP(Table1_1[[#This Row],[CAS_rn]],[1]analyte_order!$C:$C,[1]analyte_order!$E:$E)</f>
        <v>8</v>
      </c>
      <c r="I1449">
        <v>0.05</v>
      </c>
    </row>
    <row r="1450" spans="1:9" x14ac:dyDescent="0.3">
      <c r="A1450" s="2" t="s">
        <v>85</v>
      </c>
      <c r="B1450" s="3">
        <v>44363.5</v>
      </c>
      <c r="C1450" s="1" t="str">
        <f t="shared" si="23"/>
        <v>21168</v>
      </c>
      <c r="D1450" t="s">
        <v>26</v>
      </c>
      <c r="E1450" s="2" t="s">
        <v>39</v>
      </c>
      <c r="F1450" s="2" t="str">
        <f>_xlfn.XLOOKUP(Table1_1[[#This Row],[CAS_rn]],[1]analyte_order!$C:$C,[1]analyte_order!$B:$B)</f>
        <v>PFDoA</v>
      </c>
      <c r="G1450" t="s">
        <v>117</v>
      </c>
      <c r="H1450" s="2">
        <f>_xlfn.XLOOKUP(Table1_1[[#This Row],[CAS_rn]],[1]analyte_order!$C:$C,[1]analyte_order!$E:$E)</f>
        <v>9</v>
      </c>
      <c r="I1450">
        <v>0.05</v>
      </c>
    </row>
    <row r="1451" spans="1:9" x14ac:dyDescent="0.3">
      <c r="A1451" s="2" t="s">
        <v>85</v>
      </c>
      <c r="B1451" s="3">
        <v>44363.5</v>
      </c>
      <c r="C1451" s="1" t="str">
        <f t="shared" si="23"/>
        <v>21168</v>
      </c>
      <c r="D1451" t="s">
        <v>26</v>
      </c>
      <c r="E1451" s="2" t="s">
        <v>39</v>
      </c>
      <c r="F1451" s="2" t="str">
        <f>_xlfn.XLOOKUP(Table1_1[[#This Row],[CAS_rn]],[1]analyte_order!$C:$C,[1]analyte_order!$B:$B)</f>
        <v>PFBS</v>
      </c>
      <c r="G1451" t="s">
        <v>120</v>
      </c>
      <c r="H1451" s="2">
        <f>_xlfn.XLOOKUP(Table1_1[[#This Row],[CAS_rn]],[1]analyte_order!$C:$C,[1]analyte_order!$E:$E)</f>
        <v>14</v>
      </c>
      <c r="I1451">
        <v>0.05</v>
      </c>
    </row>
    <row r="1452" spans="1:9" x14ac:dyDescent="0.3">
      <c r="A1452" s="2" t="s">
        <v>85</v>
      </c>
      <c r="B1452" s="3">
        <v>44363.5</v>
      </c>
      <c r="C1452" s="1" t="str">
        <f t="shared" si="23"/>
        <v>21168</v>
      </c>
      <c r="D1452" t="s">
        <v>26</v>
      </c>
      <c r="E1452" s="2" t="s">
        <v>39</v>
      </c>
      <c r="F1452" s="2" t="str">
        <f>_xlfn.XLOOKUP(Table1_1[[#This Row],[CAS_rn]],[1]analyte_order!$C:$C,[1]analyte_order!$B:$B)</f>
        <v>PFPeS</v>
      </c>
      <c r="G1452" t="s">
        <v>121</v>
      </c>
      <c r="H1452" s="2">
        <f>_xlfn.XLOOKUP(Table1_1[[#This Row],[CAS_rn]],[1]analyte_order!$C:$C,[1]analyte_order!$E:$E)</f>
        <v>15</v>
      </c>
      <c r="I1452">
        <v>0.05</v>
      </c>
    </row>
    <row r="1453" spans="1:9" x14ac:dyDescent="0.3">
      <c r="A1453" s="2" t="s">
        <v>85</v>
      </c>
      <c r="B1453" s="3">
        <v>44363.5</v>
      </c>
      <c r="C1453" s="1" t="str">
        <f t="shared" si="23"/>
        <v>21168</v>
      </c>
      <c r="D1453" t="s">
        <v>26</v>
      </c>
      <c r="E1453" s="2" t="s">
        <v>39</v>
      </c>
      <c r="F1453" s="2" t="str">
        <f>_xlfn.XLOOKUP(Table1_1[[#This Row],[CAS_rn]],[1]analyte_order!$C:$C,[1]analyte_order!$B:$B)</f>
        <v>PFHxS</v>
      </c>
      <c r="G1453" t="s">
        <v>122</v>
      </c>
      <c r="H1453" s="2">
        <f>_xlfn.XLOOKUP(Table1_1[[#This Row],[CAS_rn]],[1]analyte_order!$C:$C,[1]analyte_order!$E:$E)</f>
        <v>16</v>
      </c>
      <c r="I1453">
        <v>0.35</v>
      </c>
    </row>
    <row r="1454" spans="1:9" x14ac:dyDescent="0.3">
      <c r="A1454" s="2" t="s">
        <v>85</v>
      </c>
      <c r="B1454" s="3">
        <v>44363.5</v>
      </c>
      <c r="C1454" s="1" t="str">
        <f t="shared" si="23"/>
        <v>21168</v>
      </c>
      <c r="D1454" t="s">
        <v>26</v>
      </c>
      <c r="E1454" s="2" t="s">
        <v>39</v>
      </c>
      <c r="F1454" s="2" t="str">
        <f>_xlfn.XLOOKUP(Table1_1[[#This Row],[CAS_rn]],[1]analyte_order!$C:$C,[1]analyte_order!$B:$B)</f>
        <v>PFHpS</v>
      </c>
      <c r="G1454" t="s">
        <v>123</v>
      </c>
      <c r="H1454" s="2">
        <f>_xlfn.XLOOKUP(Table1_1[[#This Row],[CAS_rn]],[1]analyte_order!$C:$C,[1]analyte_order!$E:$E)</f>
        <v>17</v>
      </c>
      <c r="I1454">
        <v>0.05</v>
      </c>
    </row>
    <row r="1455" spans="1:9" x14ac:dyDescent="0.3">
      <c r="A1455" s="2" t="s">
        <v>85</v>
      </c>
      <c r="B1455" s="3">
        <v>44363.5</v>
      </c>
      <c r="C1455" s="1" t="str">
        <f t="shared" si="23"/>
        <v>21168</v>
      </c>
      <c r="D1455" t="s">
        <v>26</v>
      </c>
      <c r="E1455" s="2" t="s">
        <v>39</v>
      </c>
      <c r="F1455" s="2" t="str">
        <f>_xlfn.XLOOKUP(Table1_1[[#This Row],[CAS_rn]],[1]analyte_order!$C:$C,[1]analyte_order!$B:$B)</f>
        <v>PFOS</v>
      </c>
      <c r="G1455" t="s">
        <v>124</v>
      </c>
      <c r="H1455" s="2">
        <f>_xlfn.XLOOKUP(Table1_1[[#This Row],[CAS_rn]],[1]analyte_order!$C:$C,[1]analyte_order!$E:$E)</f>
        <v>18</v>
      </c>
      <c r="I1455">
        <v>1.1000000000000001</v>
      </c>
    </row>
    <row r="1456" spans="1:9" x14ac:dyDescent="0.3">
      <c r="A1456" s="2" t="s">
        <v>85</v>
      </c>
      <c r="B1456" s="3">
        <v>44363.5</v>
      </c>
      <c r="C1456" s="1" t="str">
        <f t="shared" si="23"/>
        <v>21168</v>
      </c>
      <c r="D1456" t="s">
        <v>26</v>
      </c>
      <c r="E1456" s="2" t="s">
        <v>39</v>
      </c>
      <c r="F1456" s="2" t="str">
        <f>_xlfn.XLOOKUP(Table1_1[[#This Row],[CAS_rn]],[1]analyte_order!$C:$C,[1]analyte_order!$B:$B)</f>
        <v>PFNS</v>
      </c>
      <c r="G1456" t="s">
        <v>125</v>
      </c>
      <c r="H1456" s="2">
        <f>_xlfn.XLOOKUP(Table1_1[[#This Row],[CAS_rn]],[1]analyte_order!$C:$C,[1]analyte_order!$E:$E)</f>
        <v>19</v>
      </c>
      <c r="I1456">
        <v>0.05</v>
      </c>
    </row>
    <row r="1457" spans="1:9" x14ac:dyDescent="0.3">
      <c r="A1457" s="2" t="s">
        <v>85</v>
      </c>
      <c r="B1457" s="3">
        <v>44363.5</v>
      </c>
      <c r="C1457" s="1" t="str">
        <f t="shared" si="23"/>
        <v>21168</v>
      </c>
      <c r="D1457" t="s">
        <v>26</v>
      </c>
      <c r="E1457" s="2" t="s">
        <v>39</v>
      </c>
      <c r="F1457" s="2" t="str">
        <f>_xlfn.XLOOKUP(Table1_1[[#This Row],[CAS_rn]],[1]analyte_order!$C:$C,[1]analyte_order!$B:$B)</f>
        <v>PFDoS</v>
      </c>
      <c r="G1457" t="s">
        <v>126</v>
      </c>
      <c r="H1457" s="2">
        <f>_xlfn.XLOOKUP(Table1_1[[#This Row],[CAS_rn]],[1]analyte_order!$C:$C,[1]analyte_order!$E:$E)</f>
        <v>21</v>
      </c>
      <c r="I1457">
        <v>0.05</v>
      </c>
    </row>
    <row r="1458" spans="1:9" x14ac:dyDescent="0.3">
      <c r="A1458" s="2" t="s">
        <v>85</v>
      </c>
      <c r="B1458" s="3">
        <v>44363.5</v>
      </c>
      <c r="C1458" s="1" t="str">
        <f t="shared" si="23"/>
        <v>21168</v>
      </c>
      <c r="D1458" t="s">
        <v>26</v>
      </c>
      <c r="E1458" s="2" t="s">
        <v>39</v>
      </c>
      <c r="F1458" s="2" t="str">
        <f>_xlfn.XLOOKUP(Table1_1[[#This Row],[CAS_rn]],[1]analyte_order!$C:$C,[1]analyte_order!$B:$B)</f>
        <v>4:2 FTS</v>
      </c>
      <c r="G1458" t="s">
        <v>127</v>
      </c>
      <c r="H1458" s="2">
        <f>_xlfn.XLOOKUP(Table1_1[[#This Row],[CAS_rn]],[1]analyte_order!$C:$C,[1]analyte_order!$E:$E)</f>
        <v>22</v>
      </c>
      <c r="I1458">
        <v>0.2</v>
      </c>
    </row>
    <row r="1459" spans="1:9" x14ac:dyDescent="0.3">
      <c r="A1459" s="2" t="s">
        <v>85</v>
      </c>
      <c r="B1459" s="3">
        <v>44363.5</v>
      </c>
      <c r="C1459" s="1" t="str">
        <f t="shared" si="23"/>
        <v>21168</v>
      </c>
      <c r="D1459" t="s">
        <v>26</v>
      </c>
      <c r="E1459" s="2" t="s">
        <v>39</v>
      </c>
      <c r="F1459" s="2" t="str">
        <f>_xlfn.XLOOKUP(Table1_1[[#This Row],[CAS_rn]],[1]analyte_order!$C:$C,[1]analyte_order!$B:$B)</f>
        <v>6:2 FTS</v>
      </c>
      <c r="G1459" t="s">
        <v>128</v>
      </c>
      <c r="H1459" s="2">
        <f>_xlfn.XLOOKUP(Table1_1[[#This Row],[CAS_rn]],[1]analyte_order!$C:$C,[1]analyte_order!$E:$E)</f>
        <v>23</v>
      </c>
      <c r="I1459">
        <v>0.4</v>
      </c>
    </row>
    <row r="1460" spans="1:9" x14ac:dyDescent="0.3">
      <c r="A1460" s="2" t="s">
        <v>85</v>
      </c>
      <c r="B1460" s="3">
        <v>44363.5</v>
      </c>
      <c r="C1460" s="1" t="str">
        <f t="shared" si="23"/>
        <v>21168</v>
      </c>
      <c r="D1460" t="s">
        <v>26</v>
      </c>
      <c r="E1460" s="2" t="s">
        <v>39</v>
      </c>
      <c r="F1460" s="2" t="str">
        <f>_xlfn.XLOOKUP(Table1_1[[#This Row],[CAS_rn]],[1]analyte_order!$C:$C,[1]analyte_order!$B:$B)</f>
        <v>8:2 FTS</v>
      </c>
      <c r="G1460" t="s">
        <v>129</v>
      </c>
      <c r="H1460" s="2">
        <f>_xlfn.XLOOKUP(Table1_1[[#This Row],[CAS_rn]],[1]analyte_order!$C:$C,[1]analyte_order!$E:$E)</f>
        <v>24</v>
      </c>
      <c r="I1460">
        <v>0.4</v>
      </c>
    </row>
    <row r="1461" spans="1:9" x14ac:dyDescent="0.3">
      <c r="A1461" s="2" t="s">
        <v>85</v>
      </c>
      <c r="B1461" s="3">
        <v>44363.5</v>
      </c>
      <c r="C1461" s="1" t="str">
        <f t="shared" si="23"/>
        <v>21168</v>
      </c>
      <c r="D1461" t="s">
        <v>26</v>
      </c>
      <c r="E1461" s="2" t="s">
        <v>39</v>
      </c>
      <c r="F1461" s="2" t="str">
        <f>_xlfn.XLOOKUP(Table1_1[[#This Row],[CAS_rn]],[1]analyte_order!$C:$C,[1]analyte_order!$B:$B)</f>
        <v>FOSA</v>
      </c>
      <c r="G1461" t="s">
        <v>130</v>
      </c>
      <c r="H1461" s="2">
        <f>_xlfn.XLOOKUP(Table1_1[[#This Row],[CAS_rn]],[1]analyte_order!$C:$C,[1]analyte_order!$E:$E)</f>
        <v>28</v>
      </c>
      <c r="I1461">
        <v>0.09</v>
      </c>
    </row>
    <row r="1462" spans="1:9" x14ac:dyDescent="0.3">
      <c r="A1462" s="2" t="s">
        <v>85</v>
      </c>
      <c r="B1462" s="3">
        <v>44363.5</v>
      </c>
      <c r="C1462" s="1" t="str">
        <f t="shared" si="23"/>
        <v>21168</v>
      </c>
      <c r="D1462" t="s">
        <v>26</v>
      </c>
      <c r="E1462" s="2" t="s">
        <v>39</v>
      </c>
      <c r="F1462" s="2" t="str">
        <f>_xlfn.XLOOKUP(Table1_1[[#This Row],[CAS_rn]],[1]analyte_order!$C:$C,[1]analyte_order!$B:$B)</f>
        <v>N-MeFOSA</v>
      </c>
      <c r="G1462" t="s">
        <v>131</v>
      </c>
      <c r="H1462" s="2">
        <f>_xlfn.XLOOKUP(Table1_1[[#This Row],[CAS_rn]],[1]analyte_order!$C:$C,[1]analyte_order!$E:$E)</f>
        <v>30</v>
      </c>
      <c r="I1462">
        <v>0.05</v>
      </c>
    </row>
    <row r="1463" spans="1:9" x14ac:dyDescent="0.3">
      <c r="A1463" s="2" t="s">
        <v>85</v>
      </c>
      <c r="B1463" s="3">
        <v>44363.5</v>
      </c>
      <c r="C1463" s="1" t="str">
        <f t="shared" si="23"/>
        <v>21168</v>
      </c>
      <c r="D1463" t="s">
        <v>26</v>
      </c>
      <c r="E1463" s="2" t="s">
        <v>39</v>
      </c>
      <c r="F1463" s="2" t="str">
        <f>_xlfn.XLOOKUP(Table1_1[[#This Row],[CAS_rn]],[1]analyte_order!$C:$C,[1]analyte_order!$B:$B)</f>
        <v>N-MeFOSAA</v>
      </c>
      <c r="G1463" t="s">
        <v>132</v>
      </c>
      <c r="H1463" s="2">
        <f>_xlfn.XLOOKUP(Table1_1[[#This Row],[CAS_rn]],[1]analyte_order!$C:$C,[1]analyte_order!$E:$E)</f>
        <v>26</v>
      </c>
      <c r="I1463">
        <v>0.05</v>
      </c>
    </row>
    <row r="1464" spans="1:9" x14ac:dyDescent="0.3">
      <c r="A1464" s="2" t="s">
        <v>85</v>
      </c>
      <c r="B1464" s="3">
        <v>44363.5</v>
      </c>
      <c r="C1464" s="1" t="str">
        <f t="shared" si="23"/>
        <v>21168</v>
      </c>
      <c r="D1464" t="s">
        <v>26</v>
      </c>
      <c r="E1464" s="2" t="s">
        <v>39</v>
      </c>
      <c r="F1464" s="2" t="str">
        <f>_xlfn.XLOOKUP(Table1_1[[#This Row],[CAS_rn]],[1]analyte_order!$C:$C,[1]analyte_order!$B:$B)</f>
        <v>N-EtFOSA</v>
      </c>
      <c r="G1464" t="s">
        <v>133</v>
      </c>
      <c r="H1464" s="2">
        <f>_xlfn.XLOOKUP(Table1_1[[#This Row],[CAS_rn]],[1]analyte_order!$C:$C,[1]analyte_order!$E:$E)</f>
        <v>31</v>
      </c>
      <c r="I1464">
        <v>0.05</v>
      </c>
    </row>
    <row r="1465" spans="1:9" x14ac:dyDescent="0.3">
      <c r="A1465" s="2" t="s">
        <v>85</v>
      </c>
      <c r="B1465" s="3">
        <v>44363.5</v>
      </c>
      <c r="C1465" s="1" t="str">
        <f t="shared" si="23"/>
        <v>21168</v>
      </c>
      <c r="D1465" t="s">
        <v>26</v>
      </c>
      <c r="E1465" s="2" t="s">
        <v>39</v>
      </c>
      <c r="F1465" s="2" t="str">
        <f>_xlfn.XLOOKUP(Table1_1[[#This Row],[CAS_rn]],[1]analyte_order!$C:$C,[1]analyte_order!$B:$B)</f>
        <v>N-EtFOSAA</v>
      </c>
      <c r="G1465" t="s">
        <v>134</v>
      </c>
      <c r="H1465" s="2">
        <f>_xlfn.XLOOKUP(Table1_1[[#This Row],[CAS_rn]],[1]analyte_order!$C:$C,[1]analyte_order!$E:$E)</f>
        <v>27</v>
      </c>
      <c r="I1465">
        <v>0.05</v>
      </c>
    </row>
    <row r="1466" spans="1:9" x14ac:dyDescent="0.3">
      <c r="A1466" s="2" t="s">
        <v>85</v>
      </c>
      <c r="B1466" s="3">
        <v>44363.5</v>
      </c>
      <c r="C1466" s="1" t="str">
        <f t="shared" si="23"/>
        <v>21168</v>
      </c>
      <c r="D1466" t="s">
        <v>26</v>
      </c>
      <c r="E1466" s="2" t="s">
        <v>39</v>
      </c>
      <c r="F1466" s="2" t="str">
        <f>_xlfn.XLOOKUP(Table1_1[[#This Row],[CAS_rn]],[1]analyte_order!$C:$C,[1]analyte_order!$B:$B)</f>
        <v>N-MeFOSE</v>
      </c>
      <c r="G1466" t="s">
        <v>135</v>
      </c>
      <c r="H1466" s="2">
        <f>_xlfn.XLOOKUP(Table1_1[[#This Row],[CAS_rn]],[1]analyte_order!$C:$C,[1]analyte_order!$E:$E)</f>
        <v>32</v>
      </c>
      <c r="I1466">
        <v>0.5</v>
      </c>
    </row>
    <row r="1467" spans="1:9" x14ac:dyDescent="0.3">
      <c r="A1467" s="2" t="s">
        <v>85</v>
      </c>
      <c r="B1467" s="3">
        <v>44363.5</v>
      </c>
      <c r="C1467" s="1" t="str">
        <f t="shared" si="23"/>
        <v>21168</v>
      </c>
      <c r="D1467" t="s">
        <v>26</v>
      </c>
      <c r="E1467" s="2" t="s">
        <v>39</v>
      </c>
      <c r="F1467" s="2" t="str">
        <f>_xlfn.XLOOKUP(Table1_1[[#This Row],[CAS_rn]],[1]analyte_order!$C:$C,[1]analyte_order!$B:$B)</f>
        <v>N-EtFOSE</v>
      </c>
      <c r="G1467" t="s">
        <v>136</v>
      </c>
      <c r="H1467" s="2">
        <f>_xlfn.XLOOKUP(Table1_1[[#This Row],[CAS_rn]],[1]analyte_order!$C:$C,[1]analyte_order!$E:$E)</f>
        <v>33</v>
      </c>
      <c r="I1467">
        <v>0.5</v>
      </c>
    </row>
    <row r="1468" spans="1:9" x14ac:dyDescent="0.3">
      <c r="A1468" s="2" t="s">
        <v>85</v>
      </c>
      <c r="B1468" s="3">
        <v>44363.5</v>
      </c>
      <c r="C1468" s="1" t="str">
        <f t="shared" si="23"/>
        <v>21168</v>
      </c>
      <c r="D1468" t="s">
        <v>26</v>
      </c>
      <c r="E1468" s="2" t="s">
        <v>39</v>
      </c>
      <c r="F1468" s="2" t="str">
        <f>_xlfn.XLOOKUP(Table1_1[[#This Row],[CAS_rn]],[1]analyte_order!$C:$C,[1]analyte_order!$B:$B)</f>
        <v>HFPO-DA</v>
      </c>
      <c r="G1468" t="s">
        <v>137</v>
      </c>
      <c r="H1468" s="2">
        <f>_xlfn.XLOOKUP(Table1_1[[#This Row],[CAS_rn]],[1]analyte_order!$C:$C,[1]analyte_order!$E:$E)</f>
        <v>34</v>
      </c>
      <c r="I1468">
        <v>0.3</v>
      </c>
    </row>
    <row r="1469" spans="1:9" x14ac:dyDescent="0.3">
      <c r="A1469" s="2" t="s">
        <v>85</v>
      </c>
      <c r="B1469" s="3">
        <v>44363.5</v>
      </c>
      <c r="C1469" s="1" t="str">
        <f t="shared" si="23"/>
        <v>21168</v>
      </c>
      <c r="D1469" t="s">
        <v>26</v>
      </c>
      <c r="E1469" s="2" t="s">
        <v>39</v>
      </c>
      <c r="F1469" s="2" t="str">
        <f>_xlfn.XLOOKUP(Table1_1[[#This Row],[CAS_rn]],[1]analyte_order!$C:$C,[1]analyte_order!$B:$B)</f>
        <v>ADONA</v>
      </c>
      <c r="G1469" t="s">
        <v>138</v>
      </c>
      <c r="H1469" s="2">
        <f>_xlfn.XLOOKUP(Table1_1[[#This Row],[CAS_rn]],[1]analyte_order!$C:$C,[1]analyte_order!$E:$E)</f>
        <v>35</v>
      </c>
      <c r="I1469">
        <v>0.2</v>
      </c>
    </row>
    <row r="1470" spans="1:9" x14ac:dyDescent="0.3">
      <c r="A1470" s="2" t="s">
        <v>85</v>
      </c>
      <c r="B1470" s="3">
        <v>44363.5</v>
      </c>
      <c r="C1470" s="1" t="str">
        <f t="shared" si="23"/>
        <v>21168</v>
      </c>
      <c r="D1470" t="s">
        <v>26</v>
      </c>
      <c r="E1470" s="2" t="s">
        <v>39</v>
      </c>
      <c r="F1470" s="2" t="str">
        <f>_xlfn.XLOOKUP(Table1_1[[#This Row],[CAS_rn]],[1]analyte_order!$C:$C,[1]analyte_order!$B:$B)</f>
        <v>PFMBA</v>
      </c>
      <c r="G1470" t="s">
        <v>139</v>
      </c>
      <c r="H1470" s="2">
        <f>_xlfn.XLOOKUP(Table1_1[[#This Row],[CAS_rn]],[1]analyte_order!$C:$C,[1]analyte_order!$E:$E)</f>
        <v>48</v>
      </c>
      <c r="I1470">
        <v>0.1</v>
      </c>
    </row>
    <row r="1471" spans="1:9" x14ac:dyDescent="0.3">
      <c r="A1471" s="2" t="s">
        <v>85</v>
      </c>
      <c r="B1471" s="3">
        <v>44363.5</v>
      </c>
      <c r="C1471" s="1" t="str">
        <f t="shared" si="23"/>
        <v>21168</v>
      </c>
      <c r="D1471" t="s">
        <v>26</v>
      </c>
      <c r="E1471" s="2" t="s">
        <v>39</v>
      </c>
      <c r="F1471" s="2" t="str">
        <f>_xlfn.XLOOKUP(Table1_1[[#This Row],[CAS_rn]],[1]analyte_order!$C:$C,[1]analyte_order!$B:$B)</f>
        <v>NFDHA</v>
      </c>
      <c r="G1471" t="s">
        <v>140</v>
      </c>
      <c r="H1471" s="2">
        <f>_xlfn.XLOOKUP(Table1_1[[#This Row],[CAS_rn]],[1]analyte_order!$C:$C,[1]analyte_order!$E:$E)</f>
        <v>50</v>
      </c>
      <c r="I1471">
        <v>0.1</v>
      </c>
    </row>
    <row r="1472" spans="1:9" x14ac:dyDescent="0.3">
      <c r="A1472" s="2" t="s">
        <v>85</v>
      </c>
      <c r="B1472" s="3">
        <v>44363.5</v>
      </c>
      <c r="C1472" s="1" t="str">
        <f t="shared" si="23"/>
        <v>21168</v>
      </c>
      <c r="D1472" t="s">
        <v>26</v>
      </c>
      <c r="E1472" s="2" t="s">
        <v>39</v>
      </c>
      <c r="F1472" s="2" t="str">
        <f>_xlfn.XLOOKUP(Table1_1[[#This Row],[CAS_rn]],[1]analyte_order!$C:$C,[1]analyte_order!$B:$B)</f>
        <v>9Cl-PF3ONS</v>
      </c>
      <c r="G1472" t="s">
        <v>141</v>
      </c>
      <c r="H1472" s="2">
        <f>_xlfn.XLOOKUP(Table1_1[[#This Row],[CAS_rn]],[1]analyte_order!$C:$C,[1]analyte_order!$E:$E)</f>
        <v>36</v>
      </c>
      <c r="I1472">
        <v>0.2</v>
      </c>
    </row>
    <row r="1473" spans="1:9" x14ac:dyDescent="0.3">
      <c r="A1473" s="2" t="s">
        <v>85</v>
      </c>
      <c r="B1473" s="3">
        <v>44363.5</v>
      </c>
      <c r="C1473" s="1" t="str">
        <f t="shared" si="23"/>
        <v>21168</v>
      </c>
      <c r="D1473" t="s">
        <v>26</v>
      </c>
      <c r="E1473" s="2" t="s">
        <v>39</v>
      </c>
      <c r="F1473" s="2" t="str">
        <f>_xlfn.XLOOKUP(Table1_1[[#This Row],[CAS_rn]],[1]analyte_order!$C:$C,[1]analyte_order!$B:$B)</f>
        <v>11Cl-PF3OUdS</v>
      </c>
      <c r="G1473" t="s">
        <v>142</v>
      </c>
      <c r="H1473" s="2">
        <f>_xlfn.XLOOKUP(Table1_1[[#This Row],[CAS_rn]],[1]analyte_order!$C:$C,[1]analyte_order!$E:$E)</f>
        <v>37</v>
      </c>
      <c r="I1473">
        <v>0.2</v>
      </c>
    </row>
    <row r="1474" spans="1:9" x14ac:dyDescent="0.3">
      <c r="A1474" s="2" t="s">
        <v>85</v>
      </c>
      <c r="B1474" s="3">
        <v>44363.5</v>
      </c>
      <c r="C1474" s="1" t="str">
        <f t="shared" si="23"/>
        <v>21168</v>
      </c>
      <c r="D1474" t="s">
        <v>26</v>
      </c>
      <c r="E1474" s="2" t="s">
        <v>39</v>
      </c>
      <c r="F1474" s="2" t="str">
        <f>_xlfn.XLOOKUP(Table1_1[[#This Row],[CAS_rn]],[1]analyte_order!$C:$C,[1]analyte_order!$B:$B)</f>
        <v>PFEESA</v>
      </c>
      <c r="G1474" t="s">
        <v>143</v>
      </c>
      <c r="H1474" s="2">
        <f>_xlfn.XLOOKUP(Table1_1[[#This Row],[CAS_rn]],[1]analyte_order!$C:$C,[1]analyte_order!$E:$E)</f>
        <v>47</v>
      </c>
      <c r="I1474">
        <v>0.1</v>
      </c>
    </row>
    <row r="1475" spans="1:9" x14ac:dyDescent="0.3">
      <c r="A1475" s="2" t="s">
        <v>85</v>
      </c>
      <c r="B1475" s="3">
        <v>44363.5</v>
      </c>
      <c r="C1475" s="1" t="str">
        <f t="shared" si="23"/>
        <v>21168</v>
      </c>
      <c r="D1475" t="s">
        <v>26</v>
      </c>
      <c r="E1475" s="2" t="s">
        <v>39</v>
      </c>
      <c r="F1475" s="2" t="str">
        <f>_xlfn.XLOOKUP(Table1_1[[#This Row],[CAS_rn]],[1]analyte_order!$C:$C,[1]analyte_order!$B:$B)</f>
        <v>3:3 FTCA</v>
      </c>
      <c r="G1475" t="s">
        <v>144</v>
      </c>
      <c r="H1475" s="2">
        <f>_xlfn.XLOOKUP(Table1_1[[#This Row],[CAS_rn]],[1]analyte_order!$C:$C,[1]analyte_order!$E:$E)</f>
        <v>38</v>
      </c>
      <c r="I1475">
        <v>0.25</v>
      </c>
    </row>
    <row r="1476" spans="1:9" x14ac:dyDescent="0.3">
      <c r="A1476" s="2" t="s">
        <v>85</v>
      </c>
      <c r="B1476" s="3">
        <v>44363.5</v>
      </c>
      <c r="C1476" s="1" t="str">
        <f t="shared" si="23"/>
        <v>21168</v>
      </c>
      <c r="D1476" t="s">
        <v>26</v>
      </c>
      <c r="E1476" s="2" t="s">
        <v>39</v>
      </c>
      <c r="F1476" s="2" t="str">
        <f>_xlfn.XLOOKUP(Table1_1[[#This Row],[CAS_rn]],[1]analyte_order!$C:$C,[1]analyte_order!$B:$B)</f>
        <v>5:3 FTCA</v>
      </c>
      <c r="G1476" t="s">
        <v>145</v>
      </c>
      <c r="H1476" s="2">
        <f>_xlfn.XLOOKUP(Table1_1[[#This Row],[CAS_rn]],[1]analyte_order!$C:$C,[1]analyte_order!$E:$E)</f>
        <v>39</v>
      </c>
      <c r="I1476">
        <v>1.25</v>
      </c>
    </row>
    <row r="1477" spans="1:9" x14ac:dyDescent="0.3">
      <c r="A1477" s="2" t="s">
        <v>85</v>
      </c>
      <c r="B1477" s="3">
        <v>44363.5</v>
      </c>
      <c r="C1477" s="1" t="str">
        <f t="shared" si="23"/>
        <v>21168</v>
      </c>
      <c r="D1477" t="s">
        <v>26</v>
      </c>
      <c r="E1477" s="2" t="s">
        <v>39</v>
      </c>
      <c r="F1477" s="2" t="str">
        <f>_xlfn.XLOOKUP(Table1_1[[#This Row],[CAS_rn]],[1]analyte_order!$C:$C,[1]analyte_order!$B:$B)</f>
        <v>7:3 FTCA</v>
      </c>
      <c r="G1477" t="s">
        <v>146</v>
      </c>
      <c r="H1477" s="2">
        <f>_xlfn.XLOOKUP(Table1_1[[#This Row],[CAS_rn]],[1]analyte_order!$C:$C,[1]analyte_order!$E:$E)</f>
        <v>40</v>
      </c>
      <c r="I1477">
        <v>1.25</v>
      </c>
    </row>
    <row r="1478" spans="1:9" x14ac:dyDescent="0.3">
      <c r="A1478" s="2" t="s">
        <v>85</v>
      </c>
      <c r="B1478" s="3">
        <v>44363.5</v>
      </c>
      <c r="C1478" s="1" t="str">
        <f t="shared" si="23"/>
        <v>21168</v>
      </c>
      <c r="D1478" t="s">
        <v>26</v>
      </c>
      <c r="E1478" s="2" t="s">
        <v>39</v>
      </c>
      <c r="F1478" s="2" t="str">
        <f>_xlfn.XLOOKUP(Table1_1[[#This Row],[CAS_rn]],[1]analyte_order!$C:$C,[1]analyte_order!$B:$B)</f>
        <v>PFDS</v>
      </c>
      <c r="G1478" t="s">
        <v>147</v>
      </c>
      <c r="H1478" s="2">
        <f>_xlfn.XLOOKUP(Table1_1[[#This Row],[CAS_rn]],[1]analyte_order!$C:$C,[1]analyte_order!$E:$E)</f>
        <v>20</v>
      </c>
      <c r="I1478">
        <v>0.05</v>
      </c>
    </row>
    <row r="1479" spans="1:9" x14ac:dyDescent="0.3">
      <c r="A1479" s="2" t="s">
        <v>85</v>
      </c>
      <c r="B1479" s="3">
        <v>44363.5</v>
      </c>
      <c r="C1479" s="1" t="str">
        <f t="shared" si="23"/>
        <v>21168</v>
      </c>
      <c r="D1479" t="s">
        <v>26</v>
      </c>
      <c r="E1479" s="2" t="s">
        <v>39</v>
      </c>
      <c r="F1479" s="2" t="str">
        <f>_xlfn.XLOOKUP(Table1_1[[#This Row],[CAS_rn]],[1]analyte_order!$C:$C,[1]analyte_order!$B:$B)</f>
        <v>PFMPA</v>
      </c>
      <c r="G1479" t="s">
        <v>148</v>
      </c>
      <c r="H1479" s="2">
        <f>_xlfn.XLOOKUP(Table1_1[[#This Row],[CAS_rn]],[1]analyte_order!$C:$C,[1]analyte_order!$E:$E)</f>
        <v>49</v>
      </c>
      <c r="I1479">
        <v>0.1</v>
      </c>
    </row>
    <row r="1480" spans="1:9" x14ac:dyDescent="0.3">
      <c r="A1480" s="2" t="s">
        <v>85</v>
      </c>
      <c r="B1480" s="3">
        <v>44363.5</v>
      </c>
      <c r="C1480" s="1" t="str">
        <f t="shared" si="23"/>
        <v>21168</v>
      </c>
      <c r="D1480" t="s">
        <v>26</v>
      </c>
      <c r="E1480" s="2" t="s">
        <v>39</v>
      </c>
      <c r="F1480" s="2" t="str">
        <f>_xlfn.XLOOKUP(Table1_1[[#This Row],[CAS_rn]],[1]analyte_order!$C:$C,[1]analyte_order!$B:$B)</f>
        <v>PFTrDA</v>
      </c>
      <c r="G1480" t="s">
        <v>118</v>
      </c>
      <c r="H1480" s="2">
        <f>_xlfn.XLOOKUP(Table1_1[[#This Row],[CAS_rn]],[1]analyte_order!$C:$C,[1]analyte_order!$E:$E)</f>
        <v>10</v>
      </c>
      <c r="I1480">
        <v>0.5</v>
      </c>
    </row>
    <row r="1481" spans="1:9" x14ac:dyDescent="0.3">
      <c r="A1481" s="2" t="s">
        <v>85</v>
      </c>
      <c r="B1481" s="3">
        <v>44363.5</v>
      </c>
      <c r="C1481" s="1" t="str">
        <f t="shared" si="23"/>
        <v>21168</v>
      </c>
      <c r="D1481" t="s">
        <v>26</v>
      </c>
      <c r="E1481" s="2" t="s">
        <v>39</v>
      </c>
      <c r="F1481" s="2" t="str">
        <f>_xlfn.XLOOKUP(Table1_1[[#This Row],[CAS_rn]],[1]analyte_order!$C:$C,[1]analyte_order!$B:$B)</f>
        <v>PFTeDA</v>
      </c>
      <c r="G1481" t="s">
        <v>119</v>
      </c>
      <c r="H1481" s="2">
        <f>_xlfn.XLOOKUP(Table1_1[[#This Row],[CAS_rn]],[1]analyte_order!$C:$C,[1]analyte_order!$E:$E)</f>
        <v>11</v>
      </c>
      <c r="I1481">
        <v>0.5</v>
      </c>
    </row>
    <row r="1482" spans="1:9" x14ac:dyDescent="0.3">
      <c r="A1482" s="2" t="s">
        <v>86</v>
      </c>
      <c r="B1482" s="3">
        <v>44363.5</v>
      </c>
      <c r="C1482" s="1" t="str">
        <f t="shared" ref="C1482:C1522" si="24">TEXT(B1482,"yy")&amp;TEXT((B1482-DATEVALUE("1/1/"&amp;TEXT(B1482,"yy"))+1),"000")</f>
        <v>21168</v>
      </c>
      <c r="D1482" t="s">
        <v>31</v>
      </c>
      <c r="E1482" s="2" t="s">
        <v>39</v>
      </c>
      <c r="F1482" s="2" t="str">
        <f>_xlfn.XLOOKUP(Table1_1[[#This Row],[CAS_rn]],[1]analyte_order!$C:$C,[1]analyte_order!$B:$B)</f>
        <v>PFBA</v>
      </c>
      <c r="G1482" t="s">
        <v>109</v>
      </c>
      <c r="H1482" s="2">
        <f>_xlfn.XLOOKUP(Table1_1[[#This Row],[CAS_rn]],[1]analyte_order!$C:$C,[1]analyte_order!$E:$E)</f>
        <v>1</v>
      </c>
      <c r="I1482">
        <v>0.2</v>
      </c>
    </row>
    <row r="1483" spans="1:9" x14ac:dyDescent="0.3">
      <c r="A1483" s="2" t="s">
        <v>86</v>
      </c>
      <c r="B1483" s="3">
        <v>44363.5</v>
      </c>
      <c r="C1483" s="1" t="str">
        <f t="shared" si="24"/>
        <v>21168</v>
      </c>
      <c r="D1483" t="s">
        <v>31</v>
      </c>
      <c r="E1483" s="2" t="s">
        <v>39</v>
      </c>
      <c r="F1483" s="2" t="str">
        <f>_xlfn.XLOOKUP(Table1_1[[#This Row],[CAS_rn]],[1]analyte_order!$C:$C,[1]analyte_order!$B:$B)</f>
        <v>PFPeA</v>
      </c>
      <c r="G1483" t="s">
        <v>110</v>
      </c>
      <c r="H1483" s="2">
        <f>_xlfn.XLOOKUP(Table1_1[[#This Row],[CAS_rn]],[1]analyte_order!$C:$C,[1]analyte_order!$E:$E)</f>
        <v>2</v>
      </c>
      <c r="I1483">
        <v>0.1</v>
      </c>
    </row>
    <row r="1484" spans="1:9" x14ac:dyDescent="0.3">
      <c r="A1484" s="2" t="s">
        <v>86</v>
      </c>
      <c r="B1484" s="3">
        <v>44363.5</v>
      </c>
      <c r="C1484" s="1" t="str">
        <f t="shared" si="24"/>
        <v>21168</v>
      </c>
      <c r="D1484" t="s">
        <v>31</v>
      </c>
      <c r="E1484" s="2" t="s">
        <v>39</v>
      </c>
      <c r="F1484" s="2" t="str">
        <f>_xlfn.XLOOKUP(Table1_1[[#This Row],[CAS_rn]],[1]analyte_order!$C:$C,[1]analyte_order!$B:$B)</f>
        <v>PFHxA</v>
      </c>
      <c r="G1484" t="s">
        <v>111</v>
      </c>
      <c r="H1484" s="2">
        <f>_xlfn.XLOOKUP(Table1_1[[#This Row],[CAS_rn]],[1]analyte_order!$C:$C,[1]analyte_order!$E:$E)</f>
        <v>3</v>
      </c>
      <c r="I1484">
        <v>0.14000000000000001</v>
      </c>
    </row>
    <row r="1485" spans="1:9" x14ac:dyDescent="0.3">
      <c r="A1485" s="2" t="s">
        <v>86</v>
      </c>
      <c r="B1485" s="3">
        <v>44363.5</v>
      </c>
      <c r="C1485" s="1" t="str">
        <f t="shared" si="24"/>
        <v>21168</v>
      </c>
      <c r="D1485" t="s">
        <v>31</v>
      </c>
      <c r="E1485" s="2" t="s">
        <v>39</v>
      </c>
      <c r="F1485" s="2" t="str">
        <f>_xlfn.XLOOKUP(Table1_1[[#This Row],[CAS_rn]],[1]analyte_order!$C:$C,[1]analyte_order!$B:$B)</f>
        <v>PFHpA</v>
      </c>
      <c r="G1485" t="s">
        <v>112</v>
      </c>
      <c r="H1485" s="2">
        <f>_xlfn.XLOOKUP(Table1_1[[#This Row],[CAS_rn]],[1]analyte_order!$C:$C,[1]analyte_order!$E:$E)</f>
        <v>4</v>
      </c>
      <c r="I1485">
        <v>0.09</v>
      </c>
    </row>
    <row r="1486" spans="1:9" x14ac:dyDescent="0.3">
      <c r="A1486" s="2" t="s">
        <v>86</v>
      </c>
      <c r="B1486" s="3">
        <v>44363.5</v>
      </c>
      <c r="C1486" s="1" t="str">
        <f t="shared" si="24"/>
        <v>21168</v>
      </c>
      <c r="D1486" t="s">
        <v>31</v>
      </c>
      <c r="E1486" s="2" t="s">
        <v>39</v>
      </c>
      <c r="F1486" s="2" t="str">
        <f>_xlfn.XLOOKUP(Table1_1[[#This Row],[CAS_rn]],[1]analyte_order!$C:$C,[1]analyte_order!$B:$B)</f>
        <v>PFOA</v>
      </c>
      <c r="G1486" t="s">
        <v>113</v>
      </c>
      <c r="H1486" s="2">
        <f>_xlfn.XLOOKUP(Table1_1[[#This Row],[CAS_rn]],[1]analyte_order!$C:$C,[1]analyte_order!$E:$E)</f>
        <v>5</v>
      </c>
      <c r="I1486">
        <v>0.18</v>
      </c>
    </row>
    <row r="1487" spans="1:9" x14ac:dyDescent="0.3">
      <c r="A1487" s="2" t="s">
        <v>86</v>
      </c>
      <c r="B1487" s="3">
        <v>44363.5</v>
      </c>
      <c r="C1487" s="1" t="str">
        <f t="shared" si="24"/>
        <v>21168</v>
      </c>
      <c r="D1487" t="s">
        <v>31</v>
      </c>
      <c r="E1487" s="2" t="s">
        <v>39</v>
      </c>
      <c r="F1487" s="2" t="str">
        <f>_xlfn.XLOOKUP(Table1_1[[#This Row],[CAS_rn]],[1]analyte_order!$C:$C,[1]analyte_order!$B:$B)</f>
        <v>PFNA</v>
      </c>
      <c r="G1487" t="s">
        <v>114</v>
      </c>
      <c r="H1487" s="2">
        <f>_xlfn.XLOOKUP(Table1_1[[#This Row],[CAS_rn]],[1]analyte_order!$C:$C,[1]analyte_order!$E:$E)</f>
        <v>6</v>
      </c>
      <c r="I1487">
        <v>0.05</v>
      </c>
    </row>
    <row r="1488" spans="1:9" x14ac:dyDescent="0.3">
      <c r="A1488" s="2" t="s">
        <v>86</v>
      </c>
      <c r="B1488" s="3">
        <v>44363.5</v>
      </c>
      <c r="C1488" s="1" t="str">
        <f t="shared" si="24"/>
        <v>21168</v>
      </c>
      <c r="D1488" t="s">
        <v>31</v>
      </c>
      <c r="E1488" s="2" t="s">
        <v>39</v>
      </c>
      <c r="F1488" s="2" t="str">
        <f>_xlfn.XLOOKUP(Table1_1[[#This Row],[CAS_rn]],[1]analyte_order!$C:$C,[1]analyte_order!$B:$B)</f>
        <v>PFDA</v>
      </c>
      <c r="G1488" t="s">
        <v>115</v>
      </c>
      <c r="H1488" s="2">
        <f>_xlfn.XLOOKUP(Table1_1[[#This Row],[CAS_rn]],[1]analyte_order!$C:$C,[1]analyte_order!$E:$E)</f>
        <v>7</v>
      </c>
      <c r="I1488">
        <v>0.05</v>
      </c>
    </row>
    <row r="1489" spans="1:9" x14ac:dyDescent="0.3">
      <c r="A1489" s="2" t="s">
        <v>86</v>
      </c>
      <c r="B1489" s="3">
        <v>44363.5</v>
      </c>
      <c r="C1489" s="1" t="str">
        <f t="shared" si="24"/>
        <v>21168</v>
      </c>
      <c r="D1489" t="s">
        <v>31</v>
      </c>
      <c r="E1489" s="2" t="s">
        <v>39</v>
      </c>
      <c r="F1489" s="2" t="str">
        <f>_xlfn.XLOOKUP(Table1_1[[#This Row],[CAS_rn]],[1]analyte_order!$C:$C,[1]analyte_order!$B:$B)</f>
        <v>PFUnA</v>
      </c>
      <c r="G1489" t="s">
        <v>116</v>
      </c>
      <c r="H1489" s="2">
        <f>_xlfn.XLOOKUP(Table1_1[[#This Row],[CAS_rn]],[1]analyte_order!$C:$C,[1]analyte_order!$E:$E)</f>
        <v>8</v>
      </c>
      <c r="I1489">
        <v>0.05</v>
      </c>
    </row>
    <row r="1490" spans="1:9" x14ac:dyDescent="0.3">
      <c r="A1490" s="2" t="s">
        <v>86</v>
      </c>
      <c r="B1490" s="3">
        <v>44363.5</v>
      </c>
      <c r="C1490" s="1" t="str">
        <f t="shared" si="24"/>
        <v>21168</v>
      </c>
      <c r="D1490" t="s">
        <v>31</v>
      </c>
      <c r="E1490" s="2" t="s">
        <v>39</v>
      </c>
      <c r="F1490" s="2" t="str">
        <f>_xlfn.XLOOKUP(Table1_1[[#This Row],[CAS_rn]],[1]analyte_order!$C:$C,[1]analyte_order!$B:$B)</f>
        <v>PFDoA</v>
      </c>
      <c r="G1490" t="s">
        <v>117</v>
      </c>
      <c r="H1490" s="2">
        <f>_xlfn.XLOOKUP(Table1_1[[#This Row],[CAS_rn]],[1]analyte_order!$C:$C,[1]analyte_order!$E:$E)</f>
        <v>9</v>
      </c>
      <c r="I1490">
        <v>6.3E-2</v>
      </c>
    </row>
    <row r="1491" spans="1:9" x14ac:dyDescent="0.3">
      <c r="A1491" s="2" t="s">
        <v>86</v>
      </c>
      <c r="B1491" s="3">
        <v>44363.5</v>
      </c>
      <c r="C1491" s="1" t="str">
        <f t="shared" si="24"/>
        <v>21168</v>
      </c>
      <c r="D1491" t="s">
        <v>31</v>
      </c>
      <c r="E1491" s="2" t="s">
        <v>39</v>
      </c>
      <c r="F1491" s="2" t="str">
        <f>_xlfn.XLOOKUP(Table1_1[[#This Row],[CAS_rn]],[1]analyte_order!$C:$C,[1]analyte_order!$B:$B)</f>
        <v>PFTrDA</v>
      </c>
      <c r="G1491" t="s">
        <v>118</v>
      </c>
      <c r="H1491" s="2">
        <f>_xlfn.XLOOKUP(Table1_1[[#This Row],[CAS_rn]],[1]analyte_order!$C:$C,[1]analyte_order!$E:$E)</f>
        <v>10</v>
      </c>
      <c r="I1491">
        <v>0.05</v>
      </c>
    </row>
    <row r="1492" spans="1:9" x14ac:dyDescent="0.3">
      <c r="A1492" s="2" t="s">
        <v>86</v>
      </c>
      <c r="B1492" s="3">
        <v>44363.5</v>
      </c>
      <c r="C1492" s="1" t="str">
        <f t="shared" si="24"/>
        <v>21168</v>
      </c>
      <c r="D1492" t="s">
        <v>31</v>
      </c>
      <c r="E1492" s="2" t="s">
        <v>39</v>
      </c>
      <c r="F1492" s="2" t="str">
        <f>_xlfn.XLOOKUP(Table1_1[[#This Row],[CAS_rn]],[1]analyte_order!$C:$C,[1]analyte_order!$B:$B)</f>
        <v>PFTeDA</v>
      </c>
      <c r="G1492" t="s">
        <v>119</v>
      </c>
      <c r="H1492" s="2">
        <f>_xlfn.XLOOKUP(Table1_1[[#This Row],[CAS_rn]],[1]analyte_order!$C:$C,[1]analyte_order!$E:$E)</f>
        <v>11</v>
      </c>
      <c r="I1492">
        <v>0.05</v>
      </c>
    </row>
    <row r="1493" spans="1:9" x14ac:dyDescent="0.3">
      <c r="A1493" s="2" t="s">
        <v>86</v>
      </c>
      <c r="B1493" s="3">
        <v>44363.5</v>
      </c>
      <c r="C1493" s="1" t="str">
        <f t="shared" si="24"/>
        <v>21168</v>
      </c>
      <c r="D1493" t="s">
        <v>31</v>
      </c>
      <c r="E1493" s="2" t="s">
        <v>39</v>
      </c>
      <c r="F1493" s="2" t="str">
        <f>_xlfn.XLOOKUP(Table1_1[[#This Row],[CAS_rn]],[1]analyte_order!$C:$C,[1]analyte_order!$B:$B)</f>
        <v>PFBS</v>
      </c>
      <c r="G1493" t="s">
        <v>120</v>
      </c>
      <c r="H1493" s="2">
        <f>_xlfn.XLOOKUP(Table1_1[[#This Row],[CAS_rn]],[1]analyte_order!$C:$C,[1]analyte_order!$E:$E)</f>
        <v>14</v>
      </c>
      <c r="I1493">
        <v>0.05</v>
      </c>
    </row>
    <row r="1494" spans="1:9" x14ac:dyDescent="0.3">
      <c r="A1494" s="2" t="s">
        <v>86</v>
      </c>
      <c r="B1494" s="3">
        <v>44363.5</v>
      </c>
      <c r="C1494" s="1" t="str">
        <f t="shared" si="24"/>
        <v>21168</v>
      </c>
      <c r="D1494" t="s">
        <v>31</v>
      </c>
      <c r="E1494" s="2" t="s">
        <v>39</v>
      </c>
      <c r="F1494" s="2" t="str">
        <f>_xlfn.XLOOKUP(Table1_1[[#This Row],[CAS_rn]],[1]analyte_order!$C:$C,[1]analyte_order!$B:$B)</f>
        <v>PFPeS</v>
      </c>
      <c r="G1494" t="s">
        <v>121</v>
      </c>
      <c r="H1494" s="2">
        <f>_xlfn.XLOOKUP(Table1_1[[#This Row],[CAS_rn]],[1]analyte_order!$C:$C,[1]analyte_order!$E:$E)</f>
        <v>15</v>
      </c>
      <c r="I1494">
        <v>0.05</v>
      </c>
    </row>
    <row r="1495" spans="1:9" x14ac:dyDescent="0.3">
      <c r="A1495" s="2" t="s">
        <v>86</v>
      </c>
      <c r="B1495" s="3">
        <v>44363.5</v>
      </c>
      <c r="C1495" s="1" t="str">
        <f t="shared" si="24"/>
        <v>21168</v>
      </c>
      <c r="D1495" t="s">
        <v>31</v>
      </c>
      <c r="E1495" s="2" t="s">
        <v>39</v>
      </c>
      <c r="F1495" s="2" t="str">
        <f>_xlfn.XLOOKUP(Table1_1[[#This Row],[CAS_rn]],[1]analyte_order!$C:$C,[1]analyte_order!$B:$B)</f>
        <v>PFHxS</v>
      </c>
      <c r="G1495" t="s">
        <v>122</v>
      </c>
      <c r="H1495" s="2">
        <f>_xlfn.XLOOKUP(Table1_1[[#This Row],[CAS_rn]],[1]analyte_order!$C:$C,[1]analyte_order!$E:$E)</f>
        <v>16</v>
      </c>
      <c r="I1495">
        <v>0.42</v>
      </c>
    </row>
    <row r="1496" spans="1:9" x14ac:dyDescent="0.3">
      <c r="A1496" s="2" t="s">
        <v>86</v>
      </c>
      <c r="B1496" s="3">
        <v>44363.5</v>
      </c>
      <c r="C1496" s="1" t="str">
        <f t="shared" si="24"/>
        <v>21168</v>
      </c>
      <c r="D1496" t="s">
        <v>31</v>
      </c>
      <c r="E1496" s="2" t="s">
        <v>39</v>
      </c>
      <c r="F1496" s="2" t="str">
        <f>_xlfn.XLOOKUP(Table1_1[[#This Row],[CAS_rn]],[1]analyte_order!$C:$C,[1]analyte_order!$B:$B)</f>
        <v>PFHpS</v>
      </c>
      <c r="G1496" t="s">
        <v>123</v>
      </c>
      <c r="H1496" s="2">
        <f>_xlfn.XLOOKUP(Table1_1[[#This Row],[CAS_rn]],[1]analyte_order!$C:$C,[1]analyte_order!$E:$E)</f>
        <v>17</v>
      </c>
      <c r="I1496">
        <v>0.05</v>
      </c>
    </row>
    <row r="1497" spans="1:9" x14ac:dyDescent="0.3">
      <c r="A1497" s="2" t="s">
        <v>86</v>
      </c>
      <c r="B1497" s="3">
        <v>44363.5</v>
      </c>
      <c r="C1497" s="1" t="str">
        <f t="shared" si="24"/>
        <v>21168</v>
      </c>
      <c r="D1497" t="s">
        <v>31</v>
      </c>
      <c r="E1497" s="2" t="s">
        <v>39</v>
      </c>
      <c r="F1497" s="2" t="str">
        <f>_xlfn.XLOOKUP(Table1_1[[#This Row],[CAS_rn]],[1]analyte_order!$C:$C,[1]analyte_order!$B:$B)</f>
        <v>PFOS</v>
      </c>
      <c r="G1497" t="s">
        <v>124</v>
      </c>
      <c r="H1497" s="2">
        <f>_xlfn.XLOOKUP(Table1_1[[#This Row],[CAS_rn]],[1]analyte_order!$C:$C,[1]analyte_order!$E:$E)</f>
        <v>18</v>
      </c>
      <c r="I1497">
        <v>2.9</v>
      </c>
    </row>
    <row r="1498" spans="1:9" x14ac:dyDescent="0.3">
      <c r="A1498" s="2" t="s">
        <v>86</v>
      </c>
      <c r="B1498" s="3">
        <v>44363.5</v>
      </c>
      <c r="C1498" s="1" t="str">
        <f t="shared" si="24"/>
        <v>21168</v>
      </c>
      <c r="D1498" t="s">
        <v>31</v>
      </c>
      <c r="E1498" s="2" t="s">
        <v>39</v>
      </c>
      <c r="F1498" s="2" t="str">
        <f>_xlfn.XLOOKUP(Table1_1[[#This Row],[CAS_rn]],[1]analyte_order!$C:$C,[1]analyte_order!$B:$B)</f>
        <v>PFNS</v>
      </c>
      <c r="G1498" t="s">
        <v>125</v>
      </c>
      <c r="H1498" s="2">
        <f>_xlfn.XLOOKUP(Table1_1[[#This Row],[CAS_rn]],[1]analyte_order!$C:$C,[1]analyte_order!$E:$E)</f>
        <v>19</v>
      </c>
      <c r="I1498">
        <v>0.05</v>
      </c>
    </row>
    <row r="1499" spans="1:9" x14ac:dyDescent="0.3">
      <c r="A1499" s="2" t="s">
        <v>86</v>
      </c>
      <c r="B1499" s="3">
        <v>44363.5</v>
      </c>
      <c r="C1499" s="1" t="str">
        <f t="shared" si="24"/>
        <v>21168</v>
      </c>
      <c r="D1499" t="s">
        <v>31</v>
      </c>
      <c r="E1499" s="2" t="s">
        <v>39</v>
      </c>
      <c r="F1499" s="2" t="str">
        <f>_xlfn.XLOOKUP(Table1_1[[#This Row],[CAS_rn]],[1]analyte_order!$C:$C,[1]analyte_order!$B:$B)</f>
        <v>PFDoS</v>
      </c>
      <c r="G1499" t="s">
        <v>126</v>
      </c>
      <c r="H1499" s="2">
        <f>_xlfn.XLOOKUP(Table1_1[[#This Row],[CAS_rn]],[1]analyte_order!$C:$C,[1]analyte_order!$E:$E)</f>
        <v>21</v>
      </c>
      <c r="I1499">
        <v>0.05</v>
      </c>
    </row>
    <row r="1500" spans="1:9" x14ac:dyDescent="0.3">
      <c r="A1500" s="2" t="s">
        <v>86</v>
      </c>
      <c r="B1500" s="3">
        <v>44363.5</v>
      </c>
      <c r="C1500" s="1" t="str">
        <f t="shared" si="24"/>
        <v>21168</v>
      </c>
      <c r="D1500" t="s">
        <v>31</v>
      </c>
      <c r="E1500" s="2" t="s">
        <v>39</v>
      </c>
      <c r="F1500" s="2" t="str">
        <f>_xlfn.XLOOKUP(Table1_1[[#This Row],[CAS_rn]],[1]analyte_order!$C:$C,[1]analyte_order!$B:$B)</f>
        <v>4:2 FTS</v>
      </c>
      <c r="G1500" t="s">
        <v>127</v>
      </c>
      <c r="H1500" s="2">
        <f>_xlfn.XLOOKUP(Table1_1[[#This Row],[CAS_rn]],[1]analyte_order!$C:$C,[1]analyte_order!$E:$E)</f>
        <v>22</v>
      </c>
      <c r="I1500">
        <v>0.2</v>
      </c>
    </row>
    <row r="1501" spans="1:9" x14ac:dyDescent="0.3">
      <c r="A1501" s="2" t="s">
        <v>86</v>
      </c>
      <c r="B1501" s="3">
        <v>44363.5</v>
      </c>
      <c r="C1501" s="1" t="str">
        <f t="shared" si="24"/>
        <v>21168</v>
      </c>
      <c r="D1501" t="s">
        <v>31</v>
      </c>
      <c r="E1501" s="2" t="s">
        <v>39</v>
      </c>
      <c r="F1501" s="2" t="str">
        <f>_xlfn.XLOOKUP(Table1_1[[#This Row],[CAS_rn]],[1]analyte_order!$C:$C,[1]analyte_order!$B:$B)</f>
        <v>6:2 FTS</v>
      </c>
      <c r="G1501" t="s">
        <v>128</v>
      </c>
      <c r="H1501" s="2">
        <f>_xlfn.XLOOKUP(Table1_1[[#This Row],[CAS_rn]],[1]analyte_order!$C:$C,[1]analyte_order!$E:$E)</f>
        <v>23</v>
      </c>
      <c r="I1501">
        <v>0.4</v>
      </c>
    </row>
    <row r="1502" spans="1:9" x14ac:dyDescent="0.3">
      <c r="A1502" s="2" t="s">
        <v>86</v>
      </c>
      <c r="B1502" s="3">
        <v>44363.5</v>
      </c>
      <c r="C1502" s="1" t="str">
        <f t="shared" si="24"/>
        <v>21168</v>
      </c>
      <c r="D1502" t="s">
        <v>31</v>
      </c>
      <c r="E1502" s="2" t="s">
        <v>39</v>
      </c>
      <c r="F1502" s="2" t="str">
        <f>_xlfn.XLOOKUP(Table1_1[[#This Row],[CAS_rn]],[1]analyte_order!$C:$C,[1]analyte_order!$B:$B)</f>
        <v>8:2 FTS</v>
      </c>
      <c r="G1502" t="s">
        <v>129</v>
      </c>
      <c r="H1502" s="2">
        <f>_xlfn.XLOOKUP(Table1_1[[#This Row],[CAS_rn]],[1]analyte_order!$C:$C,[1]analyte_order!$E:$E)</f>
        <v>24</v>
      </c>
      <c r="I1502">
        <v>0.4</v>
      </c>
    </row>
    <row r="1503" spans="1:9" x14ac:dyDescent="0.3">
      <c r="A1503" s="2" t="s">
        <v>86</v>
      </c>
      <c r="B1503" s="3">
        <v>44363.5</v>
      </c>
      <c r="C1503" s="1" t="str">
        <f t="shared" si="24"/>
        <v>21168</v>
      </c>
      <c r="D1503" t="s">
        <v>31</v>
      </c>
      <c r="E1503" s="2" t="s">
        <v>39</v>
      </c>
      <c r="F1503" s="2" t="str">
        <f>_xlfn.XLOOKUP(Table1_1[[#This Row],[CAS_rn]],[1]analyte_order!$C:$C,[1]analyte_order!$B:$B)</f>
        <v>FOSA</v>
      </c>
      <c r="G1503" t="s">
        <v>130</v>
      </c>
      <c r="H1503" s="2">
        <f>_xlfn.XLOOKUP(Table1_1[[#This Row],[CAS_rn]],[1]analyte_order!$C:$C,[1]analyte_order!$E:$E)</f>
        <v>28</v>
      </c>
      <c r="I1503">
        <v>0.16</v>
      </c>
    </row>
    <row r="1504" spans="1:9" x14ac:dyDescent="0.3">
      <c r="A1504" s="2" t="s">
        <v>86</v>
      </c>
      <c r="B1504" s="3">
        <v>44363.5</v>
      </c>
      <c r="C1504" s="1" t="str">
        <f t="shared" si="24"/>
        <v>21168</v>
      </c>
      <c r="D1504" t="s">
        <v>31</v>
      </c>
      <c r="E1504" s="2" t="s">
        <v>39</v>
      </c>
      <c r="F1504" s="2" t="str">
        <f>_xlfn.XLOOKUP(Table1_1[[#This Row],[CAS_rn]],[1]analyte_order!$C:$C,[1]analyte_order!$B:$B)</f>
        <v>N-MeFOSA</v>
      </c>
      <c r="G1504" t="s">
        <v>131</v>
      </c>
      <c r="H1504" s="2">
        <f>_xlfn.XLOOKUP(Table1_1[[#This Row],[CAS_rn]],[1]analyte_order!$C:$C,[1]analyte_order!$E:$E)</f>
        <v>30</v>
      </c>
      <c r="I1504">
        <v>0.05</v>
      </c>
    </row>
    <row r="1505" spans="1:9" x14ac:dyDescent="0.3">
      <c r="A1505" s="2" t="s">
        <v>86</v>
      </c>
      <c r="B1505" s="3">
        <v>44363.5</v>
      </c>
      <c r="C1505" s="1" t="str">
        <f t="shared" si="24"/>
        <v>21168</v>
      </c>
      <c r="D1505" t="s">
        <v>31</v>
      </c>
      <c r="E1505" s="2" t="s">
        <v>39</v>
      </c>
      <c r="F1505" s="2" t="str">
        <f>_xlfn.XLOOKUP(Table1_1[[#This Row],[CAS_rn]],[1]analyte_order!$C:$C,[1]analyte_order!$B:$B)</f>
        <v>N-MeFOSAA</v>
      </c>
      <c r="G1505" t="s">
        <v>132</v>
      </c>
      <c r="H1505" s="2">
        <f>_xlfn.XLOOKUP(Table1_1[[#This Row],[CAS_rn]],[1]analyte_order!$C:$C,[1]analyte_order!$E:$E)</f>
        <v>26</v>
      </c>
      <c r="I1505">
        <v>0.05</v>
      </c>
    </row>
    <row r="1506" spans="1:9" x14ac:dyDescent="0.3">
      <c r="A1506" s="2" t="s">
        <v>86</v>
      </c>
      <c r="B1506" s="3">
        <v>44363.5</v>
      </c>
      <c r="C1506" s="1" t="str">
        <f t="shared" si="24"/>
        <v>21168</v>
      </c>
      <c r="D1506" t="s">
        <v>31</v>
      </c>
      <c r="E1506" s="2" t="s">
        <v>39</v>
      </c>
      <c r="F1506" s="2" t="str">
        <f>_xlfn.XLOOKUP(Table1_1[[#This Row],[CAS_rn]],[1]analyte_order!$C:$C,[1]analyte_order!$B:$B)</f>
        <v>N-EtFOSA</v>
      </c>
      <c r="G1506" t="s">
        <v>133</v>
      </c>
      <c r="H1506" s="2">
        <f>_xlfn.XLOOKUP(Table1_1[[#This Row],[CAS_rn]],[1]analyte_order!$C:$C,[1]analyte_order!$E:$E)</f>
        <v>31</v>
      </c>
      <c r="I1506">
        <v>0.05</v>
      </c>
    </row>
    <row r="1507" spans="1:9" x14ac:dyDescent="0.3">
      <c r="A1507" s="2" t="s">
        <v>86</v>
      </c>
      <c r="B1507" s="3">
        <v>44363.5</v>
      </c>
      <c r="C1507" s="1" t="str">
        <f t="shared" si="24"/>
        <v>21168</v>
      </c>
      <c r="D1507" t="s">
        <v>31</v>
      </c>
      <c r="E1507" s="2" t="s">
        <v>39</v>
      </c>
      <c r="F1507" s="2" t="str">
        <f>_xlfn.XLOOKUP(Table1_1[[#This Row],[CAS_rn]],[1]analyte_order!$C:$C,[1]analyte_order!$B:$B)</f>
        <v>N-EtFOSAA</v>
      </c>
      <c r="G1507" t="s">
        <v>134</v>
      </c>
      <c r="H1507" s="2">
        <f>_xlfn.XLOOKUP(Table1_1[[#This Row],[CAS_rn]],[1]analyte_order!$C:$C,[1]analyte_order!$E:$E)</f>
        <v>27</v>
      </c>
      <c r="I1507">
        <v>0.05</v>
      </c>
    </row>
    <row r="1508" spans="1:9" x14ac:dyDescent="0.3">
      <c r="A1508" s="2" t="s">
        <v>86</v>
      </c>
      <c r="B1508" s="3">
        <v>44363.5</v>
      </c>
      <c r="C1508" s="1" t="str">
        <f t="shared" si="24"/>
        <v>21168</v>
      </c>
      <c r="D1508" t="s">
        <v>31</v>
      </c>
      <c r="E1508" s="2" t="s">
        <v>39</v>
      </c>
      <c r="F1508" s="2" t="str">
        <f>_xlfn.XLOOKUP(Table1_1[[#This Row],[CAS_rn]],[1]analyte_order!$C:$C,[1]analyte_order!$B:$B)</f>
        <v>N-MeFOSE</v>
      </c>
      <c r="G1508" t="s">
        <v>135</v>
      </c>
      <c r="H1508" s="2">
        <f>_xlfn.XLOOKUP(Table1_1[[#This Row],[CAS_rn]],[1]analyte_order!$C:$C,[1]analyte_order!$E:$E)</f>
        <v>32</v>
      </c>
      <c r="I1508">
        <v>0.5</v>
      </c>
    </row>
    <row r="1509" spans="1:9" x14ac:dyDescent="0.3">
      <c r="A1509" s="2" t="s">
        <v>86</v>
      </c>
      <c r="B1509" s="3">
        <v>44363.5</v>
      </c>
      <c r="C1509" s="1" t="str">
        <f t="shared" si="24"/>
        <v>21168</v>
      </c>
      <c r="D1509" t="s">
        <v>31</v>
      </c>
      <c r="E1509" s="2" t="s">
        <v>39</v>
      </c>
      <c r="F1509" s="2" t="str">
        <f>_xlfn.XLOOKUP(Table1_1[[#This Row],[CAS_rn]],[1]analyte_order!$C:$C,[1]analyte_order!$B:$B)</f>
        <v>N-EtFOSE</v>
      </c>
      <c r="G1509" t="s">
        <v>136</v>
      </c>
      <c r="H1509" s="2">
        <f>_xlfn.XLOOKUP(Table1_1[[#This Row],[CAS_rn]],[1]analyte_order!$C:$C,[1]analyte_order!$E:$E)</f>
        <v>33</v>
      </c>
      <c r="I1509">
        <v>0.5</v>
      </c>
    </row>
    <row r="1510" spans="1:9" x14ac:dyDescent="0.3">
      <c r="A1510" s="2" t="s">
        <v>86</v>
      </c>
      <c r="B1510" s="3">
        <v>44363.5</v>
      </c>
      <c r="C1510" s="1" t="str">
        <f t="shared" si="24"/>
        <v>21168</v>
      </c>
      <c r="D1510" t="s">
        <v>31</v>
      </c>
      <c r="E1510" s="2" t="s">
        <v>39</v>
      </c>
      <c r="F1510" s="2" t="str">
        <f>_xlfn.XLOOKUP(Table1_1[[#This Row],[CAS_rn]],[1]analyte_order!$C:$C,[1]analyte_order!$B:$B)</f>
        <v>HFPO-DA</v>
      </c>
      <c r="G1510" t="s">
        <v>137</v>
      </c>
      <c r="H1510" s="2">
        <f>_xlfn.XLOOKUP(Table1_1[[#This Row],[CAS_rn]],[1]analyte_order!$C:$C,[1]analyte_order!$E:$E)</f>
        <v>34</v>
      </c>
      <c r="I1510">
        <v>0.3</v>
      </c>
    </row>
    <row r="1511" spans="1:9" x14ac:dyDescent="0.3">
      <c r="A1511" s="2" t="s">
        <v>86</v>
      </c>
      <c r="B1511" s="3">
        <v>44363.5</v>
      </c>
      <c r="C1511" s="1" t="str">
        <f t="shared" si="24"/>
        <v>21168</v>
      </c>
      <c r="D1511" t="s">
        <v>31</v>
      </c>
      <c r="E1511" s="2" t="s">
        <v>39</v>
      </c>
      <c r="F1511" s="2" t="str">
        <f>_xlfn.XLOOKUP(Table1_1[[#This Row],[CAS_rn]],[1]analyte_order!$C:$C,[1]analyte_order!$B:$B)</f>
        <v>ADONA</v>
      </c>
      <c r="G1511" t="s">
        <v>138</v>
      </c>
      <c r="H1511" s="2">
        <f>_xlfn.XLOOKUP(Table1_1[[#This Row],[CAS_rn]],[1]analyte_order!$C:$C,[1]analyte_order!$E:$E)</f>
        <v>35</v>
      </c>
      <c r="I1511">
        <v>0.2</v>
      </c>
    </row>
    <row r="1512" spans="1:9" x14ac:dyDescent="0.3">
      <c r="A1512" s="2" t="s">
        <v>86</v>
      </c>
      <c r="B1512" s="3">
        <v>44363.5</v>
      </c>
      <c r="C1512" s="1" t="str">
        <f t="shared" si="24"/>
        <v>21168</v>
      </c>
      <c r="D1512" t="s">
        <v>31</v>
      </c>
      <c r="E1512" s="2" t="s">
        <v>39</v>
      </c>
      <c r="F1512" s="2" t="str">
        <f>_xlfn.XLOOKUP(Table1_1[[#This Row],[CAS_rn]],[1]analyte_order!$C:$C,[1]analyte_order!$B:$B)</f>
        <v>PFMBA</v>
      </c>
      <c r="G1512" t="s">
        <v>139</v>
      </c>
      <c r="H1512" s="2">
        <f>_xlfn.XLOOKUP(Table1_1[[#This Row],[CAS_rn]],[1]analyte_order!$C:$C,[1]analyte_order!$E:$E)</f>
        <v>48</v>
      </c>
      <c r="I1512">
        <v>0.1</v>
      </c>
    </row>
    <row r="1513" spans="1:9" x14ac:dyDescent="0.3">
      <c r="A1513" s="2" t="s">
        <v>86</v>
      </c>
      <c r="B1513" s="3">
        <v>44363.5</v>
      </c>
      <c r="C1513" s="1" t="str">
        <f t="shared" si="24"/>
        <v>21168</v>
      </c>
      <c r="D1513" t="s">
        <v>31</v>
      </c>
      <c r="E1513" s="2" t="s">
        <v>39</v>
      </c>
      <c r="F1513" s="2" t="str">
        <f>_xlfn.XLOOKUP(Table1_1[[#This Row],[CAS_rn]],[1]analyte_order!$C:$C,[1]analyte_order!$B:$B)</f>
        <v>NFDHA</v>
      </c>
      <c r="G1513" t="s">
        <v>140</v>
      </c>
      <c r="H1513" s="2">
        <f>_xlfn.XLOOKUP(Table1_1[[#This Row],[CAS_rn]],[1]analyte_order!$C:$C,[1]analyte_order!$E:$E)</f>
        <v>50</v>
      </c>
      <c r="I1513">
        <v>0.1</v>
      </c>
    </row>
    <row r="1514" spans="1:9" x14ac:dyDescent="0.3">
      <c r="A1514" s="2" t="s">
        <v>86</v>
      </c>
      <c r="B1514" s="3">
        <v>44363.5</v>
      </c>
      <c r="C1514" s="1" t="str">
        <f t="shared" si="24"/>
        <v>21168</v>
      </c>
      <c r="D1514" t="s">
        <v>31</v>
      </c>
      <c r="E1514" s="2" t="s">
        <v>39</v>
      </c>
      <c r="F1514" s="2" t="str">
        <f>_xlfn.XLOOKUP(Table1_1[[#This Row],[CAS_rn]],[1]analyte_order!$C:$C,[1]analyte_order!$B:$B)</f>
        <v>9Cl-PF3ONS</v>
      </c>
      <c r="G1514" t="s">
        <v>141</v>
      </c>
      <c r="H1514" s="2">
        <f>_xlfn.XLOOKUP(Table1_1[[#This Row],[CAS_rn]],[1]analyte_order!$C:$C,[1]analyte_order!$E:$E)</f>
        <v>36</v>
      </c>
      <c r="I1514">
        <v>0.2</v>
      </c>
    </row>
    <row r="1515" spans="1:9" x14ac:dyDescent="0.3">
      <c r="A1515" s="2" t="s">
        <v>86</v>
      </c>
      <c r="B1515" s="3">
        <v>44363.5</v>
      </c>
      <c r="C1515" s="1" t="str">
        <f t="shared" si="24"/>
        <v>21168</v>
      </c>
      <c r="D1515" t="s">
        <v>31</v>
      </c>
      <c r="E1515" s="2" t="s">
        <v>39</v>
      </c>
      <c r="F1515" s="2" t="str">
        <f>_xlfn.XLOOKUP(Table1_1[[#This Row],[CAS_rn]],[1]analyte_order!$C:$C,[1]analyte_order!$B:$B)</f>
        <v>11Cl-PF3OUdS</v>
      </c>
      <c r="G1515" t="s">
        <v>142</v>
      </c>
      <c r="H1515" s="2">
        <f>_xlfn.XLOOKUP(Table1_1[[#This Row],[CAS_rn]],[1]analyte_order!$C:$C,[1]analyte_order!$E:$E)</f>
        <v>37</v>
      </c>
      <c r="I1515">
        <v>0.2</v>
      </c>
    </row>
    <row r="1516" spans="1:9" x14ac:dyDescent="0.3">
      <c r="A1516" s="2" t="s">
        <v>86</v>
      </c>
      <c r="B1516" s="3">
        <v>44363.5</v>
      </c>
      <c r="C1516" s="1" t="str">
        <f t="shared" si="24"/>
        <v>21168</v>
      </c>
      <c r="D1516" t="s">
        <v>31</v>
      </c>
      <c r="E1516" s="2" t="s">
        <v>39</v>
      </c>
      <c r="F1516" s="2" t="str">
        <f>_xlfn.XLOOKUP(Table1_1[[#This Row],[CAS_rn]],[1]analyte_order!$C:$C,[1]analyte_order!$B:$B)</f>
        <v>PFEESA</v>
      </c>
      <c r="G1516" t="s">
        <v>143</v>
      </c>
      <c r="H1516" s="2">
        <f>_xlfn.XLOOKUP(Table1_1[[#This Row],[CAS_rn]],[1]analyte_order!$C:$C,[1]analyte_order!$E:$E)</f>
        <v>47</v>
      </c>
      <c r="I1516">
        <v>0.1</v>
      </c>
    </row>
    <row r="1517" spans="1:9" x14ac:dyDescent="0.3">
      <c r="A1517" s="2" t="s">
        <v>86</v>
      </c>
      <c r="B1517" s="3">
        <v>44363.5</v>
      </c>
      <c r="C1517" s="1" t="str">
        <f t="shared" si="24"/>
        <v>21168</v>
      </c>
      <c r="D1517" t="s">
        <v>31</v>
      </c>
      <c r="E1517" s="2" t="s">
        <v>39</v>
      </c>
      <c r="F1517" s="2" t="str">
        <f>_xlfn.XLOOKUP(Table1_1[[#This Row],[CAS_rn]],[1]analyte_order!$C:$C,[1]analyte_order!$B:$B)</f>
        <v>3:3 FTCA</v>
      </c>
      <c r="G1517" t="s">
        <v>144</v>
      </c>
      <c r="H1517" s="2">
        <f>_xlfn.XLOOKUP(Table1_1[[#This Row],[CAS_rn]],[1]analyte_order!$C:$C,[1]analyte_order!$E:$E)</f>
        <v>38</v>
      </c>
      <c r="I1517">
        <v>0.25</v>
      </c>
    </row>
    <row r="1518" spans="1:9" x14ac:dyDescent="0.3">
      <c r="A1518" s="2" t="s">
        <v>86</v>
      </c>
      <c r="B1518" s="3">
        <v>44363.5</v>
      </c>
      <c r="C1518" s="1" t="str">
        <f t="shared" si="24"/>
        <v>21168</v>
      </c>
      <c r="D1518" t="s">
        <v>31</v>
      </c>
      <c r="E1518" s="2" t="s">
        <v>39</v>
      </c>
      <c r="F1518" s="2" t="str">
        <f>_xlfn.XLOOKUP(Table1_1[[#This Row],[CAS_rn]],[1]analyte_order!$C:$C,[1]analyte_order!$B:$B)</f>
        <v>5:3 FTCA</v>
      </c>
      <c r="G1518" t="s">
        <v>145</v>
      </c>
      <c r="H1518" s="2">
        <f>_xlfn.XLOOKUP(Table1_1[[#This Row],[CAS_rn]],[1]analyte_order!$C:$C,[1]analyte_order!$E:$E)</f>
        <v>39</v>
      </c>
      <c r="I1518">
        <v>1.25</v>
      </c>
    </row>
    <row r="1519" spans="1:9" x14ac:dyDescent="0.3">
      <c r="A1519" s="2" t="s">
        <v>86</v>
      </c>
      <c r="B1519" s="3">
        <v>44363.5</v>
      </c>
      <c r="C1519" s="1" t="str">
        <f t="shared" si="24"/>
        <v>21168</v>
      </c>
      <c r="D1519" t="s">
        <v>31</v>
      </c>
      <c r="E1519" s="2" t="s">
        <v>39</v>
      </c>
      <c r="F1519" s="2" t="str">
        <f>_xlfn.XLOOKUP(Table1_1[[#This Row],[CAS_rn]],[1]analyte_order!$C:$C,[1]analyte_order!$B:$B)</f>
        <v>7:3 FTCA</v>
      </c>
      <c r="G1519" t="s">
        <v>146</v>
      </c>
      <c r="H1519" s="2">
        <f>_xlfn.XLOOKUP(Table1_1[[#This Row],[CAS_rn]],[1]analyte_order!$C:$C,[1]analyte_order!$E:$E)</f>
        <v>40</v>
      </c>
      <c r="I1519">
        <v>1.25</v>
      </c>
    </row>
    <row r="1520" spans="1:9" x14ac:dyDescent="0.3">
      <c r="A1520" s="2" t="s">
        <v>86</v>
      </c>
      <c r="B1520" s="3">
        <v>44363.5</v>
      </c>
      <c r="C1520" s="1" t="str">
        <f t="shared" si="24"/>
        <v>21168</v>
      </c>
      <c r="D1520" t="s">
        <v>31</v>
      </c>
      <c r="E1520" s="2" t="s">
        <v>39</v>
      </c>
      <c r="F1520" s="2" t="str">
        <f>_xlfn.XLOOKUP(Table1_1[[#This Row],[CAS_rn]],[1]analyte_order!$C:$C,[1]analyte_order!$B:$B)</f>
        <v>PFDS</v>
      </c>
      <c r="G1520" t="s">
        <v>147</v>
      </c>
      <c r="H1520" s="2">
        <f>_xlfn.XLOOKUP(Table1_1[[#This Row],[CAS_rn]],[1]analyte_order!$C:$C,[1]analyte_order!$E:$E)</f>
        <v>20</v>
      </c>
      <c r="I1520">
        <v>0.05</v>
      </c>
    </row>
    <row r="1521" spans="1:9" x14ac:dyDescent="0.3">
      <c r="A1521" s="2" t="s">
        <v>86</v>
      </c>
      <c r="B1521" s="3">
        <v>44363.5</v>
      </c>
      <c r="C1521" s="1" t="str">
        <f t="shared" si="24"/>
        <v>21168</v>
      </c>
      <c r="D1521" t="s">
        <v>31</v>
      </c>
      <c r="E1521" s="2" t="s">
        <v>39</v>
      </c>
      <c r="F1521" s="2" t="str">
        <f>_xlfn.XLOOKUP(Table1_1[[#This Row],[CAS_rn]],[1]analyte_order!$C:$C,[1]analyte_order!$B:$B)</f>
        <v>PFMPA</v>
      </c>
      <c r="G1521" t="s">
        <v>148</v>
      </c>
      <c r="H1521" s="2">
        <f>_xlfn.XLOOKUP(Table1_1[[#This Row],[CAS_rn]],[1]analyte_order!$C:$C,[1]analyte_order!$E:$E)</f>
        <v>49</v>
      </c>
      <c r="I1521">
        <v>0.1</v>
      </c>
    </row>
    <row r="1522" spans="1:9" x14ac:dyDescent="0.3">
      <c r="A1522" s="2" t="s">
        <v>87</v>
      </c>
      <c r="B1522" s="3">
        <v>44363.5</v>
      </c>
      <c r="C1522" s="1" t="str">
        <f t="shared" si="24"/>
        <v>21168</v>
      </c>
      <c r="D1522" t="s">
        <v>33</v>
      </c>
      <c r="E1522" s="2" t="s">
        <v>39</v>
      </c>
      <c r="F1522" s="2" t="str">
        <f>_xlfn.XLOOKUP(Table1_1[[#This Row],[CAS_rn]],[1]analyte_order!$C:$C,[1]analyte_order!$B:$B)</f>
        <v>PFBA</v>
      </c>
      <c r="G1522" t="s">
        <v>109</v>
      </c>
      <c r="H1522" s="2">
        <f>_xlfn.XLOOKUP(Table1_1[[#This Row],[CAS_rn]],[1]analyte_order!$C:$C,[1]analyte_order!$E:$E)</f>
        <v>1</v>
      </c>
      <c r="I1522">
        <v>0.2</v>
      </c>
    </row>
    <row r="1523" spans="1:9" x14ac:dyDescent="0.3">
      <c r="A1523" s="2" t="s">
        <v>87</v>
      </c>
      <c r="B1523" s="3">
        <v>44363.5</v>
      </c>
      <c r="C1523" s="1" t="str">
        <f t="shared" ref="C1523:C1561" si="25">TEXT(B1523,"yy")&amp;TEXT((B1523-DATEVALUE("1/1/"&amp;TEXT(B1523,"yy"))+1),"000")</f>
        <v>21168</v>
      </c>
      <c r="D1523" t="s">
        <v>33</v>
      </c>
      <c r="E1523" s="2" t="s">
        <v>39</v>
      </c>
      <c r="F1523" s="2" t="str">
        <f>_xlfn.XLOOKUP(Table1_1[[#This Row],[CAS_rn]],[1]analyte_order!$C:$C,[1]analyte_order!$B:$B)</f>
        <v>PFPeA</v>
      </c>
      <c r="G1523" t="s">
        <v>110</v>
      </c>
      <c r="H1523" s="2">
        <f>_xlfn.XLOOKUP(Table1_1[[#This Row],[CAS_rn]],[1]analyte_order!$C:$C,[1]analyte_order!$E:$E)</f>
        <v>2</v>
      </c>
      <c r="I1523">
        <v>0.1</v>
      </c>
    </row>
    <row r="1524" spans="1:9" x14ac:dyDescent="0.3">
      <c r="A1524" s="2" t="s">
        <v>87</v>
      </c>
      <c r="B1524" s="3">
        <v>44363.5</v>
      </c>
      <c r="C1524" s="1" t="str">
        <f t="shared" si="25"/>
        <v>21168</v>
      </c>
      <c r="D1524" t="s">
        <v>33</v>
      </c>
      <c r="E1524" s="2" t="s">
        <v>39</v>
      </c>
      <c r="F1524" s="2" t="str">
        <f>_xlfn.XLOOKUP(Table1_1[[#This Row],[CAS_rn]],[1]analyte_order!$C:$C,[1]analyte_order!$B:$B)</f>
        <v>PFHxA</v>
      </c>
      <c r="G1524" t="s">
        <v>111</v>
      </c>
      <c r="H1524" s="2">
        <f>_xlfn.XLOOKUP(Table1_1[[#This Row],[CAS_rn]],[1]analyte_order!$C:$C,[1]analyte_order!$E:$E)</f>
        <v>3</v>
      </c>
      <c r="I1524">
        <v>0.09</v>
      </c>
    </row>
    <row r="1525" spans="1:9" x14ac:dyDescent="0.3">
      <c r="A1525" s="2" t="s">
        <v>87</v>
      </c>
      <c r="B1525" s="3">
        <v>44363.5</v>
      </c>
      <c r="C1525" s="1" t="str">
        <f t="shared" si="25"/>
        <v>21168</v>
      </c>
      <c r="D1525" t="s">
        <v>33</v>
      </c>
      <c r="E1525" s="2" t="s">
        <v>39</v>
      </c>
      <c r="F1525" s="2" t="str">
        <f>_xlfn.XLOOKUP(Table1_1[[#This Row],[CAS_rn]],[1]analyte_order!$C:$C,[1]analyte_order!$B:$B)</f>
        <v>PFHpA</v>
      </c>
      <c r="G1525" t="s">
        <v>112</v>
      </c>
      <c r="H1525" s="2">
        <f>_xlfn.XLOOKUP(Table1_1[[#This Row],[CAS_rn]],[1]analyte_order!$C:$C,[1]analyte_order!$E:$E)</f>
        <v>4</v>
      </c>
      <c r="I1525">
        <v>0.09</v>
      </c>
    </row>
    <row r="1526" spans="1:9" x14ac:dyDescent="0.3">
      <c r="A1526" s="2" t="s">
        <v>87</v>
      </c>
      <c r="B1526" s="3">
        <v>44363.5</v>
      </c>
      <c r="C1526" s="1" t="str">
        <f t="shared" si="25"/>
        <v>21168</v>
      </c>
      <c r="D1526" t="s">
        <v>33</v>
      </c>
      <c r="E1526" s="2" t="s">
        <v>39</v>
      </c>
      <c r="F1526" s="2" t="str">
        <f>_xlfn.XLOOKUP(Table1_1[[#This Row],[CAS_rn]],[1]analyte_order!$C:$C,[1]analyte_order!$B:$B)</f>
        <v>PFOA</v>
      </c>
      <c r="G1526" t="s">
        <v>113</v>
      </c>
      <c r="H1526" s="2">
        <f>_xlfn.XLOOKUP(Table1_1[[#This Row],[CAS_rn]],[1]analyte_order!$C:$C,[1]analyte_order!$E:$E)</f>
        <v>5</v>
      </c>
      <c r="I1526">
        <v>8.6999999999999994E-2</v>
      </c>
    </row>
    <row r="1527" spans="1:9" x14ac:dyDescent="0.3">
      <c r="A1527" s="2" t="s">
        <v>87</v>
      </c>
      <c r="B1527" s="3">
        <v>44363.5</v>
      </c>
      <c r="C1527" s="1" t="str">
        <f t="shared" si="25"/>
        <v>21168</v>
      </c>
      <c r="D1527" t="s">
        <v>33</v>
      </c>
      <c r="E1527" s="2" t="s">
        <v>39</v>
      </c>
      <c r="F1527" s="2" t="str">
        <f>_xlfn.XLOOKUP(Table1_1[[#This Row],[CAS_rn]],[1]analyte_order!$C:$C,[1]analyte_order!$B:$B)</f>
        <v>PFNA</v>
      </c>
      <c r="G1527" t="s">
        <v>114</v>
      </c>
      <c r="H1527" s="2">
        <f>_xlfn.XLOOKUP(Table1_1[[#This Row],[CAS_rn]],[1]analyte_order!$C:$C,[1]analyte_order!$E:$E)</f>
        <v>6</v>
      </c>
      <c r="I1527">
        <v>0.05</v>
      </c>
    </row>
    <row r="1528" spans="1:9" x14ac:dyDescent="0.3">
      <c r="A1528" s="2" t="s">
        <v>87</v>
      </c>
      <c r="B1528" s="3">
        <v>44363.5</v>
      </c>
      <c r="C1528" s="1" t="str">
        <f t="shared" si="25"/>
        <v>21168</v>
      </c>
      <c r="D1528" t="s">
        <v>33</v>
      </c>
      <c r="E1528" s="2" t="s">
        <v>39</v>
      </c>
      <c r="F1528" s="2" t="str">
        <f>_xlfn.XLOOKUP(Table1_1[[#This Row],[CAS_rn]],[1]analyte_order!$C:$C,[1]analyte_order!$B:$B)</f>
        <v>PFDA</v>
      </c>
      <c r="G1528" t="s">
        <v>115</v>
      </c>
      <c r="H1528" s="2">
        <f>_xlfn.XLOOKUP(Table1_1[[#This Row],[CAS_rn]],[1]analyte_order!$C:$C,[1]analyte_order!$E:$E)</f>
        <v>7</v>
      </c>
      <c r="I1528">
        <v>0.05</v>
      </c>
    </row>
    <row r="1529" spans="1:9" x14ac:dyDescent="0.3">
      <c r="A1529" s="2" t="s">
        <v>87</v>
      </c>
      <c r="B1529" s="3">
        <v>44363.5</v>
      </c>
      <c r="C1529" s="1" t="str">
        <f t="shared" si="25"/>
        <v>21168</v>
      </c>
      <c r="D1529" t="s">
        <v>33</v>
      </c>
      <c r="E1529" s="2" t="s">
        <v>39</v>
      </c>
      <c r="F1529" s="2" t="str">
        <f>_xlfn.XLOOKUP(Table1_1[[#This Row],[CAS_rn]],[1]analyte_order!$C:$C,[1]analyte_order!$B:$B)</f>
        <v>PFUnA</v>
      </c>
      <c r="G1529" t="s">
        <v>116</v>
      </c>
      <c r="H1529" s="2">
        <f>_xlfn.XLOOKUP(Table1_1[[#This Row],[CAS_rn]],[1]analyte_order!$C:$C,[1]analyte_order!$E:$E)</f>
        <v>8</v>
      </c>
      <c r="I1529">
        <v>0.05</v>
      </c>
    </row>
    <row r="1530" spans="1:9" x14ac:dyDescent="0.3">
      <c r="A1530" s="2" t="s">
        <v>87</v>
      </c>
      <c r="B1530" s="3">
        <v>44363.5</v>
      </c>
      <c r="C1530" s="1" t="str">
        <f t="shared" si="25"/>
        <v>21168</v>
      </c>
      <c r="D1530" t="s">
        <v>33</v>
      </c>
      <c r="E1530" s="2" t="s">
        <v>39</v>
      </c>
      <c r="F1530" s="2" t="str">
        <f>_xlfn.XLOOKUP(Table1_1[[#This Row],[CAS_rn]],[1]analyte_order!$C:$C,[1]analyte_order!$B:$B)</f>
        <v>PFBS</v>
      </c>
      <c r="G1530" t="s">
        <v>120</v>
      </c>
      <c r="H1530" s="2">
        <f>_xlfn.XLOOKUP(Table1_1[[#This Row],[CAS_rn]],[1]analyte_order!$C:$C,[1]analyte_order!$E:$E)</f>
        <v>14</v>
      </c>
      <c r="I1530">
        <v>0.05</v>
      </c>
    </row>
    <row r="1531" spans="1:9" x14ac:dyDescent="0.3">
      <c r="A1531" s="2" t="s">
        <v>87</v>
      </c>
      <c r="B1531" s="3">
        <v>44363.5</v>
      </c>
      <c r="C1531" s="1" t="str">
        <f t="shared" si="25"/>
        <v>21168</v>
      </c>
      <c r="D1531" t="s">
        <v>33</v>
      </c>
      <c r="E1531" s="2" t="s">
        <v>39</v>
      </c>
      <c r="F1531" s="2" t="str">
        <f>_xlfn.XLOOKUP(Table1_1[[#This Row],[CAS_rn]],[1]analyte_order!$C:$C,[1]analyte_order!$B:$B)</f>
        <v>PFPeS</v>
      </c>
      <c r="G1531" t="s">
        <v>121</v>
      </c>
      <c r="H1531" s="2">
        <f>_xlfn.XLOOKUP(Table1_1[[#This Row],[CAS_rn]],[1]analyte_order!$C:$C,[1]analyte_order!$E:$E)</f>
        <v>15</v>
      </c>
      <c r="I1531">
        <v>0.05</v>
      </c>
    </row>
    <row r="1532" spans="1:9" x14ac:dyDescent="0.3">
      <c r="A1532" s="2" t="s">
        <v>87</v>
      </c>
      <c r="B1532" s="3">
        <v>44363.5</v>
      </c>
      <c r="C1532" s="1" t="str">
        <f t="shared" si="25"/>
        <v>21168</v>
      </c>
      <c r="D1532" t="s">
        <v>33</v>
      </c>
      <c r="E1532" s="2" t="s">
        <v>39</v>
      </c>
      <c r="F1532" s="2" t="str">
        <f>_xlfn.XLOOKUP(Table1_1[[#This Row],[CAS_rn]],[1]analyte_order!$C:$C,[1]analyte_order!$B:$B)</f>
        <v>PFHxS</v>
      </c>
      <c r="G1532" t="s">
        <v>122</v>
      </c>
      <c r="H1532" s="2">
        <f>_xlfn.XLOOKUP(Table1_1[[#This Row],[CAS_rn]],[1]analyte_order!$C:$C,[1]analyte_order!$E:$E)</f>
        <v>16</v>
      </c>
      <c r="I1532">
        <v>0.17</v>
      </c>
    </row>
    <row r="1533" spans="1:9" x14ac:dyDescent="0.3">
      <c r="A1533" s="2" t="s">
        <v>87</v>
      </c>
      <c r="B1533" s="3">
        <v>44363.5</v>
      </c>
      <c r="C1533" s="1" t="str">
        <f t="shared" si="25"/>
        <v>21168</v>
      </c>
      <c r="D1533" t="s">
        <v>33</v>
      </c>
      <c r="E1533" s="2" t="s">
        <v>39</v>
      </c>
      <c r="F1533" s="2" t="str">
        <f>_xlfn.XLOOKUP(Table1_1[[#This Row],[CAS_rn]],[1]analyte_order!$C:$C,[1]analyte_order!$B:$B)</f>
        <v>PFHpS</v>
      </c>
      <c r="G1533" t="s">
        <v>123</v>
      </c>
      <c r="H1533" s="2">
        <f>_xlfn.XLOOKUP(Table1_1[[#This Row],[CAS_rn]],[1]analyte_order!$C:$C,[1]analyte_order!$E:$E)</f>
        <v>17</v>
      </c>
      <c r="I1533">
        <v>0.05</v>
      </c>
    </row>
    <row r="1534" spans="1:9" x14ac:dyDescent="0.3">
      <c r="A1534" s="2" t="s">
        <v>87</v>
      </c>
      <c r="B1534" s="3">
        <v>44363.5</v>
      </c>
      <c r="C1534" s="1" t="str">
        <f t="shared" si="25"/>
        <v>21168</v>
      </c>
      <c r="D1534" t="s">
        <v>33</v>
      </c>
      <c r="E1534" s="2" t="s">
        <v>39</v>
      </c>
      <c r="F1534" s="2" t="str">
        <f>_xlfn.XLOOKUP(Table1_1[[#This Row],[CAS_rn]],[1]analyte_order!$C:$C,[1]analyte_order!$B:$B)</f>
        <v>PFOS</v>
      </c>
      <c r="G1534" t="s">
        <v>124</v>
      </c>
      <c r="H1534" s="2">
        <f>_xlfn.XLOOKUP(Table1_1[[#This Row],[CAS_rn]],[1]analyte_order!$C:$C,[1]analyte_order!$E:$E)</f>
        <v>18</v>
      </c>
      <c r="I1534">
        <v>0.66</v>
      </c>
    </row>
    <row r="1535" spans="1:9" x14ac:dyDescent="0.3">
      <c r="A1535" s="2" t="s">
        <v>87</v>
      </c>
      <c r="B1535" s="3">
        <v>44363.5</v>
      </c>
      <c r="C1535" s="1" t="str">
        <f t="shared" si="25"/>
        <v>21168</v>
      </c>
      <c r="D1535" t="s">
        <v>33</v>
      </c>
      <c r="E1535" s="2" t="s">
        <v>39</v>
      </c>
      <c r="F1535" s="2" t="str">
        <f>_xlfn.XLOOKUP(Table1_1[[#This Row],[CAS_rn]],[1]analyte_order!$C:$C,[1]analyte_order!$B:$B)</f>
        <v>PFNS</v>
      </c>
      <c r="G1535" t="s">
        <v>125</v>
      </c>
      <c r="H1535" s="2">
        <f>_xlfn.XLOOKUP(Table1_1[[#This Row],[CAS_rn]],[1]analyte_order!$C:$C,[1]analyte_order!$E:$E)</f>
        <v>19</v>
      </c>
      <c r="I1535">
        <v>0.05</v>
      </c>
    </row>
    <row r="1536" spans="1:9" x14ac:dyDescent="0.3">
      <c r="A1536" s="2" t="s">
        <v>87</v>
      </c>
      <c r="B1536" s="3">
        <v>44363.5</v>
      </c>
      <c r="C1536" s="1" t="str">
        <f t="shared" si="25"/>
        <v>21168</v>
      </c>
      <c r="D1536" t="s">
        <v>33</v>
      </c>
      <c r="E1536" s="2" t="s">
        <v>39</v>
      </c>
      <c r="F1536" s="2" t="str">
        <f>_xlfn.XLOOKUP(Table1_1[[#This Row],[CAS_rn]],[1]analyte_order!$C:$C,[1]analyte_order!$B:$B)</f>
        <v>PFDoS</v>
      </c>
      <c r="G1536" t="s">
        <v>126</v>
      </c>
      <c r="H1536" s="2">
        <f>_xlfn.XLOOKUP(Table1_1[[#This Row],[CAS_rn]],[1]analyte_order!$C:$C,[1]analyte_order!$E:$E)</f>
        <v>21</v>
      </c>
      <c r="I1536">
        <v>0.05</v>
      </c>
    </row>
    <row r="1537" spans="1:9" x14ac:dyDescent="0.3">
      <c r="A1537" s="2" t="s">
        <v>87</v>
      </c>
      <c r="B1537" s="3">
        <v>44363.5</v>
      </c>
      <c r="C1537" s="1" t="str">
        <f t="shared" si="25"/>
        <v>21168</v>
      </c>
      <c r="D1537" t="s">
        <v>33</v>
      </c>
      <c r="E1537" s="2" t="s">
        <v>39</v>
      </c>
      <c r="F1537" s="2" t="str">
        <f>_xlfn.XLOOKUP(Table1_1[[#This Row],[CAS_rn]],[1]analyte_order!$C:$C,[1]analyte_order!$B:$B)</f>
        <v>4:2 FTS</v>
      </c>
      <c r="G1537" t="s">
        <v>127</v>
      </c>
      <c r="H1537" s="2">
        <f>_xlfn.XLOOKUP(Table1_1[[#This Row],[CAS_rn]],[1]analyte_order!$C:$C,[1]analyte_order!$E:$E)</f>
        <v>22</v>
      </c>
      <c r="I1537">
        <v>0.2</v>
      </c>
    </row>
    <row r="1538" spans="1:9" x14ac:dyDescent="0.3">
      <c r="A1538" s="2" t="s">
        <v>87</v>
      </c>
      <c r="B1538" s="3">
        <v>44363.5</v>
      </c>
      <c r="C1538" s="1" t="str">
        <f t="shared" si="25"/>
        <v>21168</v>
      </c>
      <c r="D1538" t="s">
        <v>33</v>
      </c>
      <c r="E1538" s="2" t="s">
        <v>39</v>
      </c>
      <c r="F1538" s="2" t="str">
        <f>_xlfn.XLOOKUP(Table1_1[[#This Row],[CAS_rn]],[1]analyte_order!$C:$C,[1]analyte_order!$B:$B)</f>
        <v>6:2 FTS</v>
      </c>
      <c r="G1538" t="s">
        <v>128</v>
      </c>
      <c r="H1538" s="2">
        <f>_xlfn.XLOOKUP(Table1_1[[#This Row],[CAS_rn]],[1]analyte_order!$C:$C,[1]analyte_order!$E:$E)</f>
        <v>23</v>
      </c>
      <c r="I1538">
        <v>0.4</v>
      </c>
    </row>
    <row r="1539" spans="1:9" x14ac:dyDescent="0.3">
      <c r="A1539" s="2" t="s">
        <v>87</v>
      </c>
      <c r="B1539" s="3">
        <v>44363.5</v>
      </c>
      <c r="C1539" s="1" t="str">
        <f t="shared" si="25"/>
        <v>21168</v>
      </c>
      <c r="D1539" t="s">
        <v>33</v>
      </c>
      <c r="E1539" s="2" t="s">
        <v>39</v>
      </c>
      <c r="F1539" s="2" t="str">
        <f>_xlfn.XLOOKUP(Table1_1[[#This Row],[CAS_rn]],[1]analyte_order!$C:$C,[1]analyte_order!$B:$B)</f>
        <v>8:2 FTS</v>
      </c>
      <c r="G1539" t="s">
        <v>129</v>
      </c>
      <c r="H1539" s="2">
        <f>_xlfn.XLOOKUP(Table1_1[[#This Row],[CAS_rn]],[1]analyte_order!$C:$C,[1]analyte_order!$E:$E)</f>
        <v>24</v>
      </c>
      <c r="I1539">
        <v>0.4</v>
      </c>
    </row>
    <row r="1540" spans="1:9" x14ac:dyDescent="0.3">
      <c r="A1540" s="2" t="s">
        <v>87</v>
      </c>
      <c r="B1540" s="3">
        <v>44363.5</v>
      </c>
      <c r="C1540" s="1" t="str">
        <f t="shared" si="25"/>
        <v>21168</v>
      </c>
      <c r="D1540" t="s">
        <v>33</v>
      </c>
      <c r="E1540" s="2" t="s">
        <v>39</v>
      </c>
      <c r="F1540" s="2" t="str">
        <f>_xlfn.XLOOKUP(Table1_1[[#This Row],[CAS_rn]],[1]analyte_order!$C:$C,[1]analyte_order!$B:$B)</f>
        <v>FOSA</v>
      </c>
      <c r="G1540" t="s">
        <v>130</v>
      </c>
      <c r="H1540" s="2">
        <f>_xlfn.XLOOKUP(Table1_1[[#This Row],[CAS_rn]],[1]analyte_order!$C:$C,[1]analyte_order!$E:$E)</f>
        <v>28</v>
      </c>
      <c r="I1540">
        <v>0.09</v>
      </c>
    </row>
    <row r="1541" spans="1:9" x14ac:dyDescent="0.3">
      <c r="A1541" s="2" t="s">
        <v>87</v>
      </c>
      <c r="B1541" s="3">
        <v>44363.5</v>
      </c>
      <c r="C1541" s="1" t="str">
        <f t="shared" si="25"/>
        <v>21168</v>
      </c>
      <c r="D1541" t="s">
        <v>33</v>
      </c>
      <c r="E1541" s="2" t="s">
        <v>39</v>
      </c>
      <c r="F1541" s="2" t="str">
        <f>_xlfn.XLOOKUP(Table1_1[[#This Row],[CAS_rn]],[1]analyte_order!$C:$C,[1]analyte_order!$B:$B)</f>
        <v>N-MeFOSA</v>
      </c>
      <c r="G1541" t="s">
        <v>131</v>
      </c>
      <c r="H1541" s="2">
        <f>_xlfn.XLOOKUP(Table1_1[[#This Row],[CAS_rn]],[1]analyte_order!$C:$C,[1]analyte_order!$E:$E)</f>
        <v>30</v>
      </c>
      <c r="I1541">
        <v>0.05</v>
      </c>
    </row>
    <row r="1542" spans="1:9" x14ac:dyDescent="0.3">
      <c r="A1542" s="2" t="s">
        <v>87</v>
      </c>
      <c r="B1542" s="3">
        <v>44363.5</v>
      </c>
      <c r="C1542" s="1" t="str">
        <f t="shared" si="25"/>
        <v>21168</v>
      </c>
      <c r="D1542" t="s">
        <v>33</v>
      </c>
      <c r="E1542" s="2" t="s">
        <v>39</v>
      </c>
      <c r="F1542" s="2" t="str">
        <f>_xlfn.XLOOKUP(Table1_1[[#This Row],[CAS_rn]],[1]analyte_order!$C:$C,[1]analyte_order!$B:$B)</f>
        <v>N-MeFOSAA</v>
      </c>
      <c r="G1542" t="s">
        <v>132</v>
      </c>
      <c r="H1542" s="2">
        <f>_xlfn.XLOOKUP(Table1_1[[#This Row],[CAS_rn]],[1]analyte_order!$C:$C,[1]analyte_order!$E:$E)</f>
        <v>26</v>
      </c>
      <c r="I1542">
        <v>0.05</v>
      </c>
    </row>
    <row r="1543" spans="1:9" x14ac:dyDescent="0.3">
      <c r="A1543" s="2" t="s">
        <v>87</v>
      </c>
      <c r="B1543" s="3">
        <v>44363.5</v>
      </c>
      <c r="C1543" s="1" t="str">
        <f t="shared" si="25"/>
        <v>21168</v>
      </c>
      <c r="D1543" t="s">
        <v>33</v>
      </c>
      <c r="E1543" s="2" t="s">
        <v>39</v>
      </c>
      <c r="F1543" s="2" t="str">
        <f>_xlfn.XLOOKUP(Table1_1[[#This Row],[CAS_rn]],[1]analyte_order!$C:$C,[1]analyte_order!$B:$B)</f>
        <v>N-EtFOSA</v>
      </c>
      <c r="G1543" t="s">
        <v>133</v>
      </c>
      <c r="H1543" s="2">
        <f>_xlfn.XLOOKUP(Table1_1[[#This Row],[CAS_rn]],[1]analyte_order!$C:$C,[1]analyte_order!$E:$E)</f>
        <v>31</v>
      </c>
      <c r="I1543">
        <v>0.05</v>
      </c>
    </row>
    <row r="1544" spans="1:9" x14ac:dyDescent="0.3">
      <c r="A1544" s="2" t="s">
        <v>87</v>
      </c>
      <c r="B1544" s="3">
        <v>44363.5</v>
      </c>
      <c r="C1544" s="1" t="str">
        <f t="shared" si="25"/>
        <v>21168</v>
      </c>
      <c r="D1544" t="s">
        <v>33</v>
      </c>
      <c r="E1544" s="2" t="s">
        <v>39</v>
      </c>
      <c r="F1544" s="2" t="str">
        <f>_xlfn.XLOOKUP(Table1_1[[#This Row],[CAS_rn]],[1]analyte_order!$C:$C,[1]analyte_order!$B:$B)</f>
        <v>N-EtFOSAA</v>
      </c>
      <c r="G1544" t="s">
        <v>134</v>
      </c>
      <c r="H1544" s="2">
        <f>_xlfn.XLOOKUP(Table1_1[[#This Row],[CAS_rn]],[1]analyte_order!$C:$C,[1]analyte_order!$E:$E)</f>
        <v>27</v>
      </c>
      <c r="I1544">
        <v>0.05</v>
      </c>
    </row>
    <row r="1545" spans="1:9" x14ac:dyDescent="0.3">
      <c r="A1545" s="2" t="s">
        <v>87</v>
      </c>
      <c r="B1545" s="3">
        <v>44363.5</v>
      </c>
      <c r="C1545" s="1" t="str">
        <f t="shared" si="25"/>
        <v>21168</v>
      </c>
      <c r="D1545" t="s">
        <v>33</v>
      </c>
      <c r="E1545" s="2" t="s">
        <v>39</v>
      </c>
      <c r="F1545" s="2" t="str">
        <f>_xlfn.XLOOKUP(Table1_1[[#This Row],[CAS_rn]],[1]analyte_order!$C:$C,[1]analyte_order!$B:$B)</f>
        <v>N-MeFOSE</v>
      </c>
      <c r="G1545" t="s">
        <v>135</v>
      </c>
      <c r="H1545" s="2">
        <f>_xlfn.XLOOKUP(Table1_1[[#This Row],[CAS_rn]],[1]analyte_order!$C:$C,[1]analyte_order!$E:$E)</f>
        <v>32</v>
      </c>
      <c r="I1545">
        <v>0.5</v>
      </c>
    </row>
    <row r="1546" spans="1:9" x14ac:dyDescent="0.3">
      <c r="A1546" s="2" t="s">
        <v>87</v>
      </c>
      <c r="B1546" s="3">
        <v>44363.5</v>
      </c>
      <c r="C1546" s="1" t="str">
        <f t="shared" si="25"/>
        <v>21168</v>
      </c>
      <c r="D1546" t="s">
        <v>33</v>
      </c>
      <c r="E1546" s="2" t="s">
        <v>39</v>
      </c>
      <c r="F1546" s="2" t="str">
        <f>_xlfn.XLOOKUP(Table1_1[[#This Row],[CAS_rn]],[1]analyte_order!$C:$C,[1]analyte_order!$B:$B)</f>
        <v>N-EtFOSE</v>
      </c>
      <c r="G1546" t="s">
        <v>136</v>
      </c>
      <c r="H1546" s="2">
        <f>_xlfn.XLOOKUP(Table1_1[[#This Row],[CAS_rn]],[1]analyte_order!$C:$C,[1]analyte_order!$E:$E)</f>
        <v>33</v>
      </c>
      <c r="I1546">
        <v>0.5</v>
      </c>
    </row>
    <row r="1547" spans="1:9" x14ac:dyDescent="0.3">
      <c r="A1547" s="2" t="s">
        <v>87</v>
      </c>
      <c r="B1547" s="3">
        <v>44363.5</v>
      </c>
      <c r="C1547" s="1" t="str">
        <f t="shared" si="25"/>
        <v>21168</v>
      </c>
      <c r="D1547" t="s">
        <v>33</v>
      </c>
      <c r="E1547" s="2" t="s">
        <v>39</v>
      </c>
      <c r="F1547" s="2" t="str">
        <f>_xlfn.XLOOKUP(Table1_1[[#This Row],[CAS_rn]],[1]analyte_order!$C:$C,[1]analyte_order!$B:$B)</f>
        <v>HFPO-DA</v>
      </c>
      <c r="G1547" t="s">
        <v>137</v>
      </c>
      <c r="H1547" s="2">
        <f>_xlfn.XLOOKUP(Table1_1[[#This Row],[CAS_rn]],[1]analyte_order!$C:$C,[1]analyte_order!$E:$E)</f>
        <v>34</v>
      </c>
      <c r="I1547">
        <v>0.3</v>
      </c>
    </row>
    <row r="1548" spans="1:9" x14ac:dyDescent="0.3">
      <c r="A1548" s="2" t="s">
        <v>87</v>
      </c>
      <c r="B1548" s="3">
        <v>44363.5</v>
      </c>
      <c r="C1548" s="1" t="str">
        <f t="shared" si="25"/>
        <v>21168</v>
      </c>
      <c r="D1548" t="s">
        <v>33</v>
      </c>
      <c r="E1548" s="2" t="s">
        <v>39</v>
      </c>
      <c r="F1548" s="2" t="str">
        <f>_xlfn.XLOOKUP(Table1_1[[#This Row],[CAS_rn]],[1]analyte_order!$C:$C,[1]analyte_order!$B:$B)</f>
        <v>ADONA</v>
      </c>
      <c r="G1548" t="s">
        <v>138</v>
      </c>
      <c r="H1548" s="2">
        <f>_xlfn.XLOOKUP(Table1_1[[#This Row],[CAS_rn]],[1]analyte_order!$C:$C,[1]analyte_order!$E:$E)</f>
        <v>35</v>
      </c>
      <c r="I1548">
        <v>0.2</v>
      </c>
    </row>
    <row r="1549" spans="1:9" x14ac:dyDescent="0.3">
      <c r="A1549" s="2" t="s">
        <v>87</v>
      </c>
      <c r="B1549" s="3">
        <v>44363.5</v>
      </c>
      <c r="C1549" s="1" t="str">
        <f t="shared" si="25"/>
        <v>21168</v>
      </c>
      <c r="D1549" t="s">
        <v>33</v>
      </c>
      <c r="E1549" s="2" t="s">
        <v>39</v>
      </c>
      <c r="F1549" s="2" t="str">
        <f>_xlfn.XLOOKUP(Table1_1[[#This Row],[CAS_rn]],[1]analyte_order!$C:$C,[1]analyte_order!$B:$B)</f>
        <v>PFMBA</v>
      </c>
      <c r="G1549" t="s">
        <v>139</v>
      </c>
      <c r="H1549" s="2">
        <f>_xlfn.XLOOKUP(Table1_1[[#This Row],[CAS_rn]],[1]analyte_order!$C:$C,[1]analyte_order!$E:$E)</f>
        <v>48</v>
      </c>
      <c r="I1549">
        <v>0.1</v>
      </c>
    </row>
    <row r="1550" spans="1:9" x14ac:dyDescent="0.3">
      <c r="A1550" s="2" t="s">
        <v>87</v>
      </c>
      <c r="B1550" s="3">
        <v>44363.5</v>
      </c>
      <c r="C1550" s="1" t="str">
        <f t="shared" si="25"/>
        <v>21168</v>
      </c>
      <c r="D1550" t="s">
        <v>33</v>
      </c>
      <c r="E1550" s="2" t="s">
        <v>39</v>
      </c>
      <c r="F1550" s="2" t="str">
        <f>_xlfn.XLOOKUP(Table1_1[[#This Row],[CAS_rn]],[1]analyte_order!$C:$C,[1]analyte_order!$B:$B)</f>
        <v>NFDHA</v>
      </c>
      <c r="G1550" t="s">
        <v>140</v>
      </c>
      <c r="H1550" s="2">
        <f>_xlfn.XLOOKUP(Table1_1[[#This Row],[CAS_rn]],[1]analyte_order!$C:$C,[1]analyte_order!$E:$E)</f>
        <v>50</v>
      </c>
      <c r="I1550">
        <v>0.1</v>
      </c>
    </row>
    <row r="1551" spans="1:9" x14ac:dyDescent="0.3">
      <c r="A1551" s="2" t="s">
        <v>87</v>
      </c>
      <c r="B1551" s="3">
        <v>44363.5</v>
      </c>
      <c r="C1551" s="1" t="str">
        <f t="shared" si="25"/>
        <v>21168</v>
      </c>
      <c r="D1551" t="s">
        <v>33</v>
      </c>
      <c r="E1551" s="2" t="s">
        <v>39</v>
      </c>
      <c r="F1551" s="2" t="str">
        <f>_xlfn.XLOOKUP(Table1_1[[#This Row],[CAS_rn]],[1]analyte_order!$C:$C,[1]analyte_order!$B:$B)</f>
        <v>9Cl-PF3ONS</v>
      </c>
      <c r="G1551" t="s">
        <v>141</v>
      </c>
      <c r="H1551" s="2">
        <f>_xlfn.XLOOKUP(Table1_1[[#This Row],[CAS_rn]],[1]analyte_order!$C:$C,[1]analyte_order!$E:$E)</f>
        <v>36</v>
      </c>
      <c r="I1551">
        <v>0.2</v>
      </c>
    </row>
    <row r="1552" spans="1:9" x14ac:dyDescent="0.3">
      <c r="A1552" s="2" t="s">
        <v>87</v>
      </c>
      <c r="B1552" s="3">
        <v>44363.5</v>
      </c>
      <c r="C1552" s="1" t="str">
        <f t="shared" si="25"/>
        <v>21168</v>
      </c>
      <c r="D1552" t="s">
        <v>33</v>
      </c>
      <c r="E1552" s="2" t="s">
        <v>39</v>
      </c>
      <c r="F1552" s="2" t="str">
        <f>_xlfn.XLOOKUP(Table1_1[[#This Row],[CAS_rn]],[1]analyte_order!$C:$C,[1]analyte_order!$B:$B)</f>
        <v>11Cl-PF3OUdS</v>
      </c>
      <c r="G1552" t="s">
        <v>142</v>
      </c>
      <c r="H1552" s="2">
        <f>_xlfn.XLOOKUP(Table1_1[[#This Row],[CAS_rn]],[1]analyte_order!$C:$C,[1]analyte_order!$E:$E)</f>
        <v>37</v>
      </c>
      <c r="I1552">
        <v>0.2</v>
      </c>
    </row>
    <row r="1553" spans="1:9" x14ac:dyDescent="0.3">
      <c r="A1553" s="2" t="s">
        <v>87</v>
      </c>
      <c r="B1553" s="3">
        <v>44363.5</v>
      </c>
      <c r="C1553" s="1" t="str">
        <f t="shared" si="25"/>
        <v>21168</v>
      </c>
      <c r="D1553" t="s">
        <v>33</v>
      </c>
      <c r="E1553" s="2" t="s">
        <v>39</v>
      </c>
      <c r="F1553" s="2" t="str">
        <f>_xlfn.XLOOKUP(Table1_1[[#This Row],[CAS_rn]],[1]analyte_order!$C:$C,[1]analyte_order!$B:$B)</f>
        <v>PFEESA</v>
      </c>
      <c r="G1553" t="s">
        <v>143</v>
      </c>
      <c r="H1553" s="2">
        <f>_xlfn.XLOOKUP(Table1_1[[#This Row],[CAS_rn]],[1]analyte_order!$C:$C,[1]analyte_order!$E:$E)</f>
        <v>47</v>
      </c>
      <c r="I1553">
        <v>0.1</v>
      </c>
    </row>
    <row r="1554" spans="1:9" x14ac:dyDescent="0.3">
      <c r="A1554" s="2" t="s">
        <v>87</v>
      </c>
      <c r="B1554" s="3">
        <v>44363.5</v>
      </c>
      <c r="C1554" s="1" t="str">
        <f t="shared" si="25"/>
        <v>21168</v>
      </c>
      <c r="D1554" t="s">
        <v>33</v>
      </c>
      <c r="E1554" s="2" t="s">
        <v>39</v>
      </c>
      <c r="F1554" s="2" t="str">
        <f>_xlfn.XLOOKUP(Table1_1[[#This Row],[CAS_rn]],[1]analyte_order!$C:$C,[1]analyte_order!$B:$B)</f>
        <v>3:3 FTCA</v>
      </c>
      <c r="G1554" t="s">
        <v>144</v>
      </c>
      <c r="H1554" s="2">
        <f>_xlfn.XLOOKUP(Table1_1[[#This Row],[CAS_rn]],[1]analyte_order!$C:$C,[1]analyte_order!$E:$E)</f>
        <v>38</v>
      </c>
      <c r="I1554">
        <v>0.25</v>
      </c>
    </row>
    <row r="1555" spans="1:9" x14ac:dyDescent="0.3">
      <c r="A1555" s="2" t="s">
        <v>87</v>
      </c>
      <c r="B1555" s="3">
        <v>44363.5</v>
      </c>
      <c r="C1555" s="1" t="str">
        <f t="shared" si="25"/>
        <v>21168</v>
      </c>
      <c r="D1555" t="s">
        <v>33</v>
      </c>
      <c r="E1555" s="2" t="s">
        <v>39</v>
      </c>
      <c r="F1555" s="2" t="str">
        <f>_xlfn.XLOOKUP(Table1_1[[#This Row],[CAS_rn]],[1]analyte_order!$C:$C,[1]analyte_order!$B:$B)</f>
        <v>5:3 FTCA</v>
      </c>
      <c r="G1555" t="s">
        <v>145</v>
      </c>
      <c r="H1555" s="2">
        <f>_xlfn.XLOOKUP(Table1_1[[#This Row],[CAS_rn]],[1]analyte_order!$C:$C,[1]analyte_order!$E:$E)</f>
        <v>39</v>
      </c>
      <c r="I1555">
        <v>1.25</v>
      </c>
    </row>
    <row r="1556" spans="1:9" x14ac:dyDescent="0.3">
      <c r="A1556" s="2" t="s">
        <v>87</v>
      </c>
      <c r="B1556" s="3">
        <v>44363.5</v>
      </c>
      <c r="C1556" s="1" t="str">
        <f t="shared" si="25"/>
        <v>21168</v>
      </c>
      <c r="D1556" t="s">
        <v>33</v>
      </c>
      <c r="E1556" s="2" t="s">
        <v>39</v>
      </c>
      <c r="F1556" s="2" t="str">
        <f>_xlfn.XLOOKUP(Table1_1[[#This Row],[CAS_rn]],[1]analyte_order!$C:$C,[1]analyte_order!$B:$B)</f>
        <v>7:3 FTCA</v>
      </c>
      <c r="G1556" t="s">
        <v>146</v>
      </c>
      <c r="H1556" s="2">
        <f>_xlfn.XLOOKUP(Table1_1[[#This Row],[CAS_rn]],[1]analyte_order!$C:$C,[1]analyte_order!$E:$E)</f>
        <v>40</v>
      </c>
      <c r="I1556">
        <v>1.25</v>
      </c>
    </row>
    <row r="1557" spans="1:9" x14ac:dyDescent="0.3">
      <c r="A1557" s="2" t="s">
        <v>87</v>
      </c>
      <c r="B1557" s="3">
        <v>44363.5</v>
      </c>
      <c r="C1557" s="1" t="str">
        <f t="shared" si="25"/>
        <v>21168</v>
      </c>
      <c r="D1557" t="s">
        <v>33</v>
      </c>
      <c r="E1557" s="2" t="s">
        <v>39</v>
      </c>
      <c r="F1557" s="2" t="str">
        <f>_xlfn.XLOOKUP(Table1_1[[#This Row],[CAS_rn]],[1]analyte_order!$C:$C,[1]analyte_order!$B:$B)</f>
        <v>PFDS</v>
      </c>
      <c r="G1557" t="s">
        <v>147</v>
      </c>
      <c r="H1557" s="2">
        <f>_xlfn.XLOOKUP(Table1_1[[#This Row],[CAS_rn]],[1]analyte_order!$C:$C,[1]analyte_order!$E:$E)</f>
        <v>20</v>
      </c>
      <c r="I1557">
        <v>0.05</v>
      </c>
    </row>
    <row r="1558" spans="1:9" x14ac:dyDescent="0.3">
      <c r="A1558" s="2" t="s">
        <v>87</v>
      </c>
      <c r="B1558" s="3">
        <v>44363.5</v>
      </c>
      <c r="C1558" s="1" t="str">
        <f t="shared" si="25"/>
        <v>21168</v>
      </c>
      <c r="D1558" t="s">
        <v>33</v>
      </c>
      <c r="E1558" s="2" t="s">
        <v>39</v>
      </c>
      <c r="F1558" s="2" t="str">
        <f>_xlfn.XLOOKUP(Table1_1[[#This Row],[CAS_rn]],[1]analyte_order!$C:$C,[1]analyte_order!$B:$B)</f>
        <v>PFMPA</v>
      </c>
      <c r="G1558" t="s">
        <v>148</v>
      </c>
      <c r="H1558" s="2">
        <f>_xlfn.XLOOKUP(Table1_1[[#This Row],[CAS_rn]],[1]analyte_order!$C:$C,[1]analyte_order!$E:$E)</f>
        <v>49</v>
      </c>
      <c r="I1558">
        <v>0.1</v>
      </c>
    </row>
    <row r="1559" spans="1:9" x14ac:dyDescent="0.3">
      <c r="A1559" s="2" t="s">
        <v>87</v>
      </c>
      <c r="B1559" s="3">
        <v>44363.5</v>
      </c>
      <c r="C1559" s="1" t="str">
        <f t="shared" si="25"/>
        <v>21168</v>
      </c>
      <c r="D1559" t="s">
        <v>33</v>
      </c>
      <c r="E1559" s="2" t="s">
        <v>39</v>
      </c>
      <c r="F1559" s="2" t="str">
        <f>_xlfn.XLOOKUP(Table1_1[[#This Row],[CAS_rn]],[1]analyte_order!$C:$C,[1]analyte_order!$B:$B)</f>
        <v>PFDoA</v>
      </c>
      <c r="G1559" t="s">
        <v>117</v>
      </c>
      <c r="H1559" s="2">
        <f>_xlfn.XLOOKUP(Table1_1[[#This Row],[CAS_rn]],[1]analyte_order!$C:$C,[1]analyte_order!$E:$E)</f>
        <v>9</v>
      </c>
      <c r="I1559">
        <v>0.24</v>
      </c>
    </row>
    <row r="1560" spans="1:9" x14ac:dyDescent="0.3">
      <c r="A1560" s="2" t="s">
        <v>87</v>
      </c>
      <c r="B1560" s="3">
        <v>44363.5</v>
      </c>
      <c r="C1560" s="1" t="str">
        <f t="shared" si="25"/>
        <v>21168</v>
      </c>
      <c r="D1560" t="s">
        <v>33</v>
      </c>
      <c r="E1560" s="2" t="s">
        <v>39</v>
      </c>
      <c r="F1560" s="2" t="str">
        <f>_xlfn.XLOOKUP(Table1_1[[#This Row],[CAS_rn]],[1]analyte_order!$C:$C,[1]analyte_order!$B:$B)</f>
        <v>PFTrDA</v>
      </c>
      <c r="G1560" t="s">
        <v>118</v>
      </c>
      <c r="H1560" s="2">
        <f>_xlfn.XLOOKUP(Table1_1[[#This Row],[CAS_rn]],[1]analyte_order!$C:$C,[1]analyte_order!$E:$E)</f>
        <v>10</v>
      </c>
      <c r="I1560">
        <v>0.24</v>
      </c>
    </row>
    <row r="1561" spans="1:9" x14ac:dyDescent="0.3">
      <c r="A1561" s="2" t="s">
        <v>87</v>
      </c>
      <c r="B1561" s="3">
        <v>44363.5</v>
      </c>
      <c r="C1561" s="1" t="str">
        <f t="shared" si="25"/>
        <v>21168</v>
      </c>
      <c r="D1561" t="s">
        <v>33</v>
      </c>
      <c r="E1561" s="2" t="s">
        <v>39</v>
      </c>
      <c r="F1561" s="2" t="str">
        <f>_xlfn.XLOOKUP(Table1_1[[#This Row],[CAS_rn]],[1]analyte_order!$C:$C,[1]analyte_order!$B:$B)</f>
        <v>PFTeDA</v>
      </c>
      <c r="G1561" t="s">
        <v>119</v>
      </c>
      <c r="H1561" s="2">
        <f>_xlfn.XLOOKUP(Table1_1[[#This Row],[CAS_rn]],[1]analyte_order!$C:$C,[1]analyte_order!$E:$E)</f>
        <v>11</v>
      </c>
      <c r="I1561">
        <v>0.24</v>
      </c>
    </row>
    <row r="1562" spans="1:9" x14ac:dyDescent="0.3">
      <c r="A1562" s="2" t="s">
        <v>88</v>
      </c>
      <c r="B1562" s="3">
        <v>44363.5</v>
      </c>
      <c r="C1562" s="1" t="str">
        <f t="shared" ref="C1562:C1610" si="26">TEXT(B1562,"yy")&amp;TEXT((B1562-DATEVALUE("1/1/"&amp;TEXT(B1562,"yy"))+1),"000")</f>
        <v>21168</v>
      </c>
      <c r="D1562" t="s">
        <v>29</v>
      </c>
      <c r="E1562" s="2" t="s">
        <v>39</v>
      </c>
      <c r="F1562" s="2" t="str">
        <f>_xlfn.XLOOKUP(Table1_1[[#This Row],[CAS_rn]],[1]analyte_order!$C:$C,[1]analyte_order!$B:$B)</f>
        <v>PFBA</v>
      </c>
      <c r="G1562" t="s">
        <v>109</v>
      </c>
      <c r="H1562" s="2">
        <f>_xlfn.XLOOKUP(Table1_1[[#This Row],[CAS_rn]],[1]analyte_order!$C:$C,[1]analyte_order!$E:$E)</f>
        <v>1</v>
      </c>
      <c r="I1562">
        <v>0.2</v>
      </c>
    </row>
    <row r="1563" spans="1:9" x14ac:dyDescent="0.3">
      <c r="A1563" s="2" t="s">
        <v>88</v>
      </c>
      <c r="B1563" s="3">
        <v>44363.5</v>
      </c>
      <c r="C1563" s="1" t="str">
        <f t="shared" si="26"/>
        <v>21168</v>
      </c>
      <c r="D1563" t="s">
        <v>29</v>
      </c>
      <c r="E1563" s="2" t="s">
        <v>39</v>
      </c>
      <c r="F1563" s="2" t="str">
        <f>_xlfn.XLOOKUP(Table1_1[[#This Row],[CAS_rn]],[1]analyte_order!$C:$C,[1]analyte_order!$B:$B)</f>
        <v>PFPeA</v>
      </c>
      <c r="G1563" t="s">
        <v>110</v>
      </c>
      <c r="H1563" s="2">
        <f>_xlfn.XLOOKUP(Table1_1[[#This Row],[CAS_rn]],[1]analyte_order!$C:$C,[1]analyte_order!$E:$E)</f>
        <v>2</v>
      </c>
      <c r="I1563">
        <v>0.1</v>
      </c>
    </row>
    <row r="1564" spans="1:9" x14ac:dyDescent="0.3">
      <c r="A1564" s="2" t="s">
        <v>88</v>
      </c>
      <c r="B1564" s="3">
        <v>44363.5</v>
      </c>
      <c r="C1564" s="1" t="str">
        <f t="shared" si="26"/>
        <v>21168</v>
      </c>
      <c r="D1564" t="s">
        <v>29</v>
      </c>
      <c r="E1564" s="2" t="s">
        <v>39</v>
      </c>
      <c r="F1564" s="2" t="str">
        <f>_xlfn.XLOOKUP(Table1_1[[#This Row],[CAS_rn]],[1]analyte_order!$C:$C,[1]analyte_order!$B:$B)</f>
        <v>PFHxA</v>
      </c>
      <c r="G1564" t="s">
        <v>111</v>
      </c>
      <c r="H1564" s="2">
        <f>_xlfn.XLOOKUP(Table1_1[[#This Row],[CAS_rn]],[1]analyte_order!$C:$C,[1]analyte_order!$E:$E)</f>
        <v>3</v>
      </c>
      <c r="I1564">
        <v>0.09</v>
      </c>
    </row>
    <row r="1565" spans="1:9" x14ac:dyDescent="0.3">
      <c r="A1565" s="2" t="s">
        <v>88</v>
      </c>
      <c r="B1565" s="3">
        <v>44363.5</v>
      </c>
      <c r="C1565" s="1" t="str">
        <f t="shared" si="26"/>
        <v>21168</v>
      </c>
      <c r="D1565" t="s">
        <v>29</v>
      </c>
      <c r="E1565" s="2" t="s">
        <v>39</v>
      </c>
      <c r="F1565" s="2" t="str">
        <f>_xlfn.XLOOKUP(Table1_1[[#This Row],[CAS_rn]],[1]analyte_order!$C:$C,[1]analyte_order!$B:$B)</f>
        <v>PFHpA</v>
      </c>
      <c r="G1565" t="s">
        <v>112</v>
      </c>
      <c r="H1565" s="2">
        <f>_xlfn.XLOOKUP(Table1_1[[#This Row],[CAS_rn]],[1]analyte_order!$C:$C,[1]analyte_order!$E:$E)</f>
        <v>4</v>
      </c>
      <c r="I1565">
        <v>0.09</v>
      </c>
    </row>
    <row r="1566" spans="1:9" x14ac:dyDescent="0.3">
      <c r="A1566" s="2" t="s">
        <v>88</v>
      </c>
      <c r="B1566" s="3">
        <v>44363.5</v>
      </c>
      <c r="C1566" s="1" t="str">
        <f t="shared" si="26"/>
        <v>21168</v>
      </c>
      <c r="D1566" t="s">
        <v>29</v>
      </c>
      <c r="E1566" s="2" t="s">
        <v>39</v>
      </c>
      <c r="F1566" s="2" t="str">
        <f>_xlfn.XLOOKUP(Table1_1[[#This Row],[CAS_rn]],[1]analyte_order!$C:$C,[1]analyte_order!$B:$B)</f>
        <v>PFOA</v>
      </c>
      <c r="G1566" t="s">
        <v>113</v>
      </c>
      <c r="H1566" s="2">
        <f>_xlfn.XLOOKUP(Table1_1[[#This Row],[CAS_rn]],[1]analyte_order!$C:$C,[1]analyte_order!$E:$E)</f>
        <v>5</v>
      </c>
      <c r="I1566">
        <v>9.1999999999999998E-2</v>
      </c>
    </row>
    <row r="1567" spans="1:9" x14ac:dyDescent="0.3">
      <c r="A1567" s="2" t="s">
        <v>88</v>
      </c>
      <c r="B1567" s="3">
        <v>44363.5</v>
      </c>
      <c r="C1567" s="1" t="str">
        <f t="shared" si="26"/>
        <v>21168</v>
      </c>
      <c r="D1567" t="s">
        <v>29</v>
      </c>
      <c r="E1567" s="2" t="s">
        <v>39</v>
      </c>
      <c r="F1567" s="2" t="str">
        <f>_xlfn.XLOOKUP(Table1_1[[#This Row],[CAS_rn]],[1]analyte_order!$C:$C,[1]analyte_order!$B:$B)</f>
        <v>PFNA</v>
      </c>
      <c r="G1567" t="s">
        <v>114</v>
      </c>
      <c r="H1567" s="2">
        <f>_xlfn.XLOOKUP(Table1_1[[#This Row],[CAS_rn]],[1]analyte_order!$C:$C,[1]analyte_order!$E:$E)</f>
        <v>6</v>
      </c>
      <c r="I1567">
        <v>0.05</v>
      </c>
    </row>
    <row r="1568" spans="1:9" x14ac:dyDescent="0.3">
      <c r="A1568" s="2" t="s">
        <v>88</v>
      </c>
      <c r="B1568" s="3">
        <v>44363.5</v>
      </c>
      <c r="C1568" s="1" t="str">
        <f t="shared" si="26"/>
        <v>21168</v>
      </c>
      <c r="D1568" t="s">
        <v>29</v>
      </c>
      <c r="E1568" s="2" t="s">
        <v>39</v>
      </c>
      <c r="F1568" s="2" t="str">
        <f>_xlfn.XLOOKUP(Table1_1[[#This Row],[CAS_rn]],[1]analyte_order!$C:$C,[1]analyte_order!$B:$B)</f>
        <v>PFDA</v>
      </c>
      <c r="G1568" t="s">
        <v>115</v>
      </c>
      <c r="H1568" s="2">
        <f>_xlfn.XLOOKUP(Table1_1[[#This Row],[CAS_rn]],[1]analyte_order!$C:$C,[1]analyte_order!$E:$E)</f>
        <v>7</v>
      </c>
      <c r="I1568">
        <v>0.05</v>
      </c>
    </row>
    <row r="1569" spans="1:9" x14ac:dyDescent="0.3">
      <c r="A1569" s="2" t="s">
        <v>88</v>
      </c>
      <c r="B1569" s="3">
        <v>44363.5</v>
      </c>
      <c r="C1569" s="1" t="str">
        <f t="shared" si="26"/>
        <v>21168</v>
      </c>
      <c r="D1569" t="s">
        <v>29</v>
      </c>
      <c r="E1569" s="2" t="s">
        <v>39</v>
      </c>
      <c r="F1569" s="2" t="str">
        <f>_xlfn.XLOOKUP(Table1_1[[#This Row],[CAS_rn]],[1]analyte_order!$C:$C,[1]analyte_order!$B:$B)</f>
        <v>PFUnA</v>
      </c>
      <c r="G1569" t="s">
        <v>116</v>
      </c>
      <c r="H1569" s="2">
        <f>_xlfn.XLOOKUP(Table1_1[[#This Row],[CAS_rn]],[1]analyte_order!$C:$C,[1]analyte_order!$E:$E)</f>
        <v>8</v>
      </c>
      <c r="I1569">
        <v>0.05</v>
      </c>
    </row>
    <row r="1570" spans="1:9" x14ac:dyDescent="0.3">
      <c r="A1570" s="2" t="s">
        <v>88</v>
      </c>
      <c r="B1570" s="3">
        <v>44363.5</v>
      </c>
      <c r="C1570" s="1" t="str">
        <f t="shared" si="26"/>
        <v>21168</v>
      </c>
      <c r="D1570" t="s">
        <v>29</v>
      </c>
      <c r="E1570" s="2" t="s">
        <v>39</v>
      </c>
      <c r="F1570" s="2" t="str">
        <f>_xlfn.XLOOKUP(Table1_1[[#This Row],[CAS_rn]],[1]analyte_order!$C:$C,[1]analyte_order!$B:$B)</f>
        <v>PFDoA</v>
      </c>
      <c r="G1570" t="s">
        <v>117</v>
      </c>
      <c r="H1570" s="2">
        <f>_xlfn.XLOOKUP(Table1_1[[#This Row],[CAS_rn]],[1]analyte_order!$C:$C,[1]analyte_order!$E:$E)</f>
        <v>9</v>
      </c>
      <c r="I1570">
        <v>0.05</v>
      </c>
    </row>
    <row r="1571" spans="1:9" x14ac:dyDescent="0.3">
      <c r="A1571" s="2" t="s">
        <v>88</v>
      </c>
      <c r="B1571" s="3">
        <v>44363.5</v>
      </c>
      <c r="C1571" s="1" t="str">
        <f t="shared" si="26"/>
        <v>21168</v>
      </c>
      <c r="D1571" t="s">
        <v>29</v>
      </c>
      <c r="E1571" s="2" t="s">
        <v>39</v>
      </c>
      <c r="F1571" s="2" t="str">
        <f>_xlfn.XLOOKUP(Table1_1[[#This Row],[CAS_rn]],[1]analyte_order!$C:$C,[1]analyte_order!$B:$B)</f>
        <v>PFTrDA</v>
      </c>
      <c r="G1571" t="s">
        <v>118</v>
      </c>
      <c r="H1571" s="2">
        <f>_xlfn.XLOOKUP(Table1_1[[#This Row],[CAS_rn]],[1]analyte_order!$C:$C,[1]analyte_order!$E:$E)</f>
        <v>10</v>
      </c>
      <c r="I1571">
        <v>0.05</v>
      </c>
    </row>
    <row r="1572" spans="1:9" x14ac:dyDescent="0.3">
      <c r="A1572" s="2" t="s">
        <v>88</v>
      </c>
      <c r="B1572" s="3">
        <v>44363.5</v>
      </c>
      <c r="C1572" s="1" t="str">
        <f t="shared" si="26"/>
        <v>21168</v>
      </c>
      <c r="D1572" t="s">
        <v>29</v>
      </c>
      <c r="E1572" s="2" t="s">
        <v>39</v>
      </c>
      <c r="F1572" s="2" t="str">
        <f>_xlfn.XLOOKUP(Table1_1[[#This Row],[CAS_rn]],[1]analyte_order!$C:$C,[1]analyte_order!$B:$B)</f>
        <v>PFTeDA</v>
      </c>
      <c r="G1572" t="s">
        <v>119</v>
      </c>
      <c r="H1572" s="2">
        <f>_xlfn.XLOOKUP(Table1_1[[#This Row],[CAS_rn]],[1]analyte_order!$C:$C,[1]analyte_order!$E:$E)</f>
        <v>11</v>
      </c>
      <c r="I1572">
        <v>0.05</v>
      </c>
    </row>
    <row r="1573" spans="1:9" x14ac:dyDescent="0.3">
      <c r="A1573" s="2" t="s">
        <v>88</v>
      </c>
      <c r="B1573" s="3">
        <v>44363.5</v>
      </c>
      <c r="C1573" s="1" t="str">
        <f t="shared" si="26"/>
        <v>21168</v>
      </c>
      <c r="D1573" t="s">
        <v>29</v>
      </c>
      <c r="E1573" s="2" t="s">
        <v>39</v>
      </c>
      <c r="F1573" s="2" t="str">
        <f>_xlfn.XLOOKUP(Table1_1[[#This Row],[CAS_rn]],[1]analyte_order!$C:$C,[1]analyte_order!$B:$B)</f>
        <v>PFBS</v>
      </c>
      <c r="G1573" t="s">
        <v>120</v>
      </c>
      <c r="H1573" s="2">
        <f>_xlfn.XLOOKUP(Table1_1[[#This Row],[CAS_rn]],[1]analyte_order!$C:$C,[1]analyte_order!$E:$E)</f>
        <v>14</v>
      </c>
      <c r="I1573">
        <v>0.05</v>
      </c>
    </row>
    <row r="1574" spans="1:9" x14ac:dyDescent="0.3">
      <c r="A1574" s="2" t="s">
        <v>88</v>
      </c>
      <c r="B1574" s="3">
        <v>44363.5</v>
      </c>
      <c r="C1574" s="1" t="str">
        <f t="shared" si="26"/>
        <v>21168</v>
      </c>
      <c r="D1574" t="s">
        <v>29</v>
      </c>
      <c r="E1574" s="2" t="s">
        <v>39</v>
      </c>
      <c r="F1574" s="2" t="str">
        <f>_xlfn.XLOOKUP(Table1_1[[#This Row],[CAS_rn]],[1]analyte_order!$C:$C,[1]analyte_order!$B:$B)</f>
        <v>PFPeS</v>
      </c>
      <c r="G1574" t="s">
        <v>121</v>
      </c>
      <c r="H1574" s="2">
        <f>_xlfn.XLOOKUP(Table1_1[[#This Row],[CAS_rn]],[1]analyte_order!$C:$C,[1]analyte_order!$E:$E)</f>
        <v>15</v>
      </c>
      <c r="I1574">
        <v>0.05</v>
      </c>
    </row>
    <row r="1575" spans="1:9" x14ac:dyDescent="0.3">
      <c r="A1575" s="2" t="s">
        <v>88</v>
      </c>
      <c r="B1575" s="3">
        <v>44363.5</v>
      </c>
      <c r="C1575" s="1" t="str">
        <f t="shared" si="26"/>
        <v>21168</v>
      </c>
      <c r="D1575" t="s">
        <v>29</v>
      </c>
      <c r="E1575" s="2" t="s">
        <v>39</v>
      </c>
      <c r="F1575" s="2" t="str">
        <f>_xlfn.XLOOKUP(Table1_1[[#This Row],[CAS_rn]],[1]analyte_order!$C:$C,[1]analyte_order!$B:$B)</f>
        <v>PFHxS</v>
      </c>
      <c r="G1575" t="s">
        <v>122</v>
      </c>
      <c r="H1575" s="2">
        <f>_xlfn.XLOOKUP(Table1_1[[#This Row],[CAS_rn]],[1]analyte_order!$C:$C,[1]analyte_order!$E:$E)</f>
        <v>16</v>
      </c>
      <c r="I1575">
        <v>0.2</v>
      </c>
    </row>
    <row r="1576" spans="1:9" x14ac:dyDescent="0.3">
      <c r="A1576" s="2" t="s">
        <v>88</v>
      </c>
      <c r="B1576" s="3">
        <v>44363.5</v>
      </c>
      <c r="C1576" s="1" t="str">
        <f t="shared" si="26"/>
        <v>21168</v>
      </c>
      <c r="D1576" t="s">
        <v>29</v>
      </c>
      <c r="E1576" s="2" t="s">
        <v>39</v>
      </c>
      <c r="F1576" s="2" t="str">
        <f>_xlfn.XLOOKUP(Table1_1[[#This Row],[CAS_rn]],[1]analyte_order!$C:$C,[1]analyte_order!$B:$B)</f>
        <v>PFHpS</v>
      </c>
      <c r="G1576" t="s">
        <v>123</v>
      </c>
      <c r="H1576" s="2">
        <f>_xlfn.XLOOKUP(Table1_1[[#This Row],[CAS_rn]],[1]analyte_order!$C:$C,[1]analyte_order!$E:$E)</f>
        <v>17</v>
      </c>
      <c r="I1576">
        <v>0.05</v>
      </c>
    </row>
    <row r="1577" spans="1:9" x14ac:dyDescent="0.3">
      <c r="A1577" s="2" t="s">
        <v>88</v>
      </c>
      <c r="B1577" s="3">
        <v>44363.5</v>
      </c>
      <c r="C1577" s="1" t="str">
        <f t="shared" si="26"/>
        <v>21168</v>
      </c>
      <c r="D1577" t="s">
        <v>29</v>
      </c>
      <c r="E1577" s="2" t="s">
        <v>39</v>
      </c>
      <c r="F1577" s="2" t="str">
        <f>_xlfn.XLOOKUP(Table1_1[[#This Row],[CAS_rn]],[1]analyte_order!$C:$C,[1]analyte_order!$B:$B)</f>
        <v>PFOS</v>
      </c>
      <c r="G1577" t="s">
        <v>124</v>
      </c>
      <c r="H1577" s="2">
        <f>_xlfn.XLOOKUP(Table1_1[[#This Row],[CAS_rn]],[1]analyte_order!$C:$C,[1]analyte_order!$E:$E)</f>
        <v>18</v>
      </c>
      <c r="I1577">
        <v>0.68</v>
      </c>
    </row>
    <row r="1578" spans="1:9" x14ac:dyDescent="0.3">
      <c r="A1578" s="2" t="s">
        <v>88</v>
      </c>
      <c r="B1578" s="3">
        <v>44363.5</v>
      </c>
      <c r="C1578" s="1" t="str">
        <f t="shared" si="26"/>
        <v>21168</v>
      </c>
      <c r="D1578" t="s">
        <v>29</v>
      </c>
      <c r="E1578" s="2" t="s">
        <v>39</v>
      </c>
      <c r="F1578" s="2" t="str">
        <f>_xlfn.XLOOKUP(Table1_1[[#This Row],[CAS_rn]],[1]analyte_order!$C:$C,[1]analyte_order!$B:$B)</f>
        <v>PFNS</v>
      </c>
      <c r="G1578" t="s">
        <v>125</v>
      </c>
      <c r="H1578" s="2">
        <f>_xlfn.XLOOKUP(Table1_1[[#This Row],[CAS_rn]],[1]analyte_order!$C:$C,[1]analyte_order!$E:$E)</f>
        <v>19</v>
      </c>
      <c r="I1578">
        <v>0.05</v>
      </c>
    </row>
    <row r="1579" spans="1:9" x14ac:dyDescent="0.3">
      <c r="A1579" s="2" t="s">
        <v>88</v>
      </c>
      <c r="B1579" s="3">
        <v>44363.5</v>
      </c>
      <c r="C1579" s="1" t="str">
        <f t="shared" si="26"/>
        <v>21168</v>
      </c>
      <c r="D1579" t="s">
        <v>29</v>
      </c>
      <c r="E1579" s="2" t="s">
        <v>39</v>
      </c>
      <c r="F1579" s="2" t="str">
        <f>_xlfn.XLOOKUP(Table1_1[[#This Row],[CAS_rn]],[1]analyte_order!$C:$C,[1]analyte_order!$B:$B)</f>
        <v>PFDoS</v>
      </c>
      <c r="G1579" t="s">
        <v>126</v>
      </c>
      <c r="H1579" s="2">
        <f>_xlfn.XLOOKUP(Table1_1[[#This Row],[CAS_rn]],[1]analyte_order!$C:$C,[1]analyte_order!$E:$E)</f>
        <v>21</v>
      </c>
      <c r="I1579">
        <v>0.05</v>
      </c>
    </row>
    <row r="1580" spans="1:9" x14ac:dyDescent="0.3">
      <c r="A1580" s="2" t="s">
        <v>88</v>
      </c>
      <c r="B1580" s="3">
        <v>44363.5</v>
      </c>
      <c r="C1580" s="1" t="str">
        <f t="shared" si="26"/>
        <v>21168</v>
      </c>
      <c r="D1580" t="s">
        <v>29</v>
      </c>
      <c r="E1580" s="2" t="s">
        <v>39</v>
      </c>
      <c r="F1580" s="2" t="str">
        <f>_xlfn.XLOOKUP(Table1_1[[#This Row],[CAS_rn]],[1]analyte_order!$C:$C,[1]analyte_order!$B:$B)</f>
        <v>4:2 FTS</v>
      </c>
      <c r="G1580" t="s">
        <v>127</v>
      </c>
      <c r="H1580" s="2">
        <f>_xlfn.XLOOKUP(Table1_1[[#This Row],[CAS_rn]],[1]analyte_order!$C:$C,[1]analyte_order!$E:$E)</f>
        <v>22</v>
      </c>
      <c r="I1580">
        <v>0.2</v>
      </c>
    </row>
    <row r="1581" spans="1:9" x14ac:dyDescent="0.3">
      <c r="A1581" s="2" t="s">
        <v>88</v>
      </c>
      <c r="B1581" s="3">
        <v>44363.5</v>
      </c>
      <c r="C1581" s="1" t="str">
        <f t="shared" si="26"/>
        <v>21168</v>
      </c>
      <c r="D1581" t="s">
        <v>29</v>
      </c>
      <c r="E1581" s="2" t="s">
        <v>39</v>
      </c>
      <c r="F1581" s="2" t="str">
        <f>_xlfn.XLOOKUP(Table1_1[[#This Row],[CAS_rn]],[1]analyte_order!$C:$C,[1]analyte_order!$B:$B)</f>
        <v>6:2 FTS</v>
      </c>
      <c r="G1581" t="s">
        <v>128</v>
      </c>
      <c r="H1581" s="2">
        <f>_xlfn.XLOOKUP(Table1_1[[#This Row],[CAS_rn]],[1]analyte_order!$C:$C,[1]analyte_order!$E:$E)</f>
        <v>23</v>
      </c>
      <c r="I1581">
        <v>0.4</v>
      </c>
    </row>
    <row r="1582" spans="1:9" x14ac:dyDescent="0.3">
      <c r="A1582" s="2" t="s">
        <v>88</v>
      </c>
      <c r="B1582" s="3">
        <v>44363.5</v>
      </c>
      <c r="C1582" s="1" t="str">
        <f t="shared" si="26"/>
        <v>21168</v>
      </c>
      <c r="D1582" t="s">
        <v>29</v>
      </c>
      <c r="E1582" s="2" t="s">
        <v>39</v>
      </c>
      <c r="F1582" s="2" t="str">
        <f>_xlfn.XLOOKUP(Table1_1[[#This Row],[CAS_rn]],[1]analyte_order!$C:$C,[1]analyte_order!$B:$B)</f>
        <v>8:2 FTS</v>
      </c>
      <c r="G1582" t="s">
        <v>129</v>
      </c>
      <c r="H1582" s="2">
        <f>_xlfn.XLOOKUP(Table1_1[[#This Row],[CAS_rn]],[1]analyte_order!$C:$C,[1]analyte_order!$E:$E)</f>
        <v>24</v>
      </c>
      <c r="I1582">
        <v>0.4</v>
      </c>
    </row>
    <row r="1583" spans="1:9" x14ac:dyDescent="0.3">
      <c r="A1583" s="2" t="s">
        <v>88</v>
      </c>
      <c r="B1583" s="3">
        <v>44363.5</v>
      </c>
      <c r="C1583" s="1" t="str">
        <f t="shared" si="26"/>
        <v>21168</v>
      </c>
      <c r="D1583" t="s">
        <v>29</v>
      </c>
      <c r="E1583" s="2" t="s">
        <v>39</v>
      </c>
      <c r="F1583" s="2" t="str">
        <f>_xlfn.XLOOKUP(Table1_1[[#This Row],[CAS_rn]],[1]analyte_order!$C:$C,[1]analyte_order!$B:$B)</f>
        <v>FOSA</v>
      </c>
      <c r="G1583" t="s">
        <v>130</v>
      </c>
      <c r="H1583" s="2">
        <f>_xlfn.XLOOKUP(Table1_1[[#This Row],[CAS_rn]],[1]analyte_order!$C:$C,[1]analyte_order!$E:$E)</f>
        <v>28</v>
      </c>
      <c r="I1583">
        <v>0.09</v>
      </c>
    </row>
    <row r="1584" spans="1:9" x14ac:dyDescent="0.3">
      <c r="A1584" s="2" t="s">
        <v>88</v>
      </c>
      <c r="B1584" s="3">
        <v>44363.5</v>
      </c>
      <c r="C1584" s="1" t="str">
        <f t="shared" si="26"/>
        <v>21168</v>
      </c>
      <c r="D1584" t="s">
        <v>29</v>
      </c>
      <c r="E1584" s="2" t="s">
        <v>39</v>
      </c>
      <c r="F1584" s="2" t="str">
        <f>_xlfn.XLOOKUP(Table1_1[[#This Row],[CAS_rn]],[1]analyte_order!$C:$C,[1]analyte_order!$B:$B)</f>
        <v>N-MeFOSA</v>
      </c>
      <c r="G1584" t="s">
        <v>131</v>
      </c>
      <c r="H1584" s="2">
        <f>_xlfn.XLOOKUP(Table1_1[[#This Row],[CAS_rn]],[1]analyte_order!$C:$C,[1]analyte_order!$E:$E)</f>
        <v>30</v>
      </c>
      <c r="I1584">
        <v>0.05</v>
      </c>
    </row>
    <row r="1585" spans="1:9" x14ac:dyDescent="0.3">
      <c r="A1585" s="2" t="s">
        <v>88</v>
      </c>
      <c r="B1585" s="3">
        <v>44363.5</v>
      </c>
      <c r="C1585" s="1" t="str">
        <f t="shared" si="26"/>
        <v>21168</v>
      </c>
      <c r="D1585" t="s">
        <v>29</v>
      </c>
      <c r="E1585" s="2" t="s">
        <v>39</v>
      </c>
      <c r="F1585" s="2" t="str">
        <f>_xlfn.XLOOKUP(Table1_1[[#This Row],[CAS_rn]],[1]analyte_order!$C:$C,[1]analyte_order!$B:$B)</f>
        <v>N-MeFOSAA</v>
      </c>
      <c r="G1585" t="s">
        <v>132</v>
      </c>
      <c r="H1585" s="2">
        <f>_xlfn.XLOOKUP(Table1_1[[#This Row],[CAS_rn]],[1]analyte_order!$C:$C,[1]analyte_order!$E:$E)</f>
        <v>26</v>
      </c>
      <c r="I1585">
        <v>0.05</v>
      </c>
    </row>
    <row r="1586" spans="1:9" x14ac:dyDescent="0.3">
      <c r="A1586" s="2" t="s">
        <v>88</v>
      </c>
      <c r="B1586" s="3">
        <v>44363.5</v>
      </c>
      <c r="C1586" s="1" t="str">
        <f t="shared" si="26"/>
        <v>21168</v>
      </c>
      <c r="D1586" t="s">
        <v>29</v>
      </c>
      <c r="E1586" s="2" t="s">
        <v>39</v>
      </c>
      <c r="F1586" s="2" t="str">
        <f>_xlfn.XLOOKUP(Table1_1[[#This Row],[CAS_rn]],[1]analyte_order!$C:$C,[1]analyte_order!$B:$B)</f>
        <v>N-EtFOSA</v>
      </c>
      <c r="G1586" t="s">
        <v>133</v>
      </c>
      <c r="H1586" s="2">
        <f>_xlfn.XLOOKUP(Table1_1[[#This Row],[CAS_rn]],[1]analyte_order!$C:$C,[1]analyte_order!$E:$E)</f>
        <v>31</v>
      </c>
      <c r="I1586">
        <v>0.05</v>
      </c>
    </row>
    <row r="1587" spans="1:9" x14ac:dyDescent="0.3">
      <c r="A1587" s="2" t="s">
        <v>88</v>
      </c>
      <c r="B1587" s="3">
        <v>44363.5</v>
      </c>
      <c r="C1587" s="1" t="str">
        <f t="shared" si="26"/>
        <v>21168</v>
      </c>
      <c r="D1587" t="s">
        <v>29</v>
      </c>
      <c r="E1587" s="2" t="s">
        <v>39</v>
      </c>
      <c r="F1587" s="2" t="str">
        <f>_xlfn.XLOOKUP(Table1_1[[#This Row],[CAS_rn]],[1]analyte_order!$C:$C,[1]analyte_order!$B:$B)</f>
        <v>N-EtFOSAA</v>
      </c>
      <c r="G1587" t="s">
        <v>134</v>
      </c>
      <c r="H1587" s="2">
        <f>_xlfn.XLOOKUP(Table1_1[[#This Row],[CAS_rn]],[1]analyte_order!$C:$C,[1]analyte_order!$E:$E)</f>
        <v>27</v>
      </c>
      <c r="I1587">
        <v>0.05</v>
      </c>
    </row>
    <row r="1588" spans="1:9" x14ac:dyDescent="0.3">
      <c r="A1588" s="2" t="s">
        <v>88</v>
      </c>
      <c r="B1588" s="3">
        <v>44363.5</v>
      </c>
      <c r="C1588" s="1" t="str">
        <f t="shared" si="26"/>
        <v>21168</v>
      </c>
      <c r="D1588" t="s">
        <v>29</v>
      </c>
      <c r="E1588" s="2" t="s">
        <v>39</v>
      </c>
      <c r="F1588" s="2" t="str">
        <f>_xlfn.XLOOKUP(Table1_1[[#This Row],[CAS_rn]],[1]analyte_order!$C:$C,[1]analyte_order!$B:$B)</f>
        <v>N-MeFOSE</v>
      </c>
      <c r="G1588" t="s">
        <v>135</v>
      </c>
      <c r="H1588" s="2">
        <f>_xlfn.XLOOKUP(Table1_1[[#This Row],[CAS_rn]],[1]analyte_order!$C:$C,[1]analyte_order!$E:$E)</f>
        <v>32</v>
      </c>
      <c r="I1588">
        <v>0.5</v>
      </c>
    </row>
    <row r="1589" spans="1:9" x14ac:dyDescent="0.3">
      <c r="A1589" s="2" t="s">
        <v>88</v>
      </c>
      <c r="B1589" s="3">
        <v>44363.5</v>
      </c>
      <c r="C1589" s="1" t="str">
        <f t="shared" si="26"/>
        <v>21168</v>
      </c>
      <c r="D1589" t="s">
        <v>29</v>
      </c>
      <c r="E1589" s="2" t="s">
        <v>39</v>
      </c>
      <c r="F1589" s="2" t="str">
        <f>_xlfn.XLOOKUP(Table1_1[[#This Row],[CAS_rn]],[1]analyte_order!$C:$C,[1]analyte_order!$B:$B)</f>
        <v>N-EtFOSE</v>
      </c>
      <c r="G1589" t="s">
        <v>136</v>
      </c>
      <c r="H1589" s="2">
        <f>_xlfn.XLOOKUP(Table1_1[[#This Row],[CAS_rn]],[1]analyte_order!$C:$C,[1]analyte_order!$E:$E)</f>
        <v>33</v>
      </c>
      <c r="I1589">
        <v>0.5</v>
      </c>
    </row>
    <row r="1590" spans="1:9" x14ac:dyDescent="0.3">
      <c r="A1590" s="2" t="s">
        <v>88</v>
      </c>
      <c r="B1590" s="3">
        <v>44363.5</v>
      </c>
      <c r="C1590" s="1" t="str">
        <f t="shared" si="26"/>
        <v>21168</v>
      </c>
      <c r="D1590" t="s">
        <v>29</v>
      </c>
      <c r="E1590" s="2" t="s">
        <v>39</v>
      </c>
      <c r="F1590" s="2" t="str">
        <f>_xlfn.XLOOKUP(Table1_1[[#This Row],[CAS_rn]],[1]analyte_order!$C:$C,[1]analyte_order!$B:$B)</f>
        <v>HFPO-DA</v>
      </c>
      <c r="G1590" t="s">
        <v>137</v>
      </c>
      <c r="H1590" s="2">
        <f>_xlfn.XLOOKUP(Table1_1[[#This Row],[CAS_rn]],[1]analyte_order!$C:$C,[1]analyte_order!$E:$E)</f>
        <v>34</v>
      </c>
      <c r="I1590">
        <v>0.3</v>
      </c>
    </row>
    <row r="1591" spans="1:9" x14ac:dyDescent="0.3">
      <c r="A1591" s="2" t="s">
        <v>88</v>
      </c>
      <c r="B1591" s="3">
        <v>44363.5</v>
      </c>
      <c r="C1591" s="1" t="str">
        <f t="shared" si="26"/>
        <v>21168</v>
      </c>
      <c r="D1591" t="s">
        <v>29</v>
      </c>
      <c r="E1591" s="2" t="s">
        <v>39</v>
      </c>
      <c r="F1591" s="2" t="str">
        <f>_xlfn.XLOOKUP(Table1_1[[#This Row],[CAS_rn]],[1]analyte_order!$C:$C,[1]analyte_order!$B:$B)</f>
        <v>ADONA</v>
      </c>
      <c r="G1591" t="s">
        <v>138</v>
      </c>
      <c r="H1591" s="2">
        <f>_xlfn.XLOOKUP(Table1_1[[#This Row],[CAS_rn]],[1]analyte_order!$C:$C,[1]analyte_order!$E:$E)</f>
        <v>35</v>
      </c>
      <c r="I1591">
        <v>0.2</v>
      </c>
    </row>
    <row r="1592" spans="1:9" x14ac:dyDescent="0.3">
      <c r="A1592" s="2" t="s">
        <v>88</v>
      </c>
      <c r="B1592" s="3">
        <v>44363.5</v>
      </c>
      <c r="C1592" s="1" t="str">
        <f t="shared" si="26"/>
        <v>21168</v>
      </c>
      <c r="D1592" t="s">
        <v>29</v>
      </c>
      <c r="E1592" s="2" t="s">
        <v>39</v>
      </c>
      <c r="F1592" s="2" t="str">
        <f>_xlfn.XLOOKUP(Table1_1[[#This Row],[CAS_rn]],[1]analyte_order!$C:$C,[1]analyte_order!$B:$B)</f>
        <v>PFMBA</v>
      </c>
      <c r="G1592" t="s">
        <v>139</v>
      </c>
      <c r="H1592" s="2">
        <f>_xlfn.XLOOKUP(Table1_1[[#This Row],[CAS_rn]],[1]analyte_order!$C:$C,[1]analyte_order!$E:$E)</f>
        <v>48</v>
      </c>
      <c r="I1592">
        <v>0.1</v>
      </c>
    </row>
    <row r="1593" spans="1:9" x14ac:dyDescent="0.3">
      <c r="A1593" s="2" t="s">
        <v>88</v>
      </c>
      <c r="B1593" s="3">
        <v>44363.5</v>
      </c>
      <c r="C1593" s="1" t="str">
        <f t="shared" si="26"/>
        <v>21168</v>
      </c>
      <c r="D1593" t="s">
        <v>29</v>
      </c>
      <c r="E1593" s="2" t="s">
        <v>39</v>
      </c>
      <c r="F1593" s="2" t="str">
        <f>_xlfn.XLOOKUP(Table1_1[[#This Row],[CAS_rn]],[1]analyte_order!$C:$C,[1]analyte_order!$B:$B)</f>
        <v>NFDHA</v>
      </c>
      <c r="G1593" t="s">
        <v>140</v>
      </c>
      <c r="H1593" s="2">
        <f>_xlfn.XLOOKUP(Table1_1[[#This Row],[CAS_rn]],[1]analyte_order!$C:$C,[1]analyte_order!$E:$E)</f>
        <v>50</v>
      </c>
      <c r="I1593">
        <v>0.1</v>
      </c>
    </row>
    <row r="1594" spans="1:9" x14ac:dyDescent="0.3">
      <c r="A1594" s="2" t="s">
        <v>88</v>
      </c>
      <c r="B1594" s="3">
        <v>44363.5</v>
      </c>
      <c r="C1594" s="1" t="str">
        <f t="shared" si="26"/>
        <v>21168</v>
      </c>
      <c r="D1594" t="s">
        <v>29</v>
      </c>
      <c r="E1594" s="2" t="s">
        <v>39</v>
      </c>
      <c r="F1594" s="2" t="str">
        <f>_xlfn.XLOOKUP(Table1_1[[#This Row],[CAS_rn]],[1]analyte_order!$C:$C,[1]analyte_order!$B:$B)</f>
        <v>9Cl-PF3ONS</v>
      </c>
      <c r="G1594" t="s">
        <v>141</v>
      </c>
      <c r="H1594" s="2">
        <f>_xlfn.XLOOKUP(Table1_1[[#This Row],[CAS_rn]],[1]analyte_order!$C:$C,[1]analyte_order!$E:$E)</f>
        <v>36</v>
      </c>
      <c r="I1594">
        <v>0.2</v>
      </c>
    </row>
    <row r="1595" spans="1:9" x14ac:dyDescent="0.3">
      <c r="A1595" s="2" t="s">
        <v>88</v>
      </c>
      <c r="B1595" s="3">
        <v>44363.5</v>
      </c>
      <c r="C1595" s="1" t="str">
        <f t="shared" si="26"/>
        <v>21168</v>
      </c>
      <c r="D1595" t="s">
        <v>29</v>
      </c>
      <c r="E1595" s="2" t="s">
        <v>39</v>
      </c>
      <c r="F1595" s="2" t="str">
        <f>_xlfn.XLOOKUP(Table1_1[[#This Row],[CAS_rn]],[1]analyte_order!$C:$C,[1]analyte_order!$B:$B)</f>
        <v>11Cl-PF3OUdS</v>
      </c>
      <c r="G1595" t="s">
        <v>142</v>
      </c>
      <c r="H1595" s="2">
        <f>_xlfn.XLOOKUP(Table1_1[[#This Row],[CAS_rn]],[1]analyte_order!$C:$C,[1]analyte_order!$E:$E)</f>
        <v>37</v>
      </c>
      <c r="I1595">
        <v>0.2</v>
      </c>
    </row>
    <row r="1596" spans="1:9" x14ac:dyDescent="0.3">
      <c r="A1596" s="2" t="s">
        <v>88</v>
      </c>
      <c r="B1596" s="3">
        <v>44363.5</v>
      </c>
      <c r="C1596" s="1" t="str">
        <f t="shared" si="26"/>
        <v>21168</v>
      </c>
      <c r="D1596" t="s">
        <v>29</v>
      </c>
      <c r="E1596" s="2" t="s">
        <v>39</v>
      </c>
      <c r="F1596" s="2" t="str">
        <f>_xlfn.XLOOKUP(Table1_1[[#This Row],[CAS_rn]],[1]analyte_order!$C:$C,[1]analyte_order!$B:$B)</f>
        <v>PFEESA</v>
      </c>
      <c r="G1596" t="s">
        <v>143</v>
      </c>
      <c r="H1596" s="2">
        <f>_xlfn.XLOOKUP(Table1_1[[#This Row],[CAS_rn]],[1]analyte_order!$C:$C,[1]analyte_order!$E:$E)</f>
        <v>47</v>
      </c>
      <c r="I1596">
        <v>0.1</v>
      </c>
    </row>
    <row r="1597" spans="1:9" x14ac:dyDescent="0.3">
      <c r="A1597" s="2" t="s">
        <v>88</v>
      </c>
      <c r="B1597" s="3">
        <v>44363.5</v>
      </c>
      <c r="C1597" s="1" t="str">
        <f t="shared" si="26"/>
        <v>21168</v>
      </c>
      <c r="D1597" t="s">
        <v>29</v>
      </c>
      <c r="E1597" s="2" t="s">
        <v>39</v>
      </c>
      <c r="F1597" s="2" t="str">
        <f>_xlfn.XLOOKUP(Table1_1[[#This Row],[CAS_rn]],[1]analyte_order!$C:$C,[1]analyte_order!$B:$B)</f>
        <v>3:3 FTCA</v>
      </c>
      <c r="G1597" t="s">
        <v>144</v>
      </c>
      <c r="H1597" s="2">
        <f>_xlfn.XLOOKUP(Table1_1[[#This Row],[CAS_rn]],[1]analyte_order!$C:$C,[1]analyte_order!$E:$E)</f>
        <v>38</v>
      </c>
      <c r="I1597">
        <v>0.25</v>
      </c>
    </row>
    <row r="1598" spans="1:9" x14ac:dyDescent="0.3">
      <c r="A1598" s="2" t="s">
        <v>88</v>
      </c>
      <c r="B1598" s="3">
        <v>44363.5</v>
      </c>
      <c r="C1598" s="1" t="str">
        <f t="shared" si="26"/>
        <v>21168</v>
      </c>
      <c r="D1598" t="s">
        <v>29</v>
      </c>
      <c r="E1598" s="2" t="s">
        <v>39</v>
      </c>
      <c r="F1598" s="2" t="str">
        <f>_xlfn.XLOOKUP(Table1_1[[#This Row],[CAS_rn]],[1]analyte_order!$C:$C,[1]analyte_order!$B:$B)</f>
        <v>5:3 FTCA</v>
      </c>
      <c r="G1598" t="s">
        <v>145</v>
      </c>
      <c r="H1598" s="2">
        <f>_xlfn.XLOOKUP(Table1_1[[#This Row],[CAS_rn]],[1]analyte_order!$C:$C,[1]analyte_order!$E:$E)</f>
        <v>39</v>
      </c>
      <c r="I1598">
        <v>1.25</v>
      </c>
    </row>
    <row r="1599" spans="1:9" x14ac:dyDescent="0.3">
      <c r="A1599" s="2" t="s">
        <v>88</v>
      </c>
      <c r="B1599" s="3">
        <v>44363.5</v>
      </c>
      <c r="C1599" s="1" t="str">
        <f t="shared" si="26"/>
        <v>21168</v>
      </c>
      <c r="D1599" t="s">
        <v>29</v>
      </c>
      <c r="E1599" s="2" t="s">
        <v>39</v>
      </c>
      <c r="F1599" s="2" t="str">
        <f>_xlfn.XLOOKUP(Table1_1[[#This Row],[CAS_rn]],[1]analyte_order!$C:$C,[1]analyte_order!$B:$B)</f>
        <v>7:3 FTCA</v>
      </c>
      <c r="G1599" t="s">
        <v>146</v>
      </c>
      <c r="H1599" s="2">
        <f>_xlfn.XLOOKUP(Table1_1[[#This Row],[CAS_rn]],[1]analyte_order!$C:$C,[1]analyte_order!$E:$E)</f>
        <v>40</v>
      </c>
      <c r="I1599">
        <v>1.25</v>
      </c>
    </row>
    <row r="1600" spans="1:9" x14ac:dyDescent="0.3">
      <c r="A1600" s="2" t="s">
        <v>88</v>
      </c>
      <c r="B1600" s="3">
        <v>44363.5</v>
      </c>
      <c r="C1600" s="1" t="str">
        <f t="shared" si="26"/>
        <v>21168</v>
      </c>
      <c r="D1600" t="s">
        <v>29</v>
      </c>
      <c r="E1600" s="2" t="s">
        <v>39</v>
      </c>
      <c r="F1600" s="2" t="str">
        <f>_xlfn.XLOOKUP(Table1_1[[#This Row],[CAS_rn]],[1]analyte_order!$C:$C,[1]analyte_order!$B:$B)</f>
        <v>PFDS</v>
      </c>
      <c r="G1600" t="s">
        <v>147</v>
      </c>
      <c r="H1600" s="2">
        <f>_xlfn.XLOOKUP(Table1_1[[#This Row],[CAS_rn]],[1]analyte_order!$C:$C,[1]analyte_order!$E:$E)</f>
        <v>20</v>
      </c>
      <c r="I1600">
        <v>0.05</v>
      </c>
    </row>
    <row r="1601" spans="1:9" x14ac:dyDescent="0.3">
      <c r="A1601" s="2" t="s">
        <v>88</v>
      </c>
      <c r="B1601" s="3">
        <v>44363.5</v>
      </c>
      <c r="C1601" s="1" t="str">
        <f t="shared" si="26"/>
        <v>21168</v>
      </c>
      <c r="D1601" t="s">
        <v>29</v>
      </c>
      <c r="E1601" s="2" t="s">
        <v>39</v>
      </c>
      <c r="F1601" s="2" t="str">
        <f>_xlfn.XLOOKUP(Table1_1[[#This Row],[CAS_rn]],[1]analyte_order!$C:$C,[1]analyte_order!$B:$B)</f>
        <v>PFMPA</v>
      </c>
      <c r="G1601" t="s">
        <v>148</v>
      </c>
      <c r="H1601" s="2">
        <f>_xlfn.XLOOKUP(Table1_1[[#This Row],[CAS_rn]],[1]analyte_order!$C:$C,[1]analyte_order!$E:$E)</f>
        <v>49</v>
      </c>
      <c r="I1601">
        <v>0.1</v>
      </c>
    </row>
    <row r="1602" spans="1:9" x14ac:dyDescent="0.3">
      <c r="A1602" s="2" t="s">
        <v>89</v>
      </c>
      <c r="B1602" s="3">
        <v>44370.5</v>
      </c>
      <c r="C1602" s="1" t="str">
        <f t="shared" si="26"/>
        <v>21175</v>
      </c>
      <c r="D1602" t="s">
        <v>26</v>
      </c>
      <c r="E1602" s="2" t="s">
        <v>39</v>
      </c>
      <c r="F1602" s="2" t="str">
        <f>_xlfn.XLOOKUP(Table1_1[[#This Row],[CAS_rn]],[1]analyte_order!$C:$C,[1]analyte_order!$B:$B)</f>
        <v>PFBA</v>
      </c>
      <c r="G1602" t="s">
        <v>109</v>
      </c>
      <c r="H1602" s="2">
        <f>_xlfn.XLOOKUP(Table1_1[[#This Row],[CAS_rn]],[1]analyte_order!$C:$C,[1]analyte_order!$E:$E)</f>
        <v>1</v>
      </c>
      <c r="I1602">
        <v>0.2</v>
      </c>
    </row>
    <row r="1603" spans="1:9" x14ac:dyDescent="0.3">
      <c r="A1603" s="2" t="s">
        <v>89</v>
      </c>
      <c r="B1603" s="3">
        <v>44370.5</v>
      </c>
      <c r="C1603" s="1" t="str">
        <f t="shared" si="26"/>
        <v>21175</v>
      </c>
      <c r="D1603" t="s">
        <v>26</v>
      </c>
      <c r="E1603" s="2" t="s">
        <v>39</v>
      </c>
      <c r="F1603" s="2" t="str">
        <f>_xlfn.XLOOKUP(Table1_1[[#This Row],[CAS_rn]],[1]analyte_order!$C:$C,[1]analyte_order!$B:$B)</f>
        <v>PFPeA</v>
      </c>
      <c r="G1603" t="s">
        <v>110</v>
      </c>
      <c r="H1603" s="2">
        <f>_xlfn.XLOOKUP(Table1_1[[#This Row],[CAS_rn]],[1]analyte_order!$C:$C,[1]analyte_order!$E:$E)</f>
        <v>2</v>
      </c>
      <c r="I1603">
        <v>0.1</v>
      </c>
    </row>
    <row r="1604" spans="1:9" x14ac:dyDescent="0.3">
      <c r="A1604" s="2" t="s">
        <v>89</v>
      </c>
      <c r="B1604" s="3">
        <v>44370.5</v>
      </c>
      <c r="C1604" s="1" t="str">
        <f t="shared" si="26"/>
        <v>21175</v>
      </c>
      <c r="D1604" t="s">
        <v>26</v>
      </c>
      <c r="E1604" s="2" t="s">
        <v>39</v>
      </c>
      <c r="F1604" s="2" t="str">
        <f>_xlfn.XLOOKUP(Table1_1[[#This Row],[CAS_rn]],[1]analyte_order!$C:$C,[1]analyte_order!$B:$B)</f>
        <v>PFHxA</v>
      </c>
      <c r="G1604" t="s">
        <v>111</v>
      </c>
      <c r="H1604" s="2">
        <f>_xlfn.XLOOKUP(Table1_1[[#This Row],[CAS_rn]],[1]analyte_order!$C:$C,[1]analyte_order!$E:$E)</f>
        <v>3</v>
      </c>
      <c r="I1604">
        <v>0.15</v>
      </c>
    </row>
    <row r="1605" spans="1:9" x14ac:dyDescent="0.3">
      <c r="A1605" s="2" t="s">
        <v>89</v>
      </c>
      <c r="B1605" s="3">
        <v>44370.5</v>
      </c>
      <c r="C1605" s="1" t="str">
        <f t="shared" si="26"/>
        <v>21175</v>
      </c>
      <c r="D1605" t="s">
        <v>26</v>
      </c>
      <c r="E1605" s="2" t="s">
        <v>39</v>
      </c>
      <c r="F1605" s="2" t="str">
        <f>_xlfn.XLOOKUP(Table1_1[[#This Row],[CAS_rn]],[1]analyte_order!$C:$C,[1]analyte_order!$B:$B)</f>
        <v>PFHpA</v>
      </c>
      <c r="G1605" t="s">
        <v>112</v>
      </c>
      <c r="H1605" s="2">
        <f>_xlfn.XLOOKUP(Table1_1[[#This Row],[CAS_rn]],[1]analyte_order!$C:$C,[1]analyte_order!$E:$E)</f>
        <v>4</v>
      </c>
      <c r="I1605">
        <v>0.09</v>
      </c>
    </row>
    <row r="1606" spans="1:9" x14ac:dyDescent="0.3">
      <c r="A1606" s="2" t="s">
        <v>89</v>
      </c>
      <c r="B1606" s="3">
        <v>44370.5</v>
      </c>
      <c r="C1606" s="1" t="str">
        <f t="shared" si="26"/>
        <v>21175</v>
      </c>
      <c r="D1606" t="s">
        <v>26</v>
      </c>
      <c r="E1606" s="2" t="s">
        <v>39</v>
      </c>
      <c r="F1606" s="2" t="str">
        <f>_xlfn.XLOOKUP(Table1_1[[#This Row],[CAS_rn]],[1]analyte_order!$C:$C,[1]analyte_order!$B:$B)</f>
        <v>PFOA</v>
      </c>
      <c r="G1606" t="s">
        <v>113</v>
      </c>
      <c r="H1606" s="2">
        <f>_xlfn.XLOOKUP(Table1_1[[#This Row],[CAS_rn]],[1]analyte_order!$C:$C,[1]analyte_order!$E:$E)</f>
        <v>5</v>
      </c>
      <c r="I1606">
        <v>0.32</v>
      </c>
    </row>
    <row r="1607" spans="1:9" x14ac:dyDescent="0.3">
      <c r="A1607" s="2" t="s">
        <v>89</v>
      </c>
      <c r="B1607" s="3">
        <v>44370.5</v>
      </c>
      <c r="C1607" s="1" t="str">
        <f t="shared" si="26"/>
        <v>21175</v>
      </c>
      <c r="D1607" t="s">
        <v>26</v>
      </c>
      <c r="E1607" s="2" t="s">
        <v>39</v>
      </c>
      <c r="F1607" s="2" t="str">
        <f>_xlfn.XLOOKUP(Table1_1[[#This Row],[CAS_rn]],[1]analyte_order!$C:$C,[1]analyte_order!$B:$B)</f>
        <v>PFNA</v>
      </c>
      <c r="G1607" t="s">
        <v>114</v>
      </c>
      <c r="H1607" s="2">
        <f>_xlfn.XLOOKUP(Table1_1[[#This Row],[CAS_rn]],[1]analyte_order!$C:$C,[1]analyte_order!$E:$E)</f>
        <v>6</v>
      </c>
      <c r="I1607">
        <v>0.05</v>
      </c>
    </row>
    <row r="1608" spans="1:9" x14ac:dyDescent="0.3">
      <c r="A1608" s="2" t="s">
        <v>89</v>
      </c>
      <c r="B1608" s="3">
        <v>44370.5</v>
      </c>
      <c r="C1608" s="1" t="str">
        <f t="shared" si="26"/>
        <v>21175</v>
      </c>
      <c r="D1608" t="s">
        <v>26</v>
      </c>
      <c r="E1608" s="2" t="s">
        <v>39</v>
      </c>
      <c r="F1608" s="2" t="str">
        <f>_xlfn.XLOOKUP(Table1_1[[#This Row],[CAS_rn]],[1]analyte_order!$C:$C,[1]analyte_order!$B:$B)</f>
        <v>PFDA</v>
      </c>
      <c r="G1608" t="s">
        <v>115</v>
      </c>
      <c r="H1608" s="2">
        <f>_xlfn.XLOOKUP(Table1_1[[#This Row],[CAS_rn]],[1]analyte_order!$C:$C,[1]analyte_order!$E:$E)</f>
        <v>7</v>
      </c>
      <c r="I1608">
        <v>0.05</v>
      </c>
    </row>
    <row r="1609" spans="1:9" x14ac:dyDescent="0.3">
      <c r="A1609" s="2" t="s">
        <v>89</v>
      </c>
      <c r="B1609" s="3">
        <v>44370.5</v>
      </c>
      <c r="C1609" s="1" t="str">
        <f t="shared" si="26"/>
        <v>21175</v>
      </c>
      <c r="D1609" t="s">
        <v>26</v>
      </c>
      <c r="E1609" s="2" t="s">
        <v>39</v>
      </c>
      <c r="F1609" s="2" t="str">
        <f>_xlfn.XLOOKUP(Table1_1[[#This Row],[CAS_rn]],[1]analyte_order!$C:$C,[1]analyte_order!$B:$B)</f>
        <v>PFUnA</v>
      </c>
      <c r="G1609" t="s">
        <v>116</v>
      </c>
      <c r="H1609" s="2">
        <f>_xlfn.XLOOKUP(Table1_1[[#This Row],[CAS_rn]],[1]analyte_order!$C:$C,[1]analyte_order!$E:$E)</f>
        <v>8</v>
      </c>
      <c r="I1609">
        <v>0.05</v>
      </c>
    </row>
    <row r="1610" spans="1:9" x14ac:dyDescent="0.3">
      <c r="A1610" s="2" t="s">
        <v>89</v>
      </c>
      <c r="B1610" s="3">
        <v>44370.5</v>
      </c>
      <c r="C1610" s="1" t="str">
        <f t="shared" si="26"/>
        <v>21175</v>
      </c>
      <c r="D1610" t="s">
        <v>26</v>
      </c>
      <c r="E1610" s="2" t="s">
        <v>39</v>
      </c>
      <c r="F1610" s="2" t="str">
        <f>_xlfn.XLOOKUP(Table1_1[[#This Row],[CAS_rn]],[1]analyte_order!$C:$C,[1]analyte_order!$B:$B)</f>
        <v>PFDoA</v>
      </c>
      <c r="G1610" t="s">
        <v>117</v>
      </c>
      <c r="H1610" s="2">
        <f>_xlfn.XLOOKUP(Table1_1[[#This Row],[CAS_rn]],[1]analyte_order!$C:$C,[1]analyte_order!$E:$E)</f>
        <v>9</v>
      </c>
      <c r="I1610">
        <v>0.05</v>
      </c>
    </row>
    <row r="1611" spans="1:9" x14ac:dyDescent="0.3">
      <c r="A1611" s="2" t="s">
        <v>89</v>
      </c>
      <c r="B1611" s="3">
        <v>44370.5</v>
      </c>
      <c r="C1611" s="1" t="str">
        <f t="shared" ref="C1611:C1674" si="27">TEXT(B1611,"yy")&amp;TEXT((B1611-DATEVALUE("1/1/"&amp;TEXT(B1611,"yy"))+1),"000")</f>
        <v>21175</v>
      </c>
      <c r="D1611" t="s">
        <v>26</v>
      </c>
      <c r="E1611" s="2" t="s">
        <v>39</v>
      </c>
      <c r="F1611" s="2" t="str">
        <f>_xlfn.XLOOKUP(Table1_1[[#This Row],[CAS_rn]],[1]analyte_order!$C:$C,[1]analyte_order!$B:$B)</f>
        <v>PFTrDA</v>
      </c>
      <c r="G1611" t="s">
        <v>118</v>
      </c>
      <c r="H1611" s="2">
        <f>_xlfn.XLOOKUP(Table1_1[[#This Row],[CAS_rn]],[1]analyte_order!$C:$C,[1]analyte_order!$E:$E)</f>
        <v>10</v>
      </c>
      <c r="I1611">
        <v>0.05</v>
      </c>
    </row>
    <row r="1612" spans="1:9" x14ac:dyDescent="0.3">
      <c r="A1612" s="2" t="s">
        <v>89</v>
      </c>
      <c r="B1612" s="3">
        <v>44370.5</v>
      </c>
      <c r="C1612" s="1" t="str">
        <f t="shared" si="27"/>
        <v>21175</v>
      </c>
      <c r="D1612" t="s">
        <v>26</v>
      </c>
      <c r="E1612" s="2" t="s">
        <v>39</v>
      </c>
      <c r="F1612" s="2" t="str">
        <f>_xlfn.XLOOKUP(Table1_1[[#This Row],[CAS_rn]],[1]analyte_order!$C:$C,[1]analyte_order!$B:$B)</f>
        <v>PFTeDA</v>
      </c>
      <c r="G1612" t="s">
        <v>119</v>
      </c>
      <c r="H1612" s="2">
        <f>_xlfn.XLOOKUP(Table1_1[[#This Row],[CAS_rn]],[1]analyte_order!$C:$C,[1]analyte_order!$E:$E)</f>
        <v>11</v>
      </c>
      <c r="I1612">
        <v>0.05</v>
      </c>
    </row>
    <row r="1613" spans="1:9" x14ac:dyDescent="0.3">
      <c r="A1613" s="2" t="s">
        <v>89</v>
      </c>
      <c r="B1613" s="3">
        <v>44370.5</v>
      </c>
      <c r="C1613" s="1" t="str">
        <f t="shared" si="27"/>
        <v>21175</v>
      </c>
      <c r="D1613" t="s">
        <v>26</v>
      </c>
      <c r="E1613" s="2" t="s">
        <v>39</v>
      </c>
      <c r="F1613" s="2" t="str">
        <f>_xlfn.XLOOKUP(Table1_1[[#This Row],[CAS_rn]],[1]analyte_order!$C:$C,[1]analyte_order!$B:$B)</f>
        <v>PFBS</v>
      </c>
      <c r="G1613" t="s">
        <v>120</v>
      </c>
      <c r="H1613" s="2">
        <f>_xlfn.XLOOKUP(Table1_1[[#This Row],[CAS_rn]],[1]analyte_order!$C:$C,[1]analyte_order!$E:$E)</f>
        <v>14</v>
      </c>
      <c r="I1613">
        <v>0.05</v>
      </c>
    </row>
    <row r="1614" spans="1:9" x14ac:dyDescent="0.3">
      <c r="A1614" s="2" t="s">
        <v>89</v>
      </c>
      <c r="B1614" s="3">
        <v>44370.5</v>
      </c>
      <c r="C1614" s="1" t="str">
        <f t="shared" si="27"/>
        <v>21175</v>
      </c>
      <c r="D1614" t="s">
        <v>26</v>
      </c>
      <c r="E1614" s="2" t="s">
        <v>39</v>
      </c>
      <c r="F1614" s="2" t="str">
        <f>_xlfn.XLOOKUP(Table1_1[[#This Row],[CAS_rn]],[1]analyte_order!$C:$C,[1]analyte_order!$B:$B)</f>
        <v>PFPeS</v>
      </c>
      <c r="G1614" t="s">
        <v>121</v>
      </c>
      <c r="H1614" s="2">
        <f>_xlfn.XLOOKUP(Table1_1[[#This Row],[CAS_rn]],[1]analyte_order!$C:$C,[1]analyte_order!$E:$E)</f>
        <v>15</v>
      </c>
      <c r="I1614">
        <v>0.05</v>
      </c>
    </row>
    <row r="1615" spans="1:9" x14ac:dyDescent="0.3">
      <c r="A1615" s="2" t="s">
        <v>89</v>
      </c>
      <c r="B1615" s="3">
        <v>44370.5</v>
      </c>
      <c r="C1615" s="1" t="str">
        <f t="shared" si="27"/>
        <v>21175</v>
      </c>
      <c r="D1615" t="s">
        <v>26</v>
      </c>
      <c r="E1615" s="2" t="s">
        <v>39</v>
      </c>
      <c r="F1615" s="2" t="str">
        <f>_xlfn.XLOOKUP(Table1_1[[#This Row],[CAS_rn]],[1]analyte_order!$C:$C,[1]analyte_order!$B:$B)</f>
        <v>PFHxS</v>
      </c>
      <c r="G1615" t="s">
        <v>122</v>
      </c>
      <c r="H1615" s="2">
        <f>_xlfn.XLOOKUP(Table1_1[[#This Row],[CAS_rn]],[1]analyte_order!$C:$C,[1]analyte_order!$E:$E)</f>
        <v>16</v>
      </c>
      <c r="I1615">
        <v>0.28000000000000003</v>
      </c>
    </row>
    <row r="1616" spans="1:9" x14ac:dyDescent="0.3">
      <c r="A1616" s="2" t="s">
        <v>89</v>
      </c>
      <c r="B1616" s="3">
        <v>44370.5</v>
      </c>
      <c r="C1616" s="1" t="str">
        <f t="shared" si="27"/>
        <v>21175</v>
      </c>
      <c r="D1616" t="s">
        <v>26</v>
      </c>
      <c r="E1616" s="2" t="s">
        <v>39</v>
      </c>
      <c r="F1616" s="2" t="str">
        <f>_xlfn.XLOOKUP(Table1_1[[#This Row],[CAS_rn]],[1]analyte_order!$C:$C,[1]analyte_order!$B:$B)</f>
        <v>PFHpS</v>
      </c>
      <c r="G1616" t="s">
        <v>123</v>
      </c>
      <c r="H1616" s="2">
        <f>_xlfn.XLOOKUP(Table1_1[[#This Row],[CAS_rn]],[1]analyte_order!$C:$C,[1]analyte_order!$E:$E)</f>
        <v>17</v>
      </c>
      <c r="I1616">
        <v>0.05</v>
      </c>
    </row>
    <row r="1617" spans="1:9" x14ac:dyDescent="0.3">
      <c r="A1617" s="2" t="s">
        <v>89</v>
      </c>
      <c r="B1617" s="3">
        <v>44370.5</v>
      </c>
      <c r="C1617" s="1" t="str">
        <f t="shared" si="27"/>
        <v>21175</v>
      </c>
      <c r="D1617" t="s">
        <v>26</v>
      </c>
      <c r="E1617" s="2" t="s">
        <v>39</v>
      </c>
      <c r="F1617" s="2" t="str">
        <f>_xlfn.XLOOKUP(Table1_1[[#This Row],[CAS_rn]],[1]analyte_order!$C:$C,[1]analyte_order!$B:$B)</f>
        <v>PFOS</v>
      </c>
      <c r="G1617" t="s">
        <v>124</v>
      </c>
      <c r="H1617" s="2">
        <f>_xlfn.XLOOKUP(Table1_1[[#This Row],[CAS_rn]],[1]analyte_order!$C:$C,[1]analyte_order!$E:$E)</f>
        <v>18</v>
      </c>
      <c r="I1617">
        <v>0.89</v>
      </c>
    </row>
    <row r="1618" spans="1:9" x14ac:dyDescent="0.3">
      <c r="A1618" s="2" t="s">
        <v>89</v>
      </c>
      <c r="B1618" s="3">
        <v>44370.5</v>
      </c>
      <c r="C1618" s="1" t="str">
        <f t="shared" si="27"/>
        <v>21175</v>
      </c>
      <c r="D1618" t="s">
        <v>26</v>
      </c>
      <c r="E1618" s="2" t="s">
        <v>39</v>
      </c>
      <c r="F1618" s="2" t="str">
        <f>_xlfn.XLOOKUP(Table1_1[[#This Row],[CAS_rn]],[1]analyte_order!$C:$C,[1]analyte_order!$B:$B)</f>
        <v>PFNS</v>
      </c>
      <c r="G1618" t="s">
        <v>125</v>
      </c>
      <c r="H1618" s="2">
        <f>_xlfn.XLOOKUP(Table1_1[[#This Row],[CAS_rn]],[1]analyte_order!$C:$C,[1]analyte_order!$E:$E)</f>
        <v>19</v>
      </c>
      <c r="I1618">
        <v>0.05</v>
      </c>
    </row>
    <row r="1619" spans="1:9" x14ac:dyDescent="0.3">
      <c r="A1619" s="2" t="s">
        <v>89</v>
      </c>
      <c r="B1619" s="3">
        <v>44370.5</v>
      </c>
      <c r="C1619" s="1" t="str">
        <f t="shared" si="27"/>
        <v>21175</v>
      </c>
      <c r="D1619" t="s">
        <v>26</v>
      </c>
      <c r="E1619" s="2" t="s">
        <v>39</v>
      </c>
      <c r="F1619" s="2" t="str">
        <f>_xlfn.XLOOKUP(Table1_1[[#This Row],[CAS_rn]],[1]analyte_order!$C:$C,[1]analyte_order!$B:$B)</f>
        <v>PFDoS</v>
      </c>
      <c r="G1619" t="s">
        <v>126</v>
      </c>
      <c r="H1619" s="2">
        <f>_xlfn.XLOOKUP(Table1_1[[#This Row],[CAS_rn]],[1]analyte_order!$C:$C,[1]analyte_order!$E:$E)</f>
        <v>21</v>
      </c>
      <c r="I1619">
        <v>0.05</v>
      </c>
    </row>
    <row r="1620" spans="1:9" x14ac:dyDescent="0.3">
      <c r="A1620" s="2" t="s">
        <v>89</v>
      </c>
      <c r="B1620" s="3">
        <v>44370.5</v>
      </c>
      <c r="C1620" s="1" t="str">
        <f t="shared" si="27"/>
        <v>21175</v>
      </c>
      <c r="D1620" t="s">
        <v>26</v>
      </c>
      <c r="E1620" s="2" t="s">
        <v>39</v>
      </c>
      <c r="F1620" s="2" t="str">
        <f>_xlfn.XLOOKUP(Table1_1[[#This Row],[CAS_rn]],[1]analyte_order!$C:$C,[1]analyte_order!$B:$B)</f>
        <v>4:2 FTS</v>
      </c>
      <c r="G1620" t="s">
        <v>127</v>
      </c>
      <c r="H1620" s="2">
        <f>_xlfn.XLOOKUP(Table1_1[[#This Row],[CAS_rn]],[1]analyte_order!$C:$C,[1]analyte_order!$E:$E)</f>
        <v>22</v>
      </c>
      <c r="I1620">
        <v>0.2</v>
      </c>
    </row>
    <row r="1621" spans="1:9" x14ac:dyDescent="0.3">
      <c r="A1621" s="2" t="s">
        <v>89</v>
      </c>
      <c r="B1621" s="3">
        <v>44370.5</v>
      </c>
      <c r="C1621" s="1" t="str">
        <f t="shared" si="27"/>
        <v>21175</v>
      </c>
      <c r="D1621" t="s">
        <v>26</v>
      </c>
      <c r="E1621" s="2" t="s">
        <v>39</v>
      </c>
      <c r="F1621" s="2" t="str">
        <f>_xlfn.XLOOKUP(Table1_1[[#This Row],[CAS_rn]],[1]analyte_order!$C:$C,[1]analyte_order!$B:$B)</f>
        <v>6:2 FTS</v>
      </c>
      <c r="G1621" t="s">
        <v>128</v>
      </c>
      <c r="H1621" s="2">
        <f>_xlfn.XLOOKUP(Table1_1[[#This Row],[CAS_rn]],[1]analyte_order!$C:$C,[1]analyte_order!$E:$E)</f>
        <v>23</v>
      </c>
      <c r="I1621">
        <v>0.4</v>
      </c>
    </row>
    <row r="1622" spans="1:9" x14ac:dyDescent="0.3">
      <c r="A1622" s="2" t="s">
        <v>89</v>
      </c>
      <c r="B1622" s="3">
        <v>44370.5</v>
      </c>
      <c r="C1622" s="1" t="str">
        <f t="shared" si="27"/>
        <v>21175</v>
      </c>
      <c r="D1622" t="s">
        <v>26</v>
      </c>
      <c r="E1622" s="2" t="s">
        <v>39</v>
      </c>
      <c r="F1622" s="2" t="str">
        <f>_xlfn.XLOOKUP(Table1_1[[#This Row],[CAS_rn]],[1]analyte_order!$C:$C,[1]analyte_order!$B:$B)</f>
        <v>8:2 FTS</v>
      </c>
      <c r="G1622" t="s">
        <v>129</v>
      </c>
      <c r="H1622" s="2">
        <f>_xlfn.XLOOKUP(Table1_1[[#This Row],[CAS_rn]],[1]analyte_order!$C:$C,[1]analyte_order!$E:$E)</f>
        <v>24</v>
      </c>
      <c r="I1622">
        <v>0.4</v>
      </c>
    </row>
    <row r="1623" spans="1:9" x14ac:dyDescent="0.3">
      <c r="A1623" s="2" t="s">
        <v>89</v>
      </c>
      <c r="B1623" s="3">
        <v>44370.5</v>
      </c>
      <c r="C1623" s="1" t="str">
        <f t="shared" si="27"/>
        <v>21175</v>
      </c>
      <c r="D1623" t="s">
        <v>26</v>
      </c>
      <c r="E1623" s="2" t="s">
        <v>39</v>
      </c>
      <c r="F1623" s="2" t="str">
        <f>_xlfn.XLOOKUP(Table1_1[[#This Row],[CAS_rn]],[1]analyte_order!$C:$C,[1]analyte_order!$B:$B)</f>
        <v>FOSA</v>
      </c>
      <c r="G1623" t="s">
        <v>130</v>
      </c>
      <c r="H1623" s="2">
        <f>_xlfn.XLOOKUP(Table1_1[[#This Row],[CAS_rn]],[1]analyte_order!$C:$C,[1]analyte_order!$E:$E)</f>
        <v>28</v>
      </c>
      <c r="I1623">
        <v>0.09</v>
      </c>
    </row>
    <row r="1624" spans="1:9" x14ac:dyDescent="0.3">
      <c r="A1624" s="2" t="s">
        <v>89</v>
      </c>
      <c r="B1624" s="3">
        <v>44370.5</v>
      </c>
      <c r="C1624" s="1" t="str">
        <f t="shared" si="27"/>
        <v>21175</v>
      </c>
      <c r="D1624" t="s">
        <v>26</v>
      </c>
      <c r="E1624" s="2" t="s">
        <v>39</v>
      </c>
      <c r="F1624" s="2" t="str">
        <f>_xlfn.XLOOKUP(Table1_1[[#This Row],[CAS_rn]],[1]analyte_order!$C:$C,[1]analyte_order!$B:$B)</f>
        <v>N-MeFOSA</v>
      </c>
      <c r="G1624" t="s">
        <v>131</v>
      </c>
      <c r="H1624" s="2">
        <f>_xlfn.XLOOKUP(Table1_1[[#This Row],[CAS_rn]],[1]analyte_order!$C:$C,[1]analyte_order!$E:$E)</f>
        <v>30</v>
      </c>
      <c r="I1624">
        <v>0.05</v>
      </c>
    </row>
    <row r="1625" spans="1:9" x14ac:dyDescent="0.3">
      <c r="A1625" s="2" t="s">
        <v>89</v>
      </c>
      <c r="B1625" s="3">
        <v>44370.5</v>
      </c>
      <c r="C1625" s="1" t="str">
        <f t="shared" si="27"/>
        <v>21175</v>
      </c>
      <c r="D1625" t="s">
        <v>26</v>
      </c>
      <c r="E1625" s="2" t="s">
        <v>39</v>
      </c>
      <c r="F1625" s="2" t="str">
        <f>_xlfn.XLOOKUP(Table1_1[[#This Row],[CAS_rn]],[1]analyte_order!$C:$C,[1]analyte_order!$B:$B)</f>
        <v>N-MeFOSAA</v>
      </c>
      <c r="G1625" t="s">
        <v>132</v>
      </c>
      <c r="H1625" s="2">
        <f>_xlfn.XLOOKUP(Table1_1[[#This Row],[CAS_rn]],[1]analyte_order!$C:$C,[1]analyte_order!$E:$E)</f>
        <v>26</v>
      </c>
      <c r="I1625">
        <v>0.05</v>
      </c>
    </row>
    <row r="1626" spans="1:9" x14ac:dyDescent="0.3">
      <c r="A1626" s="2" t="s">
        <v>89</v>
      </c>
      <c r="B1626" s="3">
        <v>44370.5</v>
      </c>
      <c r="C1626" s="1" t="str">
        <f t="shared" si="27"/>
        <v>21175</v>
      </c>
      <c r="D1626" t="s">
        <v>26</v>
      </c>
      <c r="E1626" s="2" t="s">
        <v>39</v>
      </c>
      <c r="F1626" s="2" t="str">
        <f>_xlfn.XLOOKUP(Table1_1[[#This Row],[CAS_rn]],[1]analyte_order!$C:$C,[1]analyte_order!$B:$B)</f>
        <v>N-EtFOSA</v>
      </c>
      <c r="G1626" t="s">
        <v>133</v>
      </c>
      <c r="H1626" s="2">
        <f>_xlfn.XLOOKUP(Table1_1[[#This Row],[CAS_rn]],[1]analyte_order!$C:$C,[1]analyte_order!$E:$E)</f>
        <v>31</v>
      </c>
      <c r="I1626">
        <v>0.05</v>
      </c>
    </row>
    <row r="1627" spans="1:9" x14ac:dyDescent="0.3">
      <c r="A1627" s="2" t="s">
        <v>89</v>
      </c>
      <c r="B1627" s="3">
        <v>44370.5</v>
      </c>
      <c r="C1627" s="1" t="str">
        <f t="shared" si="27"/>
        <v>21175</v>
      </c>
      <c r="D1627" t="s">
        <v>26</v>
      </c>
      <c r="E1627" s="2" t="s">
        <v>39</v>
      </c>
      <c r="F1627" s="2" t="str">
        <f>_xlfn.XLOOKUP(Table1_1[[#This Row],[CAS_rn]],[1]analyte_order!$C:$C,[1]analyte_order!$B:$B)</f>
        <v>N-EtFOSAA</v>
      </c>
      <c r="G1627" t="s">
        <v>134</v>
      </c>
      <c r="H1627" s="2">
        <f>_xlfn.XLOOKUP(Table1_1[[#This Row],[CAS_rn]],[1]analyte_order!$C:$C,[1]analyte_order!$E:$E)</f>
        <v>27</v>
      </c>
      <c r="I1627">
        <v>0.05</v>
      </c>
    </row>
    <row r="1628" spans="1:9" x14ac:dyDescent="0.3">
      <c r="A1628" s="2" t="s">
        <v>89</v>
      </c>
      <c r="B1628" s="3">
        <v>44370.5</v>
      </c>
      <c r="C1628" s="1" t="str">
        <f t="shared" si="27"/>
        <v>21175</v>
      </c>
      <c r="D1628" t="s">
        <v>26</v>
      </c>
      <c r="E1628" s="2" t="s">
        <v>39</v>
      </c>
      <c r="F1628" s="2" t="str">
        <f>_xlfn.XLOOKUP(Table1_1[[#This Row],[CAS_rn]],[1]analyte_order!$C:$C,[1]analyte_order!$B:$B)</f>
        <v>N-MeFOSE</v>
      </c>
      <c r="G1628" t="s">
        <v>135</v>
      </c>
      <c r="H1628" s="2">
        <f>_xlfn.XLOOKUP(Table1_1[[#This Row],[CAS_rn]],[1]analyte_order!$C:$C,[1]analyte_order!$E:$E)</f>
        <v>32</v>
      </c>
      <c r="I1628">
        <v>0.5</v>
      </c>
    </row>
    <row r="1629" spans="1:9" x14ac:dyDescent="0.3">
      <c r="A1629" s="2" t="s">
        <v>89</v>
      </c>
      <c r="B1629" s="3">
        <v>44370.5</v>
      </c>
      <c r="C1629" s="1" t="str">
        <f t="shared" si="27"/>
        <v>21175</v>
      </c>
      <c r="D1629" t="s">
        <v>26</v>
      </c>
      <c r="E1629" s="2" t="s">
        <v>39</v>
      </c>
      <c r="F1629" s="2" t="str">
        <f>_xlfn.XLOOKUP(Table1_1[[#This Row],[CAS_rn]],[1]analyte_order!$C:$C,[1]analyte_order!$B:$B)</f>
        <v>N-EtFOSE</v>
      </c>
      <c r="G1629" t="s">
        <v>136</v>
      </c>
      <c r="H1629" s="2">
        <f>_xlfn.XLOOKUP(Table1_1[[#This Row],[CAS_rn]],[1]analyte_order!$C:$C,[1]analyte_order!$E:$E)</f>
        <v>33</v>
      </c>
      <c r="I1629">
        <v>0.5</v>
      </c>
    </row>
    <row r="1630" spans="1:9" x14ac:dyDescent="0.3">
      <c r="A1630" s="2" t="s">
        <v>89</v>
      </c>
      <c r="B1630" s="3">
        <v>44370.5</v>
      </c>
      <c r="C1630" s="1" t="str">
        <f t="shared" si="27"/>
        <v>21175</v>
      </c>
      <c r="D1630" t="s">
        <v>26</v>
      </c>
      <c r="E1630" s="2" t="s">
        <v>39</v>
      </c>
      <c r="F1630" s="2" t="str">
        <f>_xlfn.XLOOKUP(Table1_1[[#This Row],[CAS_rn]],[1]analyte_order!$C:$C,[1]analyte_order!$B:$B)</f>
        <v>HFPO-DA</v>
      </c>
      <c r="G1630" t="s">
        <v>137</v>
      </c>
      <c r="H1630" s="2">
        <f>_xlfn.XLOOKUP(Table1_1[[#This Row],[CAS_rn]],[1]analyte_order!$C:$C,[1]analyte_order!$E:$E)</f>
        <v>34</v>
      </c>
      <c r="I1630">
        <v>0.3</v>
      </c>
    </row>
    <row r="1631" spans="1:9" x14ac:dyDescent="0.3">
      <c r="A1631" s="2" t="s">
        <v>89</v>
      </c>
      <c r="B1631" s="3">
        <v>44370.5</v>
      </c>
      <c r="C1631" s="1" t="str">
        <f t="shared" si="27"/>
        <v>21175</v>
      </c>
      <c r="D1631" t="s">
        <v>26</v>
      </c>
      <c r="E1631" s="2" t="s">
        <v>39</v>
      </c>
      <c r="F1631" s="2" t="str">
        <f>_xlfn.XLOOKUP(Table1_1[[#This Row],[CAS_rn]],[1]analyte_order!$C:$C,[1]analyte_order!$B:$B)</f>
        <v>ADONA</v>
      </c>
      <c r="G1631" t="s">
        <v>138</v>
      </c>
      <c r="H1631" s="2">
        <f>_xlfn.XLOOKUP(Table1_1[[#This Row],[CAS_rn]],[1]analyte_order!$C:$C,[1]analyte_order!$E:$E)</f>
        <v>35</v>
      </c>
      <c r="I1631">
        <v>0.2</v>
      </c>
    </row>
    <row r="1632" spans="1:9" x14ac:dyDescent="0.3">
      <c r="A1632" s="2" t="s">
        <v>89</v>
      </c>
      <c r="B1632" s="3">
        <v>44370.5</v>
      </c>
      <c r="C1632" s="1" t="str">
        <f t="shared" si="27"/>
        <v>21175</v>
      </c>
      <c r="D1632" t="s">
        <v>26</v>
      </c>
      <c r="E1632" s="2" t="s">
        <v>39</v>
      </c>
      <c r="F1632" s="2" t="str">
        <f>_xlfn.XLOOKUP(Table1_1[[#This Row],[CAS_rn]],[1]analyte_order!$C:$C,[1]analyte_order!$B:$B)</f>
        <v>PFMBA</v>
      </c>
      <c r="G1632" t="s">
        <v>139</v>
      </c>
      <c r="H1632" s="2">
        <f>_xlfn.XLOOKUP(Table1_1[[#This Row],[CAS_rn]],[1]analyte_order!$C:$C,[1]analyte_order!$E:$E)</f>
        <v>48</v>
      </c>
      <c r="I1632">
        <v>0.1</v>
      </c>
    </row>
    <row r="1633" spans="1:9" x14ac:dyDescent="0.3">
      <c r="A1633" s="2" t="s">
        <v>89</v>
      </c>
      <c r="B1633" s="3">
        <v>44370.5</v>
      </c>
      <c r="C1633" s="1" t="str">
        <f t="shared" si="27"/>
        <v>21175</v>
      </c>
      <c r="D1633" t="s">
        <v>26</v>
      </c>
      <c r="E1633" s="2" t="s">
        <v>39</v>
      </c>
      <c r="F1633" s="2" t="str">
        <f>_xlfn.XLOOKUP(Table1_1[[#This Row],[CAS_rn]],[1]analyte_order!$C:$C,[1]analyte_order!$B:$B)</f>
        <v>NFDHA</v>
      </c>
      <c r="G1633" t="s">
        <v>140</v>
      </c>
      <c r="H1633" s="2">
        <f>_xlfn.XLOOKUP(Table1_1[[#This Row],[CAS_rn]],[1]analyte_order!$C:$C,[1]analyte_order!$E:$E)</f>
        <v>50</v>
      </c>
      <c r="I1633">
        <v>0.1</v>
      </c>
    </row>
    <row r="1634" spans="1:9" x14ac:dyDescent="0.3">
      <c r="A1634" s="2" t="s">
        <v>89</v>
      </c>
      <c r="B1634" s="3">
        <v>44370.5</v>
      </c>
      <c r="C1634" s="1" t="str">
        <f t="shared" si="27"/>
        <v>21175</v>
      </c>
      <c r="D1634" t="s">
        <v>26</v>
      </c>
      <c r="E1634" s="2" t="s">
        <v>39</v>
      </c>
      <c r="F1634" s="2" t="str">
        <f>_xlfn.XLOOKUP(Table1_1[[#This Row],[CAS_rn]],[1]analyte_order!$C:$C,[1]analyte_order!$B:$B)</f>
        <v>9Cl-PF3ONS</v>
      </c>
      <c r="G1634" t="s">
        <v>141</v>
      </c>
      <c r="H1634" s="2">
        <f>_xlfn.XLOOKUP(Table1_1[[#This Row],[CAS_rn]],[1]analyte_order!$C:$C,[1]analyte_order!$E:$E)</f>
        <v>36</v>
      </c>
      <c r="I1634">
        <v>0.2</v>
      </c>
    </row>
    <row r="1635" spans="1:9" x14ac:dyDescent="0.3">
      <c r="A1635" s="2" t="s">
        <v>89</v>
      </c>
      <c r="B1635" s="3">
        <v>44370.5</v>
      </c>
      <c r="C1635" s="1" t="str">
        <f t="shared" si="27"/>
        <v>21175</v>
      </c>
      <c r="D1635" t="s">
        <v>26</v>
      </c>
      <c r="E1635" s="2" t="s">
        <v>39</v>
      </c>
      <c r="F1635" s="2" t="str">
        <f>_xlfn.XLOOKUP(Table1_1[[#This Row],[CAS_rn]],[1]analyte_order!$C:$C,[1]analyte_order!$B:$B)</f>
        <v>11Cl-PF3OUdS</v>
      </c>
      <c r="G1635" t="s">
        <v>142</v>
      </c>
      <c r="H1635" s="2">
        <f>_xlfn.XLOOKUP(Table1_1[[#This Row],[CAS_rn]],[1]analyte_order!$C:$C,[1]analyte_order!$E:$E)</f>
        <v>37</v>
      </c>
      <c r="I1635">
        <v>0.2</v>
      </c>
    </row>
    <row r="1636" spans="1:9" x14ac:dyDescent="0.3">
      <c r="A1636" s="2" t="s">
        <v>89</v>
      </c>
      <c r="B1636" s="3">
        <v>44370.5</v>
      </c>
      <c r="C1636" s="1" t="str">
        <f t="shared" si="27"/>
        <v>21175</v>
      </c>
      <c r="D1636" t="s">
        <v>26</v>
      </c>
      <c r="E1636" s="2" t="s">
        <v>39</v>
      </c>
      <c r="F1636" s="2" t="str">
        <f>_xlfn.XLOOKUP(Table1_1[[#This Row],[CAS_rn]],[1]analyte_order!$C:$C,[1]analyte_order!$B:$B)</f>
        <v>PFEESA</v>
      </c>
      <c r="G1636" t="s">
        <v>143</v>
      </c>
      <c r="H1636" s="2">
        <f>_xlfn.XLOOKUP(Table1_1[[#This Row],[CAS_rn]],[1]analyte_order!$C:$C,[1]analyte_order!$E:$E)</f>
        <v>47</v>
      </c>
      <c r="I1636">
        <v>0.1</v>
      </c>
    </row>
    <row r="1637" spans="1:9" x14ac:dyDescent="0.3">
      <c r="A1637" s="2" t="s">
        <v>89</v>
      </c>
      <c r="B1637" s="3">
        <v>44370.5</v>
      </c>
      <c r="C1637" s="1" t="str">
        <f t="shared" si="27"/>
        <v>21175</v>
      </c>
      <c r="D1637" t="s">
        <v>26</v>
      </c>
      <c r="E1637" s="2" t="s">
        <v>39</v>
      </c>
      <c r="F1637" s="2" t="str">
        <f>_xlfn.XLOOKUP(Table1_1[[#This Row],[CAS_rn]],[1]analyte_order!$C:$C,[1]analyte_order!$B:$B)</f>
        <v>3:3 FTCA</v>
      </c>
      <c r="G1637" t="s">
        <v>144</v>
      </c>
      <c r="H1637" s="2">
        <f>_xlfn.XLOOKUP(Table1_1[[#This Row],[CAS_rn]],[1]analyte_order!$C:$C,[1]analyte_order!$E:$E)</f>
        <v>38</v>
      </c>
      <c r="I1637">
        <v>0.25</v>
      </c>
    </row>
    <row r="1638" spans="1:9" x14ac:dyDescent="0.3">
      <c r="A1638" s="2" t="s">
        <v>89</v>
      </c>
      <c r="B1638" s="3">
        <v>44370.5</v>
      </c>
      <c r="C1638" s="1" t="str">
        <f t="shared" si="27"/>
        <v>21175</v>
      </c>
      <c r="D1638" t="s">
        <v>26</v>
      </c>
      <c r="E1638" s="2" t="s">
        <v>39</v>
      </c>
      <c r="F1638" s="2" t="str">
        <f>_xlfn.XLOOKUP(Table1_1[[#This Row],[CAS_rn]],[1]analyte_order!$C:$C,[1]analyte_order!$B:$B)</f>
        <v>5:3 FTCA</v>
      </c>
      <c r="G1638" t="s">
        <v>145</v>
      </c>
      <c r="H1638" s="2">
        <f>_xlfn.XLOOKUP(Table1_1[[#This Row],[CAS_rn]],[1]analyte_order!$C:$C,[1]analyte_order!$E:$E)</f>
        <v>39</v>
      </c>
      <c r="I1638">
        <v>1.25</v>
      </c>
    </row>
    <row r="1639" spans="1:9" x14ac:dyDescent="0.3">
      <c r="A1639" s="2" t="s">
        <v>89</v>
      </c>
      <c r="B1639" s="3">
        <v>44370.5</v>
      </c>
      <c r="C1639" s="1" t="str">
        <f t="shared" si="27"/>
        <v>21175</v>
      </c>
      <c r="D1639" t="s">
        <v>26</v>
      </c>
      <c r="E1639" s="2" t="s">
        <v>39</v>
      </c>
      <c r="F1639" s="2" t="str">
        <f>_xlfn.XLOOKUP(Table1_1[[#This Row],[CAS_rn]],[1]analyte_order!$C:$C,[1]analyte_order!$B:$B)</f>
        <v>7:3 FTCA</v>
      </c>
      <c r="G1639" t="s">
        <v>146</v>
      </c>
      <c r="H1639" s="2">
        <f>_xlfn.XLOOKUP(Table1_1[[#This Row],[CAS_rn]],[1]analyte_order!$C:$C,[1]analyte_order!$E:$E)</f>
        <v>40</v>
      </c>
      <c r="I1639">
        <v>1.25</v>
      </c>
    </row>
    <row r="1640" spans="1:9" x14ac:dyDescent="0.3">
      <c r="A1640" s="2" t="s">
        <v>89</v>
      </c>
      <c r="B1640" s="3">
        <v>44370.5</v>
      </c>
      <c r="C1640" s="1" t="str">
        <f t="shared" si="27"/>
        <v>21175</v>
      </c>
      <c r="D1640" t="s">
        <v>26</v>
      </c>
      <c r="E1640" s="2" t="s">
        <v>39</v>
      </c>
      <c r="F1640" s="2" t="str">
        <f>_xlfn.XLOOKUP(Table1_1[[#This Row],[CAS_rn]],[1]analyte_order!$C:$C,[1]analyte_order!$B:$B)</f>
        <v>PFDS</v>
      </c>
      <c r="G1640" t="s">
        <v>147</v>
      </c>
      <c r="H1640" s="2">
        <f>_xlfn.XLOOKUP(Table1_1[[#This Row],[CAS_rn]],[1]analyte_order!$C:$C,[1]analyte_order!$E:$E)</f>
        <v>20</v>
      </c>
      <c r="I1640">
        <v>0.05</v>
      </c>
    </row>
    <row r="1641" spans="1:9" x14ac:dyDescent="0.3">
      <c r="A1641" s="2" t="s">
        <v>89</v>
      </c>
      <c r="B1641" s="3">
        <v>44370.5</v>
      </c>
      <c r="C1641" s="1" t="str">
        <f t="shared" si="27"/>
        <v>21175</v>
      </c>
      <c r="D1641" t="s">
        <v>26</v>
      </c>
      <c r="E1641" s="2" t="s">
        <v>39</v>
      </c>
      <c r="F1641" s="2" t="str">
        <f>_xlfn.XLOOKUP(Table1_1[[#This Row],[CAS_rn]],[1]analyte_order!$C:$C,[1]analyte_order!$B:$B)</f>
        <v>PFMPA</v>
      </c>
      <c r="G1641" t="s">
        <v>148</v>
      </c>
      <c r="H1641" s="2">
        <f>_xlfn.XLOOKUP(Table1_1[[#This Row],[CAS_rn]],[1]analyte_order!$C:$C,[1]analyte_order!$E:$E)</f>
        <v>49</v>
      </c>
      <c r="I1641">
        <v>0.1</v>
      </c>
    </row>
    <row r="1642" spans="1:9" x14ac:dyDescent="0.3">
      <c r="A1642" s="2" t="s">
        <v>90</v>
      </c>
      <c r="B1642" s="3">
        <v>44370.5</v>
      </c>
      <c r="C1642" s="1" t="str">
        <f t="shared" si="27"/>
        <v>21175</v>
      </c>
      <c r="D1642" t="s">
        <v>31</v>
      </c>
      <c r="E1642" s="2" t="s">
        <v>39</v>
      </c>
      <c r="F1642" s="2" t="str">
        <f>_xlfn.XLOOKUP(Table1_1[[#This Row],[CAS_rn]],[1]analyte_order!$C:$C,[1]analyte_order!$B:$B)</f>
        <v>PFBA</v>
      </c>
      <c r="G1642" t="s">
        <v>109</v>
      </c>
      <c r="H1642" s="2">
        <f>_xlfn.XLOOKUP(Table1_1[[#This Row],[CAS_rn]],[1]analyte_order!$C:$C,[1]analyte_order!$E:$E)</f>
        <v>1</v>
      </c>
      <c r="I1642">
        <v>0.2</v>
      </c>
    </row>
    <row r="1643" spans="1:9" x14ac:dyDescent="0.3">
      <c r="A1643" s="2" t="s">
        <v>90</v>
      </c>
      <c r="B1643" s="3">
        <v>44370.5</v>
      </c>
      <c r="C1643" s="1" t="str">
        <f t="shared" si="27"/>
        <v>21175</v>
      </c>
      <c r="D1643" t="s">
        <v>31</v>
      </c>
      <c r="E1643" s="2" t="s">
        <v>39</v>
      </c>
      <c r="F1643" s="2" t="str">
        <f>_xlfn.XLOOKUP(Table1_1[[#This Row],[CAS_rn]],[1]analyte_order!$C:$C,[1]analyte_order!$B:$B)</f>
        <v>PFPeA</v>
      </c>
      <c r="G1643" t="s">
        <v>110</v>
      </c>
      <c r="H1643" s="2">
        <f>_xlfn.XLOOKUP(Table1_1[[#This Row],[CAS_rn]],[1]analyte_order!$C:$C,[1]analyte_order!$E:$E)</f>
        <v>2</v>
      </c>
      <c r="I1643">
        <v>0.1</v>
      </c>
    </row>
    <row r="1644" spans="1:9" x14ac:dyDescent="0.3">
      <c r="A1644" s="2" t="s">
        <v>90</v>
      </c>
      <c r="B1644" s="3">
        <v>44370.5</v>
      </c>
      <c r="C1644" s="1" t="str">
        <f t="shared" si="27"/>
        <v>21175</v>
      </c>
      <c r="D1644" t="s">
        <v>31</v>
      </c>
      <c r="E1644" s="2" t="s">
        <v>39</v>
      </c>
      <c r="F1644" s="2" t="str">
        <f>_xlfn.XLOOKUP(Table1_1[[#This Row],[CAS_rn]],[1]analyte_order!$C:$C,[1]analyte_order!$B:$B)</f>
        <v>PFHxA</v>
      </c>
      <c r="G1644" t="s">
        <v>111</v>
      </c>
      <c r="H1644" s="2">
        <f>_xlfn.XLOOKUP(Table1_1[[#This Row],[CAS_rn]],[1]analyte_order!$C:$C,[1]analyte_order!$E:$E)</f>
        <v>3</v>
      </c>
      <c r="I1644">
        <v>0.13</v>
      </c>
    </row>
    <row r="1645" spans="1:9" x14ac:dyDescent="0.3">
      <c r="A1645" s="2" t="s">
        <v>90</v>
      </c>
      <c r="B1645" s="3">
        <v>44370.5</v>
      </c>
      <c r="C1645" s="1" t="str">
        <f t="shared" si="27"/>
        <v>21175</v>
      </c>
      <c r="D1645" t="s">
        <v>31</v>
      </c>
      <c r="E1645" s="2" t="s">
        <v>39</v>
      </c>
      <c r="F1645" s="2" t="str">
        <f>_xlfn.XLOOKUP(Table1_1[[#This Row],[CAS_rn]],[1]analyte_order!$C:$C,[1]analyte_order!$B:$B)</f>
        <v>PFHpA</v>
      </c>
      <c r="G1645" t="s">
        <v>112</v>
      </c>
      <c r="H1645" s="2">
        <f>_xlfn.XLOOKUP(Table1_1[[#This Row],[CAS_rn]],[1]analyte_order!$C:$C,[1]analyte_order!$E:$E)</f>
        <v>4</v>
      </c>
      <c r="I1645">
        <v>0.09</v>
      </c>
    </row>
    <row r="1646" spans="1:9" x14ac:dyDescent="0.3">
      <c r="A1646" s="2" t="s">
        <v>90</v>
      </c>
      <c r="B1646" s="3">
        <v>44370.5</v>
      </c>
      <c r="C1646" s="1" t="str">
        <f t="shared" si="27"/>
        <v>21175</v>
      </c>
      <c r="D1646" t="s">
        <v>31</v>
      </c>
      <c r="E1646" s="2" t="s">
        <v>39</v>
      </c>
      <c r="F1646" s="2" t="str">
        <f>_xlfn.XLOOKUP(Table1_1[[#This Row],[CAS_rn]],[1]analyte_order!$C:$C,[1]analyte_order!$B:$B)</f>
        <v>PFOA</v>
      </c>
      <c r="G1646" t="s">
        <v>113</v>
      </c>
      <c r="H1646" s="2">
        <f>_xlfn.XLOOKUP(Table1_1[[#This Row],[CAS_rn]],[1]analyte_order!$C:$C,[1]analyte_order!$E:$E)</f>
        <v>5</v>
      </c>
      <c r="I1646">
        <v>0.13</v>
      </c>
    </row>
    <row r="1647" spans="1:9" x14ac:dyDescent="0.3">
      <c r="A1647" s="2" t="s">
        <v>90</v>
      </c>
      <c r="B1647" s="3">
        <v>44370.5</v>
      </c>
      <c r="C1647" s="1" t="str">
        <f t="shared" si="27"/>
        <v>21175</v>
      </c>
      <c r="D1647" t="s">
        <v>31</v>
      </c>
      <c r="E1647" s="2" t="s">
        <v>39</v>
      </c>
      <c r="F1647" s="2" t="str">
        <f>_xlfn.XLOOKUP(Table1_1[[#This Row],[CAS_rn]],[1]analyte_order!$C:$C,[1]analyte_order!$B:$B)</f>
        <v>PFNA</v>
      </c>
      <c r="G1647" t="s">
        <v>114</v>
      </c>
      <c r="H1647" s="2">
        <f>_xlfn.XLOOKUP(Table1_1[[#This Row],[CAS_rn]],[1]analyte_order!$C:$C,[1]analyte_order!$E:$E)</f>
        <v>6</v>
      </c>
      <c r="I1647">
        <v>0.05</v>
      </c>
    </row>
    <row r="1648" spans="1:9" x14ac:dyDescent="0.3">
      <c r="A1648" s="2" t="s">
        <v>90</v>
      </c>
      <c r="B1648" s="3">
        <v>44370.5</v>
      </c>
      <c r="C1648" s="1" t="str">
        <f t="shared" si="27"/>
        <v>21175</v>
      </c>
      <c r="D1648" t="s">
        <v>31</v>
      </c>
      <c r="E1648" s="2" t="s">
        <v>39</v>
      </c>
      <c r="F1648" s="2" t="str">
        <f>_xlfn.XLOOKUP(Table1_1[[#This Row],[CAS_rn]],[1]analyte_order!$C:$C,[1]analyte_order!$B:$B)</f>
        <v>PFDA</v>
      </c>
      <c r="G1648" t="s">
        <v>115</v>
      </c>
      <c r="H1648" s="2">
        <f>_xlfn.XLOOKUP(Table1_1[[#This Row],[CAS_rn]],[1]analyte_order!$C:$C,[1]analyte_order!$E:$E)</f>
        <v>7</v>
      </c>
      <c r="I1648">
        <v>0.05</v>
      </c>
    </row>
    <row r="1649" spans="1:9" x14ac:dyDescent="0.3">
      <c r="A1649" s="2" t="s">
        <v>90</v>
      </c>
      <c r="B1649" s="3">
        <v>44370.5</v>
      </c>
      <c r="C1649" s="1" t="str">
        <f t="shared" si="27"/>
        <v>21175</v>
      </c>
      <c r="D1649" t="s">
        <v>31</v>
      </c>
      <c r="E1649" s="2" t="s">
        <v>39</v>
      </c>
      <c r="F1649" s="2" t="str">
        <f>_xlfn.XLOOKUP(Table1_1[[#This Row],[CAS_rn]],[1]analyte_order!$C:$C,[1]analyte_order!$B:$B)</f>
        <v>PFUnA</v>
      </c>
      <c r="G1649" t="s">
        <v>116</v>
      </c>
      <c r="H1649" s="2">
        <f>_xlfn.XLOOKUP(Table1_1[[#This Row],[CAS_rn]],[1]analyte_order!$C:$C,[1]analyte_order!$E:$E)</f>
        <v>8</v>
      </c>
      <c r="I1649">
        <v>0.05</v>
      </c>
    </row>
    <row r="1650" spans="1:9" x14ac:dyDescent="0.3">
      <c r="A1650" s="2" t="s">
        <v>90</v>
      </c>
      <c r="B1650" s="3">
        <v>44370.5</v>
      </c>
      <c r="C1650" s="1" t="str">
        <f t="shared" si="27"/>
        <v>21175</v>
      </c>
      <c r="D1650" t="s">
        <v>31</v>
      </c>
      <c r="E1650" s="2" t="s">
        <v>39</v>
      </c>
      <c r="F1650" s="2" t="str">
        <f>_xlfn.XLOOKUP(Table1_1[[#This Row],[CAS_rn]],[1]analyte_order!$C:$C,[1]analyte_order!$B:$B)</f>
        <v>PFDoA</v>
      </c>
      <c r="G1650" t="s">
        <v>117</v>
      </c>
      <c r="H1650" s="2">
        <f>_xlfn.XLOOKUP(Table1_1[[#This Row],[CAS_rn]],[1]analyte_order!$C:$C,[1]analyte_order!$E:$E)</f>
        <v>9</v>
      </c>
      <c r="I1650">
        <v>0.05</v>
      </c>
    </row>
    <row r="1651" spans="1:9" x14ac:dyDescent="0.3">
      <c r="A1651" s="2" t="s">
        <v>90</v>
      </c>
      <c r="B1651" s="3">
        <v>44370.5</v>
      </c>
      <c r="C1651" s="1" t="str">
        <f t="shared" si="27"/>
        <v>21175</v>
      </c>
      <c r="D1651" t="s">
        <v>31</v>
      </c>
      <c r="E1651" s="2" t="s">
        <v>39</v>
      </c>
      <c r="F1651" s="2" t="str">
        <f>_xlfn.XLOOKUP(Table1_1[[#This Row],[CAS_rn]],[1]analyte_order!$C:$C,[1]analyte_order!$B:$B)</f>
        <v>PFTrDA</v>
      </c>
      <c r="G1651" t="s">
        <v>118</v>
      </c>
      <c r="H1651" s="2">
        <f>_xlfn.XLOOKUP(Table1_1[[#This Row],[CAS_rn]],[1]analyte_order!$C:$C,[1]analyte_order!$E:$E)</f>
        <v>10</v>
      </c>
      <c r="I1651">
        <v>0.05</v>
      </c>
    </row>
    <row r="1652" spans="1:9" x14ac:dyDescent="0.3">
      <c r="A1652" s="2" t="s">
        <v>90</v>
      </c>
      <c r="B1652" s="3">
        <v>44370.5</v>
      </c>
      <c r="C1652" s="1" t="str">
        <f t="shared" si="27"/>
        <v>21175</v>
      </c>
      <c r="D1652" t="s">
        <v>31</v>
      </c>
      <c r="E1652" s="2" t="s">
        <v>39</v>
      </c>
      <c r="F1652" s="2" t="str">
        <f>_xlfn.XLOOKUP(Table1_1[[#This Row],[CAS_rn]],[1]analyte_order!$C:$C,[1]analyte_order!$B:$B)</f>
        <v>PFTeDA</v>
      </c>
      <c r="G1652" t="s">
        <v>119</v>
      </c>
      <c r="H1652" s="2">
        <f>_xlfn.XLOOKUP(Table1_1[[#This Row],[CAS_rn]],[1]analyte_order!$C:$C,[1]analyte_order!$E:$E)</f>
        <v>11</v>
      </c>
      <c r="I1652">
        <v>0.05</v>
      </c>
    </row>
    <row r="1653" spans="1:9" x14ac:dyDescent="0.3">
      <c r="A1653" s="2" t="s">
        <v>90</v>
      </c>
      <c r="B1653" s="3">
        <v>44370.5</v>
      </c>
      <c r="C1653" s="1" t="str">
        <f t="shared" si="27"/>
        <v>21175</v>
      </c>
      <c r="D1653" t="s">
        <v>31</v>
      </c>
      <c r="E1653" s="2" t="s">
        <v>39</v>
      </c>
      <c r="F1653" s="2" t="str">
        <f>_xlfn.XLOOKUP(Table1_1[[#This Row],[CAS_rn]],[1]analyte_order!$C:$C,[1]analyte_order!$B:$B)</f>
        <v>PFBS</v>
      </c>
      <c r="G1653" t="s">
        <v>120</v>
      </c>
      <c r="H1653" s="2">
        <f>_xlfn.XLOOKUP(Table1_1[[#This Row],[CAS_rn]],[1]analyte_order!$C:$C,[1]analyte_order!$E:$E)</f>
        <v>14</v>
      </c>
      <c r="I1653">
        <v>0.05</v>
      </c>
    </row>
    <row r="1654" spans="1:9" x14ac:dyDescent="0.3">
      <c r="A1654" s="2" t="s">
        <v>90</v>
      </c>
      <c r="B1654" s="3">
        <v>44370.5</v>
      </c>
      <c r="C1654" s="1" t="str">
        <f t="shared" si="27"/>
        <v>21175</v>
      </c>
      <c r="D1654" t="s">
        <v>31</v>
      </c>
      <c r="E1654" s="2" t="s">
        <v>39</v>
      </c>
      <c r="F1654" s="2" t="str">
        <f>_xlfn.XLOOKUP(Table1_1[[#This Row],[CAS_rn]],[1]analyte_order!$C:$C,[1]analyte_order!$B:$B)</f>
        <v>PFPeS</v>
      </c>
      <c r="G1654" t="s">
        <v>121</v>
      </c>
      <c r="H1654" s="2">
        <f>_xlfn.XLOOKUP(Table1_1[[#This Row],[CAS_rn]],[1]analyte_order!$C:$C,[1]analyte_order!$E:$E)</f>
        <v>15</v>
      </c>
      <c r="I1654">
        <v>0.05</v>
      </c>
    </row>
    <row r="1655" spans="1:9" x14ac:dyDescent="0.3">
      <c r="A1655" s="2" t="s">
        <v>90</v>
      </c>
      <c r="B1655" s="3">
        <v>44370.5</v>
      </c>
      <c r="C1655" s="1" t="str">
        <f t="shared" si="27"/>
        <v>21175</v>
      </c>
      <c r="D1655" t="s">
        <v>31</v>
      </c>
      <c r="E1655" s="2" t="s">
        <v>39</v>
      </c>
      <c r="F1655" s="2" t="str">
        <f>_xlfn.XLOOKUP(Table1_1[[#This Row],[CAS_rn]],[1]analyte_order!$C:$C,[1]analyte_order!$B:$B)</f>
        <v>PFHxS</v>
      </c>
      <c r="G1655" t="s">
        <v>122</v>
      </c>
      <c r="H1655" s="2">
        <f>_xlfn.XLOOKUP(Table1_1[[#This Row],[CAS_rn]],[1]analyte_order!$C:$C,[1]analyte_order!$E:$E)</f>
        <v>16</v>
      </c>
      <c r="I1655">
        <v>0.41</v>
      </c>
    </row>
    <row r="1656" spans="1:9" x14ac:dyDescent="0.3">
      <c r="A1656" s="2" t="s">
        <v>90</v>
      </c>
      <c r="B1656" s="3">
        <v>44370.5</v>
      </c>
      <c r="C1656" s="1" t="str">
        <f t="shared" si="27"/>
        <v>21175</v>
      </c>
      <c r="D1656" t="s">
        <v>31</v>
      </c>
      <c r="E1656" s="2" t="s">
        <v>39</v>
      </c>
      <c r="F1656" s="2" t="str">
        <f>_xlfn.XLOOKUP(Table1_1[[#This Row],[CAS_rn]],[1]analyte_order!$C:$C,[1]analyte_order!$B:$B)</f>
        <v>PFHpS</v>
      </c>
      <c r="G1656" t="s">
        <v>123</v>
      </c>
      <c r="H1656" s="2">
        <f>_xlfn.XLOOKUP(Table1_1[[#This Row],[CAS_rn]],[1]analyte_order!$C:$C,[1]analyte_order!$E:$E)</f>
        <v>17</v>
      </c>
      <c r="I1656">
        <v>0.05</v>
      </c>
    </row>
    <row r="1657" spans="1:9" x14ac:dyDescent="0.3">
      <c r="A1657" s="2" t="s">
        <v>90</v>
      </c>
      <c r="B1657" s="3">
        <v>44370.5</v>
      </c>
      <c r="C1657" s="1" t="str">
        <f t="shared" si="27"/>
        <v>21175</v>
      </c>
      <c r="D1657" t="s">
        <v>31</v>
      </c>
      <c r="E1657" s="2" t="s">
        <v>39</v>
      </c>
      <c r="F1657" s="2" t="str">
        <f>_xlfn.XLOOKUP(Table1_1[[#This Row],[CAS_rn]],[1]analyte_order!$C:$C,[1]analyte_order!$B:$B)</f>
        <v>PFOS</v>
      </c>
      <c r="G1657" t="s">
        <v>124</v>
      </c>
      <c r="H1657" s="2">
        <f>_xlfn.XLOOKUP(Table1_1[[#This Row],[CAS_rn]],[1]analyte_order!$C:$C,[1]analyte_order!$E:$E)</f>
        <v>18</v>
      </c>
      <c r="I1657">
        <v>2.4</v>
      </c>
    </row>
    <row r="1658" spans="1:9" x14ac:dyDescent="0.3">
      <c r="A1658" s="2" t="s">
        <v>90</v>
      </c>
      <c r="B1658" s="3">
        <v>44370.5</v>
      </c>
      <c r="C1658" s="1" t="str">
        <f t="shared" si="27"/>
        <v>21175</v>
      </c>
      <c r="D1658" t="s">
        <v>31</v>
      </c>
      <c r="E1658" s="2" t="s">
        <v>39</v>
      </c>
      <c r="F1658" s="2" t="str">
        <f>_xlfn.XLOOKUP(Table1_1[[#This Row],[CAS_rn]],[1]analyte_order!$C:$C,[1]analyte_order!$B:$B)</f>
        <v>PFNS</v>
      </c>
      <c r="G1658" t="s">
        <v>125</v>
      </c>
      <c r="H1658" s="2">
        <f>_xlfn.XLOOKUP(Table1_1[[#This Row],[CAS_rn]],[1]analyte_order!$C:$C,[1]analyte_order!$E:$E)</f>
        <v>19</v>
      </c>
      <c r="I1658">
        <v>0.05</v>
      </c>
    </row>
    <row r="1659" spans="1:9" x14ac:dyDescent="0.3">
      <c r="A1659" s="2" t="s">
        <v>90</v>
      </c>
      <c r="B1659" s="3">
        <v>44370.5</v>
      </c>
      <c r="C1659" s="1" t="str">
        <f t="shared" si="27"/>
        <v>21175</v>
      </c>
      <c r="D1659" t="s">
        <v>31</v>
      </c>
      <c r="E1659" s="2" t="s">
        <v>39</v>
      </c>
      <c r="F1659" s="2" t="str">
        <f>_xlfn.XLOOKUP(Table1_1[[#This Row],[CAS_rn]],[1]analyte_order!$C:$C,[1]analyte_order!$B:$B)</f>
        <v>PFDoS</v>
      </c>
      <c r="G1659" t="s">
        <v>126</v>
      </c>
      <c r="H1659" s="2">
        <f>_xlfn.XLOOKUP(Table1_1[[#This Row],[CAS_rn]],[1]analyte_order!$C:$C,[1]analyte_order!$E:$E)</f>
        <v>21</v>
      </c>
      <c r="I1659">
        <v>0.05</v>
      </c>
    </row>
    <row r="1660" spans="1:9" x14ac:dyDescent="0.3">
      <c r="A1660" s="2" t="s">
        <v>90</v>
      </c>
      <c r="B1660" s="3">
        <v>44370.5</v>
      </c>
      <c r="C1660" s="1" t="str">
        <f t="shared" si="27"/>
        <v>21175</v>
      </c>
      <c r="D1660" t="s">
        <v>31</v>
      </c>
      <c r="E1660" s="2" t="s">
        <v>39</v>
      </c>
      <c r="F1660" s="2" t="str">
        <f>_xlfn.XLOOKUP(Table1_1[[#This Row],[CAS_rn]],[1]analyte_order!$C:$C,[1]analyte_order!$B:$B)</f>
        <v>4:2 FTS</v>
      </c>
      <c r="G1660" t="s">
        <v>127</v>
      </c>
      <c r="H1660" s="2">
        <f>_xlfn.XLOOKUP(Table1_1[[#This Row],[CAS_rn]],[1]analyte_order!$C:$C,[1]analyte_order!$E:$E)</f>
        <v>22</v>
      </c>
      <c r="I1660">
        <v>0.2</v>
      </c>
    </row>
    <row r="1661" spans="1:9" x14ac:dyDescent="0.3">
      <c r="A1661" s="2" t="s">
        <v>90</v>
      </c>
      <c r="B1661" s="3">
        <v>44370.5</v>
      </c>
      <c r="C1661" s="1" t="str">
        <f t="shared" si="27"/>
        <v>21175</v>
      </c>
      <c r="D1661" t="s">
        <v>31</v>
      </c>
      <c r="E1661" s="2" t="s">
        <v>39</v>
      </c>
      <c r="F1661" s="2" t="str">
        <f>_xlfn.XLOOKUP(Table1_1[[#This Row],[CAS_rn]],[1]analyte_order!$C:$C,[1]analyte_order!$B:$B)</f>
        <v>6:2 FTS</v>
      </c>
      <c r="G1661" t="s">
        <v>128</v>
      </c>
      <c r="H1661" s="2">
        <f>_xlfn.XLOOKUP(Table1_1[[#This Row],[CAS_rn]],[1]analyte_order!$C:$C,[1]analyte_order!$E:$E)</f>
        <v>23</v>
      </c>
      <c r="I1661">
        <v>0.4</v>
      </c>
    </row>
    <row r="1662" spans="1:9" x14ac:dyDescent="0.3">
      <c r="A1662" s="2" t="s">
        <v>90</v>
      </c>
      <c r="B1662" s="3">
        <v>44370.5</v>
      </c>
      <c r="C1662" s="1" t="str">
        <f t="shared" si="27"/>
        <v>21175</v>
      </c>
      <c r="D1662" t="s">
        <v>31</v>
      </c>
      <c r="E1662" s="2" t="s">
        <v>39</v>
      </c>
      <c r="F1662" s="2" t="str">
        <f>_xlfn.XLOOKUP(Table1_1[[#This Row],[CAS_rn]],[1]analyte_order!$C:$C,[1]analyte_order!$B:$B)</f>
        <v>8:2 FTS</v>
      </c>
      <c r="G1662" t="s">
        <v>129</v>
      </c>
      <c r="H1662" s="2">
        <f>_xlfn.XLOOKUP(Table1_1[[#This Row],[CAS_rn]],[1]analyte_order!$C:$C,[1]analyte_order!$E:$E)</f>
        <v>24</v>
      </c>
      <c r="I1662">
        <v>0.4</v>
      </c>
    </row>
    <row r="1663" spans="1:9" x14ac:dyDescent="0.3">
      <c r="A1663" s="2" t="s">
        <v>90</v>
      </c>
      <c r="B1663" s="3">
        <v>44370.5</v>
      </c>
      <c r="C1663" s="1" t="str">
        <f t="shared" si="27"/>
        <v>21175</v>
      </c>
      <c r="D1663" t="s">
        <v>31</v>
      </c>
      <c r="E1663" s="2" t="s">
        <v>39</v>
      </c>
      <c r="F1663" s="2" t="str">
        <f>_xlfn.XLOOKUP(Table1_1[[#This Row],[CAS_rn]],[1]analyte_order!$C:$C,[1]analyte_order!$B:$B)</f>
        <v>FOSA</v>
      </c>
      <c r="G1663" t="s">
        <v>130</v>
      </c>
      <c r="H1663" s="2">
        <f>_xlfn.XLOOKUP(Table1_1[[#This Row],[CAS_rn]],[1]analyte_order!$C:$C,[1]analyte_order!$E:$E)</f>
        <v>28</v>
      </c>
      <c r="I1663">
        <v>0.13</v>
      </c>
    </row>
    <row r="1664" spans="1:9" x14ac:dyDescent="0.3">
      <c r="A1664" s="2" t="s">
        <v>90</v>
      </c>
      <c r="B1664" s="3">
        <v>44370.5</v>
      </c>
      <c r="C1664" s="1" t="str">
        <f t="shared" si="27"/>
        <v>21175</v>
      </c>
      <c r="D1664" t="s">
        <v>31</v>
      </c>
      <c r="E1664" s="2" t="s">
        <v>39</v>
      </c>
      <c r="F1664" s="2" t="str">
        <f>_xlfn.XLOOKUP(Table1_1[[#This Row],[CAS_rn]],[1]analyte_order!$C:$C,[1]analyte_order!$B:$B)</f>
        <v>N-MeFOSA</v>
      </c>
      <c r="G1664" t="s">
        <v>131</v>
      </c>
      <c r="H1664" s="2">
        <f>_xlfn.XLOOKUP(Table1_1[[#This Row],[CAS_rn]],[1]analyte_order!$C:$C,[1]analyte_order!$E:$E)</f>
        <v>30</v>
      </c>
      <c r="I1664">
        <v>0.05</v>
      </c>
    </row>
    <row r="1665" spans="1:9" x14ac:dyDescent="0.3">
      <c r="A1665" s="2" t="s">
        <v>90</v>
      </c>
      <c r="B1665" s="3">
        <v>44370.5</v>
      </c>
      <c r="C1665" s="1" t="str">
        <f t="shared" si="27"/>
        <v>21175</v>
      </c>
      <c r="D1665" t="s">
        <v>31</v>
      </c>
      <c r="E1665" s="2" t="s">
        <v>39</v>
      </c>
      <c r="F1665" s="2" t="str">
        <f>_xlfn.XLOOKUP(Table1_1[[#This Row],[CAS_rn]],[1]analyte_order!$C:$C,[1]analyte_order!$B:$B)</f>
        <v>N-MeFOSAA</v>
      </c>
      <c r="G1665" t="s">
        <v>132</v>
      </c>
      <c r="H1665" s="2">
        <f>_xlfn.XLOOKUP(Table1_1[[#This Row],[CAS_rn]],[1]analyte_order!$C:$C,[1]analyte_order!$E:$E)</f>
        <v>26</v>
      </c>
      <c r="I1665">
        <v>0.05</v>
      </c>
    </row>
    <row r="1666" spans="1:9" x14ac:dyDescent="0.3">
      <c r="A1666" s="2" t="s">
        <v>90</v>
      </c>
      <c r="B1666" s="3">
        <v>44370.5</v>
      </c>
      <c r="C1666" s="1" t="str">
        <f t="shared" si="27"/>
        <v>21175</v>
      </c>
      <c r="D1666" t="s">
        <v>31</v>
      </c>
      <c r="E1666" s="2" t="s">
        <v>39</v>
      </c>
      <c r="F1666" s="2" t="str">
        <f>_xlfn.XLOOKUP(Table1_1[[#This Row],[CAS_rn]],[1]analyte_order!$C:$C,[1]analyte_order!$B:$B)</f>
        <v>N-EtFOSA</v>
      </c>
      <c r="G1666" t="s">
        <v>133</v>
      </c>
      <c r="H1666" s="2">
        <f>_xlfn.XLOOKUP(Table1_1[[#This Row],[CAS_rn]],[1]analyte_order!$C:$C,[1]analyte_order!$E:$E)</f>
        <v>31</v>
      </c>
      <c r="I1666">
        <v>0.05</v>
      </c>
    </row>
    <row r="1667" spans="1:9" x14ac:dyDescent="0.3">
      <c r="A1667" s="2" t="s">
        <v>90</v>
      </c>
      <c r="B1667" s="3">
        <v>44370.5</v>
      </c>
      <c r="C1667" s="1" t="str">
        <f t="shared" si="27"/>
        <v>21175</v>
      </c>
      <c r="D1667" t="s">
        <v>31</v>
      </c>
      <c r="E1667" s="2" t="s">
        <v>39</v>
      </c>
      <c r="F1667" s="2" t="str">
        <f>_xlfn.XLOOKUP(Table1_1[[#This Row],[CAS_rn]],[1]analyte_order!$C:$C,[1]analyte_order!$B:$B)</f>
        <v>N-EtFOSAA</v>
      </c>
      <c r="G1667" t="s">
        <v>134</v>
      </c>
      <c r="H1667" s="2">
        <f>_xlfn.XLOOKUP(Table1_1[[#This Row],[CAS_rn]],[1]analyte_order!$C:$C,[1]analyte_order!$E:$E)</f>
        <v>27</v>
      </c>
      <c r="I1667">
        <v>0.05</v>
      </c>
    </row>
    <row r="1668" spans="1:9" x14ac:dyDescent="0.3">
      <c r="A1668" s="2" t="s">
        <v>90</v>
      </c>
      <c r="B1668" s="3">
        <v>44370.5</v>
      </c>
      <c r="C1668" s="1" t="str">
        <f t="shared" si="27"/>
        <v>21175</v>
      </c>
      <c r="D1668" t="s">
        <v>31</v>
      </c>
      <c r="E1668" s="2" t="s">
        <v>39</v>
      </c>
      <c r="F1668" s="2" t="str">
        <f>_xlfn.XLOOKUP(Table1_1[[#This Row],[CAS_rn]],[1]analyte_order!$C:$C,[1]analyte_order!$B:$B)</f>
        <v>N-MeFOSE</v>
      </c>
      <c r="G1668" t="s">
        <v>135</v>
      </c>
      <c r="H1668" s="2">
        <f>_xlfn.XLOOKUP(Table1_1[[#This Row],[CAS_rn]],[1]analyte_order!$C:$C,[1]analyte_order!$E:$E)</f>
        <v>32</v>
      </c>
      <c r="I1668">
        <v>0.5</v>
      </c>
    </row>
    <row r="1669" spans="1:9" x14ac:dyDescent="0.3">
      <c r="A1669" s="2" t="s">
        <v>90</v>
      </c>
      <c r="B1669" s="3">
        <v>44370.5</v>
      </c>
      <c r="C1669" s="1" t="str">
        <f t="shared" si="27"/>
        <v>21175</v>
      </c>
      <c r="D1669" t="s">
        <v>31</v>
      </c>
      <c r="E1669" s="2" t="s">
        <v>39</v>
      </c>
      <c r="F1669" s="2" t="str">
        <f>_xlfn.XLOOKUP(Table1_1[[#This Row],[CAS_rn]],[1]analyte_order!$C:$C,[1]analyte_order!$B:$B)</f>
        <v>N-EtFOSE</v>
      </c>
      <c r="G1669" t="s">
        <v>136</v>
      </c>
      <c r="H1669" s="2">
        <f>_xlfn.XLOOKUP(Table1_1[[#This Row],[CAS_rn]],[1]analyte_order!$C:$C,[1]analyte_order!$E:$E)</f>
        <v>33</v>
      </c>
      <c r="I1669">
        <v>0.5</v>
      </c>
    </row>
    <row r="1670" spans="1:9" x14ac:dyDescent="0.3">
      <c r="A1670" s="2" t="s">
        <v>90</v>
      </c>
      <c r="B1670" s="3">
        <v>44370.5</v>
      </c>
      <c r="C1670" s="1" t="str">
        <f t="shared" si="27"/>
        <v>21175</v>
      </c>
      <c r="D1670" t="s">
        <v>31</v>
      </c>
      <c r="E1670" s="2" t="s">
        <v>39</v>
      </c>
      <c r="F1670" s="2" t="str">
        <f>_xlfn.XLOOKUP(Table1_1[[#This Row],[CAS_rn]],[1]analyte_order!$C:$C,[1]analyte_order!$B:$B)</f>
        <v>HFPO-DA</v>
      </c>
      <c r="G1670" t="s">
        <v>137</v>
      </c>
      <c r="H1670" s="2">
        <f>_xlfn.XLOOKUP(Table1_1[[#This Row],[CAS_rn]],[1]analyte_order!$C:$C,[1]analyte_order!$E:$E)</f>
        <v>34</v>
      </c>
      <c r="I1670">
        <v>0.3</v>
      </c>
    </row>
    <row r="1671" spans="1:9" x14ac:dyDescent="0.3">
      <c r="A1671" s="2" t="s">
        <v>90</v>
      </c>
      <c r="B1671" s="3">
        <v>44370.5</v>
      </c>
      <c r="C1671" s="1" t="str">
        <f t="shared" si="27"/>
        <v>21175</v>
      </c>
      <c r="D1671" t="s">
        <v>31</v>
      </c>
      <c r="E1671" s="2" t="s">
        <v>39</v>
      </c>
      <c r="F1671" s="2" t="str">
        <f>_xlfn.XLOOKUP(Table1_1[[#This Row],[CAS_rn]],[1]analyte_order!$C:$C,[1]analyte_order!$B:$B)</f>
        <v>ADONA</v>
      </c>
      <c r="G1671" t="s">
        <v>138</v>
      </c>
      <c r="H1671" s="2">
        <f>_xlfn.XLOOKUP(Table1_1[[#This Row],[CAS_rn]],[1]analyte_order!$C:$C,[1]analyte_order!$E:$E)</f>
        <v>35</v>
      </c>
      <c r="I1671">
        <v>0.2</v>
      </c>
    </row>
    <row r="1672" spans="1:9" x14ac:dyDescent="0.3">
      <c r="A1672" s="2" t="s">
        <v>90</v>
      </c>
      <c r="B1672" s="3">
        <v>44370.5</v>
      </c>
      <c r="C1672" s="1" t="str">
        <f t="shared" si="27"/>
        <v>21175</v>
      </c>
      <c r="D1672" t="s">
        <v>31</v>
      </c>
      <c r="E1672" s="2" t="s">
        <v>39</v>
      </c>
      <c r="F1672" s="2" t="str">
        <f>_xlfn.XLOOKUP(Table1_1[[#This Row],[CAS_rn]],[1]analyte_order!$C:$C,[1]analyte_order!$B:$B)</f>
        <v>PFMBA</v>
      </c>
      <c r="G1672" t="s">
        <v>139</v>
      </c>
      <c r="H1672" s="2">
        <f>_xlfn.XLOOKUP(Table1_1[[#This Row],[CAS_rn]],[1]analyte_order!$C:$C,[1]analyte_order!$E:$E)</f>
        <v>48</v>
      </c>
      <c r="I1672">
        <v>0.1</v>
      </c>
    </row>
    <row r="1673" spans="1:9" x14ac:dyDescent="0.3">
      <c r="A1673" s="2" t="s">
        <v>90</v>
      </c>
      <c r="B1673" s="3">
        <v>44370.5</v>
      </c>
      <c r="C1673" s="1" t="str">
        <f t="shared" si="27"/>
        <v>21175</v>
      </c>
      <c r="D1673" t="s">
        <v>31</v>
      </c>
      <c r="E1673" s="2" t="s">
        <v>39</v>
      </c>
      <c r="F1673" s="2" t="str">
        <f>_xlfn.XLOOKUP(Table1_1[[#This Row],[CAS_rn]],[1]analyte_order!$C:$C,[1]analyte_order!$B:$B)</f>
        <v>NFDHA</v>
      </c>
      <c r="G1673" t="s">
        <v>140</v>
      </c>
      <c r="H1673" s="2">
        <f>_xlfn.XLOOKUP(Table1_1[[#This Row],[CAS_rn]],[1]analyte_order!$C:$C,[1]analyte_order!$E:$E)</f>
        <v>50</v>
      </c>
      <c r="I1673">
        <v>0.1</v>
      </c>
    </row>
    <row r="1674" spans="1:9" x14ac:dyDescent="0.3">
      <c r="A1674" s="2" t="s">
        <v>90</v>
      </c>
      <c r="B1674" s="3">
        <v>44370.5</v>
      </c>
      <c r="C1674" s="1" t="str">
        <f t="shared" si="27"/>
        <v>21175</v>
      </c>
      <c r="D1674" t="s">
        <v>31</v>
      </c>
      <c r="E1674" s="2" t="s">
        <v>39</v>
      </c>
      <c r="F1674" s="2" t="str">
        <f>_xlfn.XLOOKUP(Table1_1[[#This Row],[CAS_rn]],[1]analyte_order!$C:$C,[1]analyte_order!$B:$B)</f>
        <v>9Cl-PF3ONS</v>
      </c>
      <c r="G1674" t="s">
        <v>141</v>
      </c>
      <c r="H1674" s="2">
        <f>_xlfn.XLOOKUP(Table1_1[[#This Row],[CAS_rn]],[1]analyte_order!$C:$C,[1]analyte_order!$E:$E)</f>
        <v>36</v>
      </c>
      <c r="I1674">
        <v>0.2</v>
      </c>
    </row>
    <row r="1675" spans="1:9" x14ac:dyDescent="0.3">
      <c r="A1675" s="2" t="s">
        <v>90</v>
      </c>
      <c r="B1675" s="3">
        <v>44370.5</v>
      </c>
      <c r="C1675" s="1" t="str">
        <f t="shared" ref="C1675:C1738" si="28">TEXT(B1675,"yy")&amp;TEXT((B1675-DATEVALUE("1/1/"&amp;TEXT(B1675,"yy"))+1),"000")</f>
        <v>21175</v>
      </c>
      <c r="D1675" t="s">
        <v>31</v>
      </c>
      <c r="E1675" s="2" t="s">
        <v>39</v>
      </c>
      <c r="F1675" s="2" t="str">
        <f>_xlfn.XLOOKUP(Table1_1[[#This Row],[CAS_rn]],[1]analyte_order!$C:$C,[1]analyte_order!$B:$B)</f>
        <v>11Cl-PF3OUdS</v>
      </c>
      <c r="G1675" t="s">
        <v>142</v>
      </c>
      <c r="H1675" s="2">
        <f>_xlfn.XLOOKUP(Table1_1[[#This Row],[CAS_rn]],[1]analyte_order!$C:$C,[1]analyte_order!$E:$E)</f>
        <v>37</v>
      </c>
      <c r="I1675">
        <v>0.2</v>
      </c>
    </row>
    <row r="1676" spans="1:9" x14ac:dyDescent="0.3">
      <c r="A1676" s="2" t="s">
        <v>90</v>
      </c>
      <c r="B1676" s="3">
        <v>44370.5</v>
      </c>
      <c r="C1676" s="1" t="str">
        <f t="shared" si="28"/>
        <v>21175</v>
      </c>
      <c r="D1676" t="s">
        <v>31</v>
      </c>
      <c r="E1676" s="2" t="s">
        <v>39</v>
      </c>
      <c r="F1676" s="2" t="str">
        <f>_xlfn.XLOOKUP(Table1_1[[#This Row],[CAS_rn]],[1]analyte_order!$C:$C,[1]analyte_order!$B:$B)</f>
        <v>PFEESA</v>
      </c>
      <c r="G1676" t="s">
        <v>143</v>
      </c>
      <c r="H1676" s="2">
        <f>_xlfn.XLOOKUP(Table1_1[[#This Row],[CAS_rn]],[1]analyte_order!$C:$C,[1]analyte_order!$E:$E)</f>
        <v>47</v>
      </c>
      <c r="I1676">
        <v>0.1</v>
      </c>
    </row>
    <row r="1677" spans="1:9" x14ac:dyDescent="0.3">
      <c r="A1677" s="2" t="s">
        <v>90</v>
      </c>
      <c r="B1677" s="3">
        <v>44370.5</v>
      </c>
      <c r="C1677" s="1" t="str">
        <f t="shared" si="28"/>
        <v>21175</v>
      </c>
      <c r="D1677" t="s">
        <v>31</v>
      </c>
      <c r="E1677" s="2" t="s">
        <v>39</v>
      </c>
      <c r="F1677" s="2" t="str">
        <f>_xlfn.XLOOKUP(Table1_1[[#This Row],[CAS_rn]],[1]analyte_order!$C:$C,[1]analyte_order!$B:$B)</f>
        <v>3:3 FTCA</v>
      </c>
      <c r="G1677" t="s">
        <v>144</v>
      </c>
      <c r="H1677" s="2">
        <f>_xlfn.XLOOKUP(Table1_1[[#This Row],[CAS_rn]],[1]analyte_order!$C:$C,[1]analyte_order!$E:$E)</f>
        <v>38</v>
      </c>
      <c r="I1677">
        <v>0.25</v>
      </c>
    </row>
    <row r="1678" spans="1:9" x14ac:dyDescent="0.3">
      <c r="A1678" s="2" t="s">
        <v>90</v>
      </c>
      <c r="B1678" s="3">
        <v>44370.5</v>
      </c>
      <c r="C1678" s="1" t="str">
        <f t="shared" si="28"/>
        <v>21175</v>
      </c>
      <c r="D1678" t="s">
        <v>31</v>
      </c>
      <c r="E1678" s="2" t="s">
        <v>39</v>
      </c>
      <c r="F1678" s="2" t="str">
        <f>_xlfn.XLOOKUP(Table1_1[[#This Row],[CAS_rn]],[1]analyte_order!$C:$C,[1]analyte_order!$B:$B)</f>
        <v>5:3 FTCA</v>
      </c>
      <c r="G1678" t="s">
        <v>145</v>
      </c>
      <c r="H1678" s="2">
        <f>_xlfn.XLOOKUP(Table1_1[[#This Row],[CAS_rn]],[1]analyte_order!$C:$C,[1]analyte_order!$E:$E)</f>
        <v>39</v>
      </c>
      <c r="I1678">
        <v>1.25</v>
      </c>
    </row>
    <row r="1679" spans="1:9" x14ac:dyDescent="0.3">
      <c r="A1679" s="2" t="s">
        <v>90</v>
      </c>
      <c r="B1679" s="3">
        <v>44370.5</v>
      </c>
      <c r="C1679" s="1" t="str">
        <f t="shared" si="28"/>
        <v>21175</v>
      </c>
      <c r="D1679" t="s">
        <v>31</v>
      </c>
      <c r="E1679" s="2" t="s">
        <v>39</v>
      </c>
      <c r="F1679" s="2" t="str">
        <f>_xlfn.XLOOKUP(Table1_1[[#This Row],[CAS_rn]],[1]analyte_order!$C:$C,[1]analyte_order!$B:$B)</f>
        <v>7:3 FTCA</v>
      </c>
      <c r="G1679" t="s">
        <v>146</v>
      </c>
      <c r="H1679" s="2">
        <f>_xlfn.XLOOKUP(Table1_1[[#This Row],[CAS_rn]],[1]analyte_order!$C:$C,[1]analyte_order!$E:$E)</f>
        <v>40</v>
      </c>
      <c r="I1679">
        <v>1.25</v>
      </c>
    </row>
    <row r="1680" spans="1:9" x14ac:dyDescent="0.3">
      <c r="A1680" s="2" t="s">
        <v>90</v>
      </c>
      <c r="B1680" s="3">
        <v>44370.5</v>
      </c>
      <c r="C1680" s="1" t="str">
        <f t="shared" si="28"/>
        <v>21175</v>
      </c>
      <c r="D1680" t="s">
        <v>31</v>
      </c>
      <c r="E1680" s="2" t="s">
        <v>39</v>
      </c>
      <c r="F1680" s="2" t="str">
        <f>_xlfn.XLOOKUP(Table1_1[[#This Row],[CAS_rn]],[1]analyte_order!$C:$C,[1]analyte_order!$B:$B)</f>
        <v>PFDS</v>
      </c>
      <c r="G1680" t="s">
        <v>147</v>
      </c>
      <c r="H1680" s="2">
        <f>_xlfn.XLOOKUP(Table1_1[[#This Row],[CAS_rn]],[1]analyte_order!$C:$C,[1]analyte_order!$E:$E)</f>
        <v>20</v>
      </c>
      <c r="I1680">
        <v>0.05</v>
      </c>
    </row>
    <row r="1681" spans="1:9" x14ac:dyDescent="0.3">
      <c r="A1681" s="2" t="s">
        <v>90</v>
      </c>
      <c r="B1681" s="3">
        <v>44370.5</v>
      </c>
      <c r="C1681" s="1" t="str">
        <f t="shared" si="28"/>
        <v>21175</v>
      </c>
      <c r="D1681" t="s">
        <v>31</v>
      </c>
      <c r="E1681" s="2" t="s">
        <v>39</v>
      </c>
      <c r="F1681" s="2" t="str">
        <f>_xlfn.XLOOKUP(Table1_1[[#This Row],[CAS_rn]],[1]analyte_order!$C:$C,[1]analyte_order!$B:$B)</f>
        <v>PFMPA</v>
      </c>
      <c r="G1681" t="s">
        <v>148</v>
      </c>
      <c r="H1681" s="2">
        <f>_xlfn.XLOOKUP(Table1_1[[#This Row],[CAS_rn]],[1]analyte_order!$C:$C,[1]analyte_order!$E:$E)</f>
        <v>49</v>
      </c>
      <c r="I1681">
        <v>0.1</v>
      </c>
    </row>
    <row r="1682" spans="1:9" x14ac:dyDescent="0.3">
      <c r="A1682" s="2" t="s">
        <v>91</v>
      </c>
      <c r="B1682" s="3">
        <v>44370.5</v>
      </c>
      <c r="C1682" s="1" t="str">
        <f t="shared" si="28"/>
        <v>21175</v>
      </c>
      <c r="D1682" t="s">
        <v>33</v>
      </c>
      <c r="E1682" s="2" t="s">
        <v>39</v>
      </c>
      <c r="F1682" s="2" t="str">
        <f>_xlfn.XLOOKUP(Table1_1[[#This Row],[CAS_rn]],[1]analyte_order!$C:$C,[1]analyte_order!$B:$B)</f>
        <v>PFBA</v>
      </c>
      <c r="G1682" t="s">
        <v>109</v>
      </c>
      <c r="H1682" s="2">
        <f>_xlfn.XLOOKUP(Table1_1[[#This Row],[CAS_rn]],[1]analyte_order!$C:$C,[1]analyte_order!$E:$E)</f>
        <v>1</v>
      </c>
      <c r="I1682">
        <v>0.2</v>
      </c>
    </row>
    <row r="1683" spans="1:9" x14ac:dyDescent="0.3">
      <c r="A1683" s="2" t="s">
        <v>91</v>
      </c>
      <c r="B1683" s="3">
        <v>44370.5</v>
      </c>
      <c r="C1683" s="1" t="str">
        <f t="shared" si="28"/>
        <v>21175</v>
      </c>
      <c r="D1683" t="s">
        <v>33</v>
      </c>
      <c r="E1683" s="2" t="s">
        <v>39</v>
      </c>
      <c r="F1683" s="2" t="str">
        <f>_xlfn.XLOOKUP(Table1_1[[#This Row],[CAS_rn]],[1]analyte_order!$C:$C,[1]analyte_order!$B:$B)</f>
        <v>PFPeA</v>
      </c>
      <c r="G1683" t="s">
        <v>110</v>
      </c>
      <c r="H1683" s="2">
        <f>_xlfn.XLOOKUP(Table1_1[[#This Row],[CAS_rn]],[1]analyte_order!$C:$C,[1]analyte_order!$E:$E)</f>
        <v>2</v>
      </c>
      <c r="I1683">
        <v>0.1</v>
      </c>
    </row>
    <row r="1684" spans="1:9" x14ac:dyDescent="0.3">
      <c r="A1684" s="2" t="s">
        <v>91</v>
      </c>
      <c r="B1684" s="3">
        <v>44370.5</v>
      </c>
      <c r="C1684" s="1" t="str">
        <f t="shared" si="28"/>
        <v>21175</v>
      </c>
      <c r="D1684" t="s">
        <v>33</v>
      </c>
      <c r="E1684" s="2" t="s">
        <v>39</v>
      </c>
      <c r="F1684" s="2" t="str">
        <f>_xlfn.XLOOKUP(Table1_1[[#This Row],[CAS_rn]],[1]analyte_order!$C:$C,[1]analyte_order!$B:$B)</f>
        <v>PFHxA</v>
      </c>
      <c r="G1684" t="s">
        <v>111</v>
      </c>
      <c r="H1684" s="2">
        <f>_xlfn.XLOOKUP(Table1_1[[#This Row],[CAS_rn]],[1]analyte_order!$C:$C,[1]analyte_order!$E:$E)</f>
        <v>3</v>
      </c>
      <c r="I1684">
        <v>0.09</v>
      </c>
    </row>
    <row r="1685" spans="1:9" x14ac:dyDescent="0.3">
      <c r="A1685" s="2" t="s">
        <v>91</v>
      </c>
      <c r="B1685" s="3">
        <v>44370.5</v>
      </c>
      <c r="C1685" s="1" t="str">
        <f t="shared" si="28"/>
        <v>21175</v>
      </c>
      <c r="D1685" t="s">
        <v>33</v>
      </c>
      <c r="E1685" s="2" t="s">
        <v>39</v>
      </c>
      <c r="F1685" s="2" t="str">
        <f>_xlfn.XLOOKUP(Table1_1[[#This Row],[CAS_rn]],[1]analyte_order!$C:$C,[1]analyte_order!$B:$B)</f>
        <v>PFHpA</v>
      </c>
      <c r="G1685" t="s">
        <v>112</v>
      </c>
      <c r="H1685" s="2">
        <f>_xlfn.XLOOKUP(Table1_1[[#This Row],[CAS_rn]],[1]analyte_order!$C:$C,[1]analyte_order!$E:$E)</f>
        <v>4</v>
      </c>
      <c r="I1685">
        <v>0.09</v>
      </c>
    </row>
    <row r="1686" spans="1:9" x14ac:dyDescent="0.3">
      <c r="A1686" s="2" t="s">
        <v>91</v>
      </c>
      <c r="B1686" s="3">
        <v>44370.5</v>
      </c>
      <c r="C1686" s="1" t="str">
        <f t="shared" si="28"/>
        <v>21175</v>
      </c>
      <c r="D1686" t="s">
        <v>33</v>
      </c>
      <c r="E1686" s="2" t="s">
        <v>39</v>
      </c>
      <c r="F1686" s="2" t="str">
        <f>_xlfn.XLOOKUP(Table1_1[[#This Row],[CAS_rn]],[1]analyte_order!$C:$C,[1]analyte_order!$B:$B)</f>
        <v>PFOA</v>
      </c>
      <c r="G1686" t="s">
        <v>113</v>
      </c>
      <c r="H1686" s="2">
        <f>_xlfn.XLOOKUP(Table1_1[[#This Row],[CAS_rn]],[1]analyte_order!$C:$C,[1]analyte_order!$E:$E)</f>
        <v>5</v>
      </c>
      <c r="I1686">
        <v>0.1</v>
      </c>
    </row>
    <row r="1687" spans="1:9" x14ac:dyDescent="0.3">
      <c r="A1687" s="2" t="s">
        <v>91</v>
      </c>
      <c r="B1687" s="3">
        <v>44370.5</v>
      </c>
      <c r="C1687" s="1" t="str">
        <f t="shared" si="28"/>
        <v>21175</v>
      </c>
      <c r="D1687" t="s">
        <v>33</v>
      </c>
      <c r="E1687" s="2" t="s">
        <v>39</v>
      </c>
      <c r="F1687" s="2" t="str">
        <f>_xlfn.XLOOKUP(Table1_1[[#This Row],[CAS_rn]],[1]analyte_order!$C:$C,[1]analyte_order!$B:$B)</f>
        <v>PFNA</v>
      </c>
      <c r="G1687" t="s">
        <v>114</v>
      </c>
      <c r="H1687" s="2">
        <f>_xlfn.XLOOKUP(Table1_1[[#This Row],[CAS_rn]],[1]analyte_order!$C:$C,[1]analyte_order!$E:$E)</f>
        <v>6</v>
      </c>
      <c r="I1687">
        <v>0.05</v>
      </c>
    </row>
    <row r="1688" spans="1:9" x14ac:dyDescent="0.3">
      <c r="A1688" s="2" t="s">
        <v>91</v>
      </c>
      <c r="B1688" s="3">
        <v>44370.5</v>
      </c>
      <c r="C1688" s="1" t="str">
        <f t="shared" si="28"/>
        <v>21175</v>
      </c>
      <c r="D1688" t="s">
        <v>33</v>
      </c>
      <c r="E1688" s="2" t="s">
        <v>39</v>
      </c>
      <c r="F1688" s="2" t="str">
        <f>_xlfn.XLOOKUP(Table1_1[[#This Row],[CAS_rn]],[1]analyte_order!$C:$C,[1]analyte_order!$B:$B)</f>
        <v>PFDA</v>
      </c>
      <c r="G1688" t="s">
        <v>115</v>
      </c>
      <c r="H1688" s="2">
        <f>_xlfn.XLOOKUP(Table1_1[[#This Row],[CAS_rn]],[1]analyte_order!$C:$C,[1]analyte_order!$E:$E)</f>
        <v>7</v>
      </c>
      <c r="I1688">
        <v>0.05</v>
      </c>
    </row>
    <row r="1689" spans="1:9" x14ac:dyDescent="0.3">
      <c r="A1689" s="2" t="s">
        <v>91</v>
      </c>
      <c r="B1689" s="3">
        <v>44370.5</v>
      </c>
      <c r="C1689" s="1" t="str">
        <f t="shared" si="28"/>
        <v>21175</v>
      </c>
      <c r="D1689" t="s">
        <v>33</v>
      </c>
      <c r="E1689" s="2" t="s">
        <v>39</v>
      </c>
      <c r="F1689" s="2" t="str">
        <f>_xlfn.XLOOKUP(Table1_1[[#This Row],[CAS_rn]],[1]analyte_order!$C:$C,[1]analyte_order!$B:$B)</f>
        <v>PFUnA</v>
      </c>
      <c r="G1689" t="s">
        <v>116</v>
      </c>
      <c r="H1689" s="2">
        <f>_xlfn.XLOOKUP(Table1_1[[#This Row],[CAS_rn]],[1]analyte_order!$C:$C,[1]analyte_order!$E:$E)</f>
        <v>8</v>
      </c>
      <c r="I1689">
        <v>0.05</v>
      </c>
    </row>
    <row r="1690" spans="1:9" x14ac:dyDescent="0.3">
      <c r="A1690" s="2" t="s">
        <v>91</v>
      </c>
      <c r="B1690" s="3">
        <v>44370.5</v>
      </c>
      <c r="C1690" s="1" t="str">
        <f t="shared" si="28"/>
        <v>21175</v>
      </c>
      <c r="D1690" t="s">
        <v>33</v>
      </c>
      <c r="E1690" s="2" t="s">
        <v>39</v>
      </c>
      <c r="F1690" s="2" t="str">
        <f>_xlfn.XLOOKUP(Table1_1[[#This Row],[CAS_rn]],[1]analyte_order!$C:$C,[1]analyte_order!$B:$B)</f>
        <v>PFDoA</v>
      </c>
      <c r="G1690" t="s">
        <v>117</v>
      </c>
      <c r="H1690" s="2">
        <f>_xlfn.XLOOKUP(Table1_1[[#This Row],[CAS_rn]],[1]analyte_order!$C:$C,[1]analyte_order!$E:$E)</f>
        <v>9</v>
      </c>
      <c r="I1690">
        <v>0.05</v>
      </c>
    </row>
    <row r="1691" spans="1:9" x14ac:dyDescent="0.3">
      <c r="A1691" s="2" t="s">
        <v>91</v>
      </c>
      <c r="B1691" s="3">
        <v>44370.5</v>
      </c>
      <c r="C1691" s="1" t="str">
        <f t="shared" si="28"/>
        <v>21175</v>
      </c>
      <c r="D1691" t="s">
        <v>33</v>
      </c>
      <c r="E1691" s="2" t="s">
        <v>39</v>
      </c>
      <c r="F1691" s="2" t="str">
        <f>_xlfn.XLOOKUP(Table1_1[[#This Row],[CAS_rn]],[1]analyte_order!$C:$C,[1]analyte_order!$B:$B)</f>
        <v>PFTrDA</v>
      </c>
      <c r="G1691" t="s">
        <v>118</v>
      </c>
      <c r="H1691" s="2">
        <f>_xlfn.XLOOKUP(Table1_1[[#This Row],[CAS_rn]],[1]analyte_order!$C:$C,[1]analyte_order!$E:$E)</f>
        <v>10</v>
      </c>
      <c r="I1691">
        <v>0.05</v>
      </c>
    </row>
    <row r="1692" spans="1:9" x14ac:dyDescent="0.3">
      <c r="A1692" s="2" t="s">
        <v>91</v>
      </c>
      <c r="B1692" s="3">
        <v>44370.5</v>
      </c>
      <c r="C1692" s="1" t="str">
        <f t="shared" si="28"/>
        <v>21175</v>
      </c>
      <c r="D1692" t="s">
        <v>33</v>
      </c>
      <c r="E1692" s="2" t="s">
        <v>39</v>
      </c>
      <c r="F1692" s="2" t="str">
        <f>_xlfn.XLOOKUP(Table1_1[[#This Row],[CAS_rn]],[1]analyte_order!$C:$C,[1]analyte_order!$B:$B)</f>
        <v>PFTeDA</v>
      </c>
      <c r="G1692" t="s">
        <v>119</v>
      </c>
      <c r="H1692" s="2">
        <f>_xlfn.XLOOKUP(Table1_1[[#This Row],[CAS_rn]],[1]analyte_order!$C:$C,[1]analyte_order!$E:$E)</f>
        <v>11</v>
      </c>
      <c r="I1692">
        <v>0.05</v>
      </c>
    </row>
    <row r="1693" spans="1:9" x14ac:dyDescent="0.3">
      <c r="A1693" s="2" t="s">
        <v>91</v>
      </c>
      <c r="B1693" s="3">
        <v>44370.5</v>
      </c>
      <c r="C1693" s="1" t="str">
        <f t="shared" si="28"/>
        <v>21175</v>
      </c>
      <c r="D1693" t="s">
        <v>33</v>
      </c>
      <c r="E1693" s="2" t="s">
        <v>39</v>
      </c>
      <c r="F1693" s="2" t="str">
        <f>_xlfn.XLOOKUP(Table1_1[[#This Row],[CAS_rn]],[1]analyte_order!$C:$C,[1]analyte_order!$B:$B)</f>
        <v>PFBS</v>
      </c>
      <c r="G1693" t="s">
        <v>120</v>
      </c>
      <c r="H1693" s="2">
        <f>_xlfn.XLOOKUP(Table1_1[[#This Row],[CAS_rn]],[1]analyte_order!$C:$C,[1]analyte_order!$E:$E)</f>
        <v>14</v>
      </c>
      <c r="I1693">
        <v>0.05</v>
      </c>
    </row>
    <row r="1694" spans="1:9" x14ac:dyDescent="0.3">
      <c r="A1694" s="2" t="s">
        <v>91</v>
      </c>
      <c r="B1694" s="3">
        <v>44370.5</v>
      </c>
      <c r="C1694" s="1" t="str">
        <f t="shared" si="28"/>
        <v>21175</v>
      </c>
      <c r="D1694" t="s">
        <v>33</v>
      </c>
      <c r="E1694" s="2" t="s">
        <v>39</v>
      </c>
      <c r="F1694" s="2" t="str">
        <f>_xlfn.XLOOKUP(Table1_1[[#This Row],[CAS_rn]],[1]analyte_order!$C:$C,[1]analyte_order!$B:$B)</f>
        <v>PFPeS</v>
      </c>
      <c r="G1694" t="s">
        <v>121</v>
      </c>
      <c r="H1694" s="2">
        <f>_xlfn.XLOOKUP(Table1_1[[#This Row],[CAS_rn]],[1]analyte_order!$C:$C,[1]analyte_order!$E:$E)</f>
        <v>15</v>
      </c>
      <c r="I1694">
        <v>0.05</v>
      </c>
    </row>
    <row r="1695" spans="1:9" x14ac:dyDescent="0.3">
      <c r="A1695" s="2" t="s">
        <v>91</v>
      </c>
      <c r="B1695" s="3">
        <v>44370.5</v>
      </c>
      <c r="C1695" s="1" t="str">
        <f t="shared" si="28"/>
        <v>21175</v>
      </c>
      <c r="D1695" t="s">
        <v>33</v>
      </c>
      <c r="E1695" s="2" t="s">
        <v>39</v>
      </c>
      <c r="F1695" s="2" t="str">
        <f>_xlfn.XLOOKUP(Table1_1[[#This Row],[CAS_rn]],[1]analyte_order!$C:$C,[1]analyte_order!$B:$B)</f>
        <v>PFHxS</v>
      </c>
      <c r="G1695" t="s">
        <v>122</v>
      </c>
      <c r="H1695" s="2">
        <f>_xlfn.XLOOKUP(Table1_1[[#This Row],[CAS_rn]],[1]analyte_order!$C:$C,[1]analyte_order!$E:$E)</f>
        <v>16</v>
      </c>
      <c r="I1695">
        <v>0.22</v>
      </c>
    </row>
    <row r="1696" spans="1:9" x14ac:dyDescent="0.3">
      <c r="A1696" s="2" t="s">
        <v>91</v>
      </c>
      <c r="B1696" s="3">
        <v>44370.5</v>
      </c>
      <c r="C1696" s="1" t="str">
        <f t="shared" si="28"/>
        <v>21175</v>
      </c>
      <c r="D1696" t="s">
        <v>33</v>
      </c>
      <c r="E1696" s="2" t="s">
        <v>39</v>
      </c>
      <c r="F1696" s="2" t="str">
        <f>_xlfn.XLOOKUP(Table1_1[[#This Row],[CAS_rn]],[1]analyte_order!$C:$C,[1]analyte_order!$B:$B)</f>
        <v>PFHpS</v>
      </c>
      <c r="G1696" t="s">
        <v>123</v>
      </c>
      <c r="H1696" s="2">
        <f>_xlfn.XLOOKUP(Table1_1[[#This Row],[CAS_rn]],[1]analyte_order!$C:$C,[1]analyte_order!$E:$E)</f>
        <v>17</v>
      </c>
      <c r="I1696">
        <v>0.05</v>
      </c>
    </row>
    <row r="1697" spans="1:9" x14ac:dyDescent="0.3">
      <c r="A1697" s="2" t="s">
        <v>91</v>
      </c>
      <c r="B1697" s="3">
        <v>44370.5</v>
      </c>
      <c r="C1697" s="1" t="str">
        <f t="shared" si="28"/>
        <v>21175</v>
      </c>
      <c r="D1697" t="s">
        <v>33</v>
      </c>
      <c r="E1697" s="2" t="s">
        <v>39</v>
      </c>
      <c r="F1697" s="2" t="str">
        <f>_xlfn.XLOOKUP(Table1_1[[#This Row],[CAS_rn]],[1]analyte_order!$C:$C,[1]analyte_order!$B:$B)</f>
        <v>PFOS</v>
      </c>
      <c r="G1697" t="s">
        <v>124</v>
      </c>
      <c r="H1697" s="2">
        <f>_xlfn.XLOOKUP(Table1_1[[#This Row],[CAS_rn]],[1]analyte_order!$C:$C,[1]analyte_order!$E:$E)</f>
        <v>18</v>
      </c>
      <c r="I1697">
        <v>0.61</v>
      </c>
    </row>
    <row r="1698" spans="1:9" x14ac:dyDescent="0.3">
      <c r="A1698" s="2" t="s">
        <v>91</v>
      </c>
      <c r="B1698" s="3">
        <v>44370.5</v>
      </c>
      <c r="C1698" s="1" t="str">
        <f t="shared" si="28"/>
        <v>21175</v>
      </c>
      <c r="D1698" t="s">
        <v>33</v>
      </c>
      <c r="E1698" s="2" t="s">
        <v>39</v>
      </c>
      <c r="F1698" s="2" t="str">
        <f>_xlfn.XLOOKUP(Table1_1[[#This Row],[CAS_rn]],[1]analyte_order!$C:$C,[1]analyte_order!$B:$B)</f>
        <v>PFNS</v>
      </c>
      <c r="G1698" t="s">
        <v>125</v>
      </c>
      <c r="H1698" s="2">
        <f>_xlfn.XLOOKUP(Table1_1[[#This Row],[CAS_rn]],[1]analyte_order!$C:$C,[1]analyte_order!$E:$E)</f>
        <v>19</v>
      </c>
      <c r="I1698">
        <v>0.05</v>
      </c>
    </row>
    <row r="1699" spans="1:9" x14ac:dyDescent="0.3">
      <c r="A1699" s="2" t="s">
        <v>91</v>
      </c>
      <c r="B1699" s="3">
        <v>44370.5</v>
      </c>
      <c r="C1699" s="1" t="str">
        <f t="shared" si="28"/>
        <v>21175</v>
      </c>
      <c r="D1699" t="s">
        <v>33</v>
      </c>
      <c r="E1699" s="2" t="s">
        <v>39</v>
      </c>
      <c r="F1699" s="2" t="str">
        <f>_xlfn.XLOOKUP(Table1_1[[#This Row],[CAS_rn]],[1]analyte_order!$C:$C,[1]analyte_order!$B:$B)</f>
        <v>PFDoS</v>
      </c>
      <c r="G1699" t="s">
        <v>126</v>
      </c>
      <c r="H1699" s="2">
        <f>_xlfn.XLOOKUP(Table1_1[[#This Row],[CAS_rn]],[1]analyte_order!$C:$C,[1]analyte_order!$E:$E)</f>
        <v>21</v>
      </c>
      <c r="I1699">
        <v>0.05</v>
      </c>
    </row>
    <row r="1700" spans="1:9" x14ac:dyDescent="0.3">
      <c r="A1700" s="2" t="s">
        <v>91</v>
      </c>
      <c r="B1700" s="3">
        <v>44370.5</v>
      </c>
      <c r="C1700" s="1" t="str">
        <f t="shared" si="28"/>
        <v>21175</v>
      </c>
      <c r="D1700" t="s">
        <v>33</v>
      </c>
      <c r="E1700" s="2" t="s">
        <v>39</v>
      </c>
      <c r="F1700" s="2" t="str">
        <f>_xlfn.XLOOKUP(Table1_1[[#This Row],[CAS_rn]],[1]analyte_order!$C:$C,[1]analyte_order!$B:$B)</f>
        <v>4:2 FTS</v>
      </c>
      <c r="G1700" t="s">
        <v>127</v>
      </c>
      <c r="H1700" s="2">
        <f>_xlfn.XLOOKUP(Table1_1[[#This Row],[CAS_rn]],[1]analyte_order!$C:$C,[1]analyte_order!$E:$E)</f>
        <v>22</v>
      </c>
      <c r="I1700">
        <v>0.2</v>
      </c>
    </row>
    <row r="1701" spans="1:9" x14ac:dyDescent="0.3">
      <c r="A1701" s="2" t="s">
        <v>91</v>
      </c>
      <c r="B1701" s="3">
        <v>44370.5</v>
      </c>
      <c r="C1701" s="1" t="str">
        <f t="shared" si="28"/>
        <v>21175</v>
      </c>
      <c r="D1701" t="s">
        <v>33</v>
      </c>
      <c r="E1701" s="2" t="s">
        <v>39</v>
      </c>
      <c r="F1701" s="2" t="str">
        <f>_xlfn.XLOOKUP(Table1_1[[#This Row],[CAS_rn]],[1]analyte_order!$C:$C,[1]analyte_order!$B:$B)</f>
        <v>6:2 FTS</v>
      </c>
      <c r="G1701" t="s">
        <v>128</v>
      </c>
      <c r="H1701" s="2">
        <f>_xlfn.XLOOKUP(Table1_1[[#This Row],[CAS_rn]],[1]analyte_order!$C:$C,[1]analyte_order!$E:$E)</f>
        <v>23</v>
      </c>
      <c r="I1701">
        <v>0.4</v>
      </c>
    </row>
    <row r="1702" spans="1:9" x14ac:dyDescent="0.3">
      <c r="A1702" s="2" t="s">
        <v>91</v>
      </c>
      <c r="B1702" s="3">
        <v>44370.5</v>
      </c>
      <c r="C1702" s="1" t="str">
        <f t="shared" si="28"/>
        <v>21175</v>
      </c>
      <c r="D1702" t="s">
        <v>33</v>
      </c>
      <c r="E1702" s="2" t="s">
        <v>39</v>
      </c>
      <c r="F1702" s="2" t="str">
        <f>_xlfn.XLOOKUP(Table1_1[[#This Row],[CAS_rn]],[1]analyte_order!$C:$C,[1]analyte_order!$B:$B)</f>
        <v>8:2 FTS</v>
      </c>
      <c r="G1702" t="s">
        <v>129</v>
      </c>
      <c r="H1702" s="2">
        <f>_xlfn.XLOOKUP(Table1_1[[#This Row],[CAS_rn]],[1]analyte_order!$C:$C,[1]analyte_order!$E:$E)</f>
        <v>24</v>
      </c>
      <c r="I1702">
        <v>0.4</v>
      </c>
    </row>
    <row r="1703" spans="1:9" x14ac:dyDescent="0.3">
      <c r="A1703" s="2" t="s">
        <v>91</v>
      </c>
      <c r="B1703" s="3">
        <v>44370.5</v>
      </c>
      <c r="C1703" s="1" t="str">
        <f t="shared" si="28"/>
        <v>21175</v>
      </c>
      <c r="D1703" t="s">
        <v>33</v>
      </c>
      <c r="E1703" s="2" t="s">
        <v>39</v>
      </c>
      <c r="F1703" s="2" t="str">
        <f>_xlfn.XLOOKUP(Table1_1[[#This Row],[CAS_rn]],[1]analyte_order!$C:$C,[1]analyte_order!$B:$B)</f>
        <v>FOSA</v>
      </c>
      <c r="G1703" t="s">
        <v>130</v>
      </c>
      <c r="H1703" s="2">
        <f>_xlfn.XLOOKUP(Table1_1[[#This Row],[CAS_rn]],[1]analyte_order!$C:$C,[1]analyte_order!$E:$E)</f>
        <v>28</v>
      </c>
      <c r="I1703">
        <v>0.09</v>
      </c>
    </row>
    <row r="1704" spans="1:9" x14ac:dyDescent="0.3">
      <c r="A1704" s="2" t="s">
        <v>91</v>
      </c>
      <c r="B1704" s="3">
        <v>44370.5</v>
      </c>
      <c r="C1704" s="1" t="str">
        <f t="shared" si="28"/>
        <v>21175</v>
      </c>
      <c r="D1704" t="s">
        <v>33</v>
      </c>
      <c r="E1704" s="2" t="s">
        <v>39</v>
      </c>
      <c r="F1704" s="2" t="str">
        <f>_xlfn.XLOOKUP(Table1_1[[#This Row],[CAS_rn]],[1]analyte_order!$C:$C,[1]analyte_order!$B:$B)</f>
        <v>N-MeFOSA</v>
      </c>
      <c r="G1704" t="s">
        <v>131</v>
      </c>
      <c r="H1704" s="2">
        <f>_xlfn.XLOOKUP(Table1_1[[#This Row],[CAS_rn]],[1]analyte_order!$C:$C,[1]analyte_order!$E:$E)</f>
        <v>30</v>
      </c>
      <c r="I1704">
        <v>0.05</v>
      </c>
    </row>
    <row r="1705" spans="1:9" x14ac:dyDescent="0.3">
      <c r="A1705" s="2" t="s">
        <v>91</v>
      </c>
      <c r="B1705" s="3">
        <v>44370.5</v>
      </c>
      <c r="C1705" s="1" t="str">
        <f t="shared" si="28"/>
        <v>21175</v>
      </c>
      <c r="D1705" t="s">
        <v>33</v>
      </c>
      <c r="E1705" s="2" t="s">
        <v>39</v>
      </c>
      <c r="F1705" s="2" t="str">
        <f>_xlfn.XLOOKUP(Table1_1[[#This Row],[CAS_rn]],[1]analyte_order!$C:$C,[1]analyte_order!$B:$B)</f>
        <v>N-MeFOSAA</v>
      </c>
      <c r="G1705" t="s">
        <v>132</v>
      </c>
      <c r="H1705" s="2">
        <f>_xlfn.XLOOKUP(Table1_1[[#This Row],[CAS_rn]],[1]analyte_order!$C:$C,[1]analyte_order!$E:$E)</f>
        <v>26</v>
      </c>
      <c r="I1705">
        <v>0.05</v>
      </c>
    </row>
    <row r="1706" spans="1:9" x14ac:dyDescent="0.3">
      <c r="A1706" s="2" t="s">
        <v>91</v>
      </c>
      <c r="B1706" s="3">
        <v>44370.5</v>
      </c>
      <c r="C1706" s="1" t="str">
        <f t="shared" si="28"/>
        <v>21175</v>
      </c>
      <c r="D1706" t="s">
        <v>33</v>
      </c>
      <c r="E1706" s="2" t="s">
        <v>39</v>
      </c>
      <c r="F1706" s="2" t="str">
        <f>_xlfn.XLOOKUP(Table1_1[[#This Row],[CAS_rn]],[1]analyte_order!$C:$C,[1]analyte_order!$B:$B)</f>
        <v>N-EtFOSA</v>
      </c>
      <c r="G1706" t="s">
        <v>133</v>
      </c>
      <c r="H1706" s="2">
        <f>_xlfn.XLOOKUP(Table1_1[[#This Row],[CAS_rn]],[1]analyte_order!$C:$C,[1]analyte_order!$E:$E)</f>
        <v>31</v>
      </c>
      <c r="I1706">
        <v>0.05</v>
      </c>
    </row>
    <row r="1707" spans="1:9" x14ac:dyDescent="0.3">
      <c r="A1707" s="2" t="s">
        <v>91</v>
      </c>
      <c r="B1707" s="3">
        <v>44370.5</v>
      </c>
      <c r="C1707" s="1" t="str">
        <f t="shared" si="28"/>
        <v>21175</v>
      </c>
      <c r="D1707" t="s">
        <v>33</v>
      </c>
      <c r="E1707" s="2" t="s">
        <v>39</v>
      </c>
      <c r="F1707" s="2" t="str">
        <f>_xlfn.XLOOKUP(Table1_1[[#This Row],[CAS_rn]],[1]analyte_order!$C:$C,[1]analyte_order!$B:$B)</f>
        <v>N-EtFOSAA</v>
      </c>
      <c r="G1707" t="s">
        <v>134</v>
      </c>
      <c r="H1707" s="2">
        <f>_xlfn.XLOOKUP(Table1_1[[#This Row],[CAS_rn]],[1]analyte_order!$C:$C,[1]analyte_order!$E:$E)</f>
        <v>27</v>
      </c>
      <c r="I1707">
        <v>0.05</v>
      </c>
    </row>
    <row r="1708" spans="1:9" x14ac:dyDescent="0.3">
      <c r="A1708" s="2" t="s">
        <v>91</v>
      </c>
      <c r="B1708" s="3">
        <v>44370.5</v>
      </c>
      <c r="C1708" s="1" t="str">
        <f t="shared" si="28"/>
        <v>21175</v>
      </c>
      <c r="D1708" t="s">
        <v>33</v>
      </c>
      <c r="E1708" s="2" t="s">
        <v>39</v>
      </c>
      <c r="F1708" s="2" t="str">
        <f>_xlfn.XLOOKUP(Table1_1[[#This Row],[CAS_rn]],[1]analyte_order!$C:$C,[1]analyte_order!$B:$B)</f>
        <v>N-MeFOSE</v>
      </c>
      <c r="G1708" t="s">
        <v>135</v>
      </c>
      <c r="H1708" s="2">
        <f>_xlfn.XLOOKUP(Table1_1[[#This Row],[CAS_rn]],[1]analyte_order!$C:$C,[1]analyte_order!$E:$E)</f>
        <v>32</v>
      </c>
      <c r="I1708">
        <v>0.5</v>
      </c>
    </row>
    <row r="1709" spans="1:9" x14ac:dyDescent="0.3">
      <c r="A1709" s="2" t="s">
        <v>91</v>
      </c>
      <c r="B1709" s="3">
        <v>44370.5</v>
      </c>
      <c r="C1709" s="1" t="str">
        <f t="shared" si="28"/>
        <v>21175</v>
      </c>
      <c r="D1709" t="s">
        <v>33</v>
      </c>
      <c r="E1709" s="2" t="s">
        <v>39</v>
      </c>
      <c r="F1709" s="2" t="str">
        <f>_xlfn.XLOOKUP(Table1_1[[#This Row],[CAS_rn]],[1]analyte_order!$C:$C,[1]analyte_order!$B:$B)</f>
        <v>N-EtFOSE</v>
      </c>
      <c r="G1709" t="s">
        <v>136</v>
      </c>
      <c r="H1709" s="2">
        <f>_xlfn.XLOOKUP(Table1_1[[#This Row],[CAS_rn]],[1]analyte_order!$C:$C,[1]analyte_order!$E:$E)</f>
        <v>33</v>
      </c>
      <c r="I1709">
        <v>0.5</v>
      </c>
    </row>
    <row r="1710" spans="1:9" x14ac:dyDescent="0.3">
      <c r="A1710" s="2" t="s">
        <v>91</v>
      </c>
      <c r="B1710" s="3">
        <v>44370.5</v>
      </c>
      <c r="C1710" s="1" t="str">
        <f t="shared" si="28"/>
        <v>21175</v>
      </c>
      <c r="D1710" t="s">
        <v>33</v>
      </c>
      <c r="E1710" s="2" t="s">
        <v>39</v>
      </c>
      <c r="F1710" s="2" t="str">
        <f>_xlfn.XLOOKUP(Table1_1[[#This Row],[CAS_rn]],[1]analyte_order!$C:$C,[1]analyte_order!$B:$B)</f>
        <v>HFPO-DA</v>
      </c>
      <c r="G1710" t="s">
        <v>137</v>
      </c>
      <c r="H1710" s="2">
        <f>_xlfn.XLOOKUP(Table1_1[[#This Row],[CAS_rn]],[1]analyte_order!$C:$C,[1]analyte_order!$E:$E)</f>
        <v>34</v>
      </c>
      <c r="I1710">
        <v>0.3</v>
      </c>
    </row>
    <row r="1711" spans="1:9" x14ac:dyDescent="0.3">
      <c r="A1711" s="2" t="s">
        <v>91</v>
      </c>
      <c r="B1711" s="3">
        <v>44370.5</v>
      </c>
      <c r="C1711" s="1" t="str">
        <f t="shared" si="28"/>
        <v>21175</v>
      </c>
      <c r="D1711" t="s">
        <v>33</v>
      </c>
      <c r="E1711" s="2" t="s">
        <v>39</v>
      </c>
      <c r="F1711" s="2" t="str">
        <f>_xlfn.XLOOKUP(Table1_1[[#This Row],[CAS_rn]],[1]analyte_order!$C:$C,[1]analyte_order!$B:$B)</f>
        <v>ADONA</v>
      </c>
      <c r="G1711" t="s">
        <v>138</v>
      </c>
      <c r="H1711" s="2">
        <f>_xlfn.XLOOKUP(Table1_1[[#This Row],[CAS_rn]],[1]analyte_order!$C:$C,[1]analyte_order!$E:$E)</f>
        <v>35</v>
      </c>
      <c r="I1711">
        <v>0.2</v>
      </c>
    </row>
    <row r="1712" spans="1:9" x14ac:dyDescent="0.3">
      <c r="A1712" s="2" t="s">
        <v>91</v>
      </c>
      <c r="B1712" s="3">
        <v>44370.5</v>
      </c>
      <c r="C1712" s="1" t="str">
        <f t="shared" si="28"/>
        <v>21175</v>
      </c>
      <c r="D1712" t="s">
        <v>33</v>
      </c>
      <c r="E1712" s="2" t="s">
        <v>39</v>
      </c>
      <c r="F1712" s="2" t="str">
        <f>_xlfn.XLOOKUP(Table1_1[[#This Row],[CAS_rn]],[1]analyte_order!$C:$C,[1]analyte_order!$B:$B)</f>
        <v>PFMBA</v>
      </c>
      <c r="G1712" t="s">
        <v>139</v>
      </c>
      <c r="H1712" s="2">
        <f>_xlfn.XLOOKUP(Table1_1[[#This Row],[CAS_rn]],[1]analyte_order!$C:$C,[1]analyte_order!$E:$E)</f>
        <v>48</v>
      </c>
      <c r="I1712">
        <v>0.1</v>
      </c>
    </row>
    <row r="1713" spans="1:9" x14ac:dyDescent="0.3">
      <c r="A1713" s="2" t="s">
        <v>91</v>
      </c>
      <c r="B1713" s="3">
        <v>44370.5</v>
      </c>
      <c r="C1713" s="1" t="str">
        <f t="shared" si="28"/>
        <v>21175</v>
      </c>
      <c r="D1713" t="s">
        <v>33</v>
      </c>
      <c r="E1713" s="2" t="s">
        <v>39</v>
      </c>
      <c r="F1713" s="2" t="str">
        <f>_xlfn.XLOOKUP(Table1_1[[#This Row],[CAS_rn]],[1]analyte_order!$C:$C,[1]analyte_order!$B:$B)</f>
        <v>NFDHA</v>
      </c>
      <c r="G1713" t="s">
        <v>140</v>
      </c>
      <c r="H1713" s="2">
        <f>_xlfn.XLOOKUP(Table1_1[[#This Row],[CAS_rn]],[1]analyte_order!$C:$C,[1]analyte_order!$E:$E)</f>
        <v>50</v>
      </c>
      <c r="I1713">
        <v>0.1</v>
      </c>
    </row>
    <row r="1714" spans="1:9" x14ac:dyDescent="0.3">
      <c r="A1714" s="2" t="s">
        <v>91</v>
      </c>
      <c r="B1714" s="3">
        <v>44370.5</v>
      </c>
      <c r="C1714" s="1" t="str">
        <f t="shared" si="28"/>
        <v>21175</v>
      </c>
      <c r="D1714" t="s">
        <v>33</v>
      </c>
      <c r="E1714" s="2" t="s">
        <v>39</v>
      </c>
      <c r="F1714" s="2" t="str">
        <f>_xlfn.XLOOKUP(Table1_1[[#This Row],[CAS_rn]],[1]analyte_order!$C:$C,[1]analyte_order!$B:$B)</f>
        <v>9Cl-PF3ONS</v>
      </c>
      <c r="G1714" t="s">
        <v>141</v>
      </c>
      <c r="H1714" s="2">
        <f>_xlfn.XLOOKUP(Table1_1[[#This Row],[CAS_rn]],[1]analyte_order!$C:$C,[1]analyte_order!$E:$E)</f>
        <v>36</v>
      </c>
      <c r="I1714">
        <v>0.2</v>
      </c>
    </row>
    <row r="1715" spans="1:9" x14ac:dyDescent="0.3">
      <c r="A1715" s="2" t="s">
        <v>91</v>
      </c>
      <c r="B1715" s="3">
        <v>44370.5</v>
      </c>
      <c r="C1715" s="1" t="str">
        <f t="shared" si="28"/>
        <v>21175</v>
      </c>
      <c r="D1715" t="s">
        <v>33</v>
      </c>
      <c r="E1715" s="2" t="s">
        <v>39</v>
      </c>
      <c r="F1715" s="2" t="str">
        <f>_xlfn.XLOOKUP(Table1_1[[#This Row],[CAS_rn]],[1]analyte_order!$C:$C,[1]analyte_order!$B:$B)</f>
        <v>11Cl-PF3OUdS</v>
      </c>
      <c r="G1715" t="s">
        <v>142</v>
      </c>
      <c r="H1715" s="2">
        <f>_xlfn.XLOOKUP(Table1_1[[#This Row],[CAS_rn]],[1]analyte_order!$C:$C,[1]analyte_order!$E:$E)</f>
        <v>37</v>
      </c>
      <c r="I1715">
        <v>0.2</v>
      </c>
    </row>
    <row r="1716" spans="1:9" x14ac:dyDescent="0.3">
      <c r="A1716" s="2" t="s">
        <v>91</v>
      </c>
      <c r="B1716" s="3">
        <v>44370.5</v>
      </c>
      <c r="C1716" s="1" t="str">
        <f t="shared" si="28"/>
        <v>21175</v>
      </c>
      <c r="D1716" t="s">
        <v>33</v>
      </c>
      <c r="E1716" s="2" t="s">
        <v>39</v>
      </c>
      <c r="F1716" s="2" t="str">
        <f>_xlfn.XLOOKUP(Table1_1[[#This Row],[CAS_rn]],[1]analyte_order!$C:$C,[1]analyte_order!$B:$B)</f>
        <v>PFEESA</v>
      </c>
      <c r="G1716" t="s">
        <v>143</v>
      </c>
      <c r="H1716" s="2">
        <f>_xlfn.XLOOKUP(Table1_1[[#This Row],[CAS_rn]],[1]analyte_order!$C:$C,[1]analyte_order!$E:$E)</f>
        <v>47</v>
      </c>
      <c r="I1716">
        <v>0.1</v>
      </c>
    </row>
    <row r="1717" spans="1:9" x14ac:dyDescent="0.3">
      <c r="A1717" s="2" t="s">
        <v>91</v>
      </c>
      <c r="B1717" s="3">
        <v>44370.5</v>
      </c>
      <c r="C1717" s="1" t="str">
        <f t="shared" si="28"/>
        <v>21175</v>
      </c>
      <c r="D1717" t="s">
        <v>33</v>
      </c>
      <c r="E1717" s="2" t="s">
        <v>39</v>
      </c>
      <c r="F1717" s="2" t="str">
        <f>_xlfn.XLOOKUP(Table1_1[[#This Row],[CAS_rn]],[1]analyte_order!$C:$C,[1]analyte_order!$B:$B)</f>
        <v>3:3 FTCA</v>
      </c>
      <c r="G1717" t="s">
        <v>144</v>
      </c>
      <c r="H1717" s="2">
        <f>_xlfn.XLOOKUP(Table1_1[[#This Row],[CAS_rn]],[1]analyte_order!$C:$C,[1]analyte_order!$E:$E)</f>
        <v>38</v>
      </c>
      <c r="I1717">
        <v>0.25</v>
      </c>
    </row>
    <row r="1718" spans="1:9" x14ac:dyDescent="0.3">
      <c r="A1718" s="2" t="s">
        <v>91</v>
      </c>
      <c r="B1718" s="3">
        <v>44370.5</v>
      </c>
      <c r="C1718" s="1" t="str">
        <f t="shared" si="28"/>
        <v>21175</v>
      </c>
      <c r="D1718" t="s">
        <v>33</v>
      </c>
      <c r="E1718" s="2" t="s">
        <v>39</v>
      </c>
      <c r="F1718" s="2" t="str">
        <f>_xlfn.XLOOKUP(Table1_1[[#This Row],[CAS_rn]],[1]analyte_order!$C:$C,[1]analyte_order!$B:$B)</f>
        <v>5:3 FTCA</v>
      </c>
      <c r="G1718" t="s">
        <v>145</v>
      </c>
      <c r="H1718" s="2">
        <f>_xlfn.XLOOKUP(Table1_1[[#This Row],[CAS_rn]],[1]analyte_order!$C:$C,[1]analyte_order!$E:$E)</f>
        <v>39</v>
      </c>
      <c r="I1718">
        <v>1.25</v>
      </c>
    </row>
    <row r="1719" spans="1:9" x14ac:dyDescent="0.3">
      <c r="A1719" s="2" t="s">
        <v>91</v>
      </c>
      <c r="B1719" s="3">
        <v>44370.5</v>
      </c>
      <c r="C1719" s="1" t="str">
        <f t="shared" si="28"/>
        <v>21175</v>
      </c>
      <c r="D1719" t="s">
        <v>33</v>
      </c>
      <c r="E1719" s="2" t="s">
        <v>39</v>
      </c>
      <c r="F1719" s="2" t="str">
        <f>_xlfn.XLOOKUP(Table1_1[[#This Row],[CAS_rn]],[1]analyte_order!$C:$C,[1]analyte_order!$B:$B)</f>
        <v>7:3 FTCA</v>
      </c>
      <c r="G1719" t="s">
        <v>146</v>
      </c>
      <c r="H1719" s="2">
        <f>_xlfn.XLOOKUP(Table1_1[[#This Row],[CAS_rn]],[1]analyte_order!$C:$C,[1]analyte_order!$E:$E)</f>
        <v>40</v>
      </c>
      <c r="I1719">
        <v>1.25</v>
      </c>
    </row>
    <row r="1720" spans="1:9" x14ac:dyDescent="0.3">
      <c r="A1720" s="2" t="s">
        <v>91</v>
      </c>
      <c r="B1720" s="3">
        <v>44370.5</v>
      </c>
      <c r="C1720" s="1" t="str">
        <f t="shared" si="28"/>
        <v>21175</v>
      </c>
      <c r="D1720" t="s">
        <v>33</v>
      </c>
      <c r="E1720" s="2" t="s">
        <v>39</v>
      </c>
      <c r="F1720" s="2" t="str">
        <f>_xlfn.XLOOKUP(Table1_1[[#This Row],[CAS_rn]],[1]analyte_order!$C:$C,[1]analyte_order!$B:$B)</f>
        <v>PFDS</v>
      </c>
      <c r="G1720" t="s">
        <v>147</v>
      </c>
      <c r="H1720" s="2">
        <f>_xlfn.XLOOKUP(Table1_1[[#This Row],[CAS_rn]],[1]analyte_order!$C:$C,[1]analyte_order!$E:$E)</f>
        <v>20</v>
      </c>
      <c r="I1720">
        <v>0.05</v>
      </c>
    </row>
    <row r="1721" spans="1:9" x14ac:dyDescent="0.3">
      <c r="A1721" s="2" t="s">
        <v>91</v>
      </c>
      <c r="B1721" s="3">
        <v>44370.5</v>
      </c>
      <c r="C1721" s="1" t="str">
        <f t="shared" si="28"/>
        <v>21175</v>
      </c>
      <c r="D1721" t="s">
        <v>33</v>
      </c>
      <c r="E1721" s="2" t="s">
        <v>39</v>
      </c>
      <c r="F1721" s="2" t="str">
        <f>_xlfn.XLOOKUP(Table1_1[[#This Row],[CAS_rn]],[1]analyte_order!$C:$C,[1]analyte_order!$B:$B)</f>
        <v>PFMPA</v>
      </c>
      <c r="G1721" t="s">
        <v>148</v>
      </c>
      <c r="H1721" s="2">
        <f>_xlfn.XLOOKUP(Table1_1[[#This Row],[CAS_rn]],[1]analyte_order!$C:$C,[1]analyte_order!$E:$E)</f>
        <v>49</v>
      </c>
      <c r="I1721">
        <v>0.1</v>
      </c>
    </row>
    <row r="1722" spans="1:9" x14ac:dyDescent="0.3">
      <c r="A1722" s="2" t="s">
        <v>92</v>
      </c>
      <c r="B1722" s="3">
        <v>44370.5</v>
      </c>
      <c r="C1722" s="1" t="str">
        <f t="shared" si="28"/>
        <v>21175</v>
      </c>
      <c r="D1722" t="s">
        <v>29</v>
      </c>
      <c r="E1722" s="2" t="s">
        <v>39</v>
      </c>
      <c r="F1722" s="2" t="str">
        <f>_xlfn.XLOOKUP(Table1_1[[#This Row],[CAS_rn]],[1]analyte_order!$C:$C,[1]analyte_order!$B:$B)</f>
        <v>PFBA</v>
      </c>
      <c r="G1722" t="s">
        <v>109</v>
      </c>
      <c r="H1722" s="2">
        <f>_xlfn.XLOOKUP(Table1_1[[#This Row],[CAS_rn]],[1]analyte_order!$C:$C,[1]analyte_order!$E:$E)</f>
        <v>1</v>
      </c>
      <c r="I1722">
        <v>0.2</v>
      </c>
    </row>
    <row r="1723" spans="1:9" x14ac:dyDescent="0.3">
      <c r="A1723" s="2" t="s">
        <v>92</v>
      </c>
      <c r="B1723" s="3">
        <v>44370.5</v>
      </c>
      <c r="C1723" s="1" t="str">
        <f t="shared" si="28"/>
        <v>21175</v>
      </c>
      <c r="D1723" t="s">
        <v>29</v>
      </c>
      <c r="E1723" s="2" t="s">
        <v>39</v>
      </c>
      <c r="F1723" s="2" t="str">
        <f>_xlfn.XLOOKUP(Table1_1[[#This Row],[CAS_rn]],[1]analyte_order!$C:$C,[1]analyte_order!$B:$B)</f>
        <v>PFPeA</v>
      </c>
      <c r="G1723" t="s">
        <v>110</v>
      </c>
      <c r="H1723" s="2">
        <f>_xlfn.XLOOKUP(Table1_1[[#This Row],[CAS_rn]],[1]analyte_order!$C:$C,[1]analyte_order!$E:$E)</f>
        <v>2</v>
      </c>
      <c r="I1723">
        <v>0.1</v>
      </c>
    </row>
    <row r="1724" spans="1:9" x14ac:dyDescent="0.3">
      <c r="A1724" s="2" t="s">
        <v>92</v>
      </c>
      <c r="B1724" s="3">
        <v>44370.5</v>
      </c>
      <c r="C1724" s="1" t="str">
        <f t="shared" si="28"/>
        <v>21175</v>
      </c>
      <c r="D1724" t="s">
        <v>29</v>
      </c>
      <c r="E1724" s="2" t="s">
        <v>39</v>
      </c>
      <c r="F1724" s="2" t="str">
        <f>_xlfn.XLOOKUP(Table1_1[[#This Row],[CAS_rn]],[1]analyte_order!$C:$C,[1]analyte_order!$B:$B)</f>
        <v>PFHxA</v>
      </c>
      <c r="G1724" t="s">
        <v>111</v>
      </c>
      <c r="H1724" s="2">
        <f>_xlfn.XLOOKUP(Table1_1[[#This Row],[CAS_rn]],[1]analyte_order!$C:$C,[1]analyte_order!$E:$E)</f>
        <v>3</v>
      </c>
      <c r="I1724">
        <v>0.09</v>
      </c>
    </row>
    <row r="1725" spans="1:9" x14ac:dyDescent="0.3">
      <c r="A1725" s="2" t="s">
        <v>92</v>
      </c>
      <c r="B1725" s="3">
        <v>44370.5</v>
      </c>
      <c r="C1725" s="1" t="str">
        <f t="shared" si="28"/>
        <v>21175</v>
      </c>
      <c r="D1725" t="s">
        <v>29</v>
      </c>
      <c r="E1725" s="2" t="s">
        <v>39</v>
      </c>
      <c r="F1725" s="2" t="str">
        <f>_xlfn.XLOOKUP(Table1_1[[#This Row],[CAS_rn]],[1]analyte_order!$C:$C,[1]analyte_order!$B:$B)</f>
        <v>PFHpA</v>
      </c>
      <c r="G1725" t="s">
        <v>112</v>
      </c>
      <c r="H1725" s="2">
        <f>_xlfn.XLOOKUP(Table1_1[[#This Row],[CAS_rn]],[1]analyte_order!$C:$C,[1]analyte_order!$E:$E)</f>
        <v>4</v>
      </c>
      <c r="I1725">
        <v>0.09</v>
      </c>
    </row>
    <row r="1726" spans="1:9" x14ac:dyDescent="0.3">
      <c r="A1726" s="2" t="s">
        <v>92</v>
      </c>
      <c r="B1726" s="3">
        <v>44370.5</v>
      </c>
      <c r="C1726" s="1" t="str">
        <f t="shared" si="28"/>
        <v>21175</v>
      </c>
      <c r="D1726" t="s">
        <v>29</v>
      </c>
      <c r="E1726" s="2" t="s">
        <v>39</v>
      </c>
      <c r="F1726" s="2" t="str">
        <f>_xlfn.XLOOKUP(Table1_1[[#This Row],[CAS_rn]],[1]analyte_order!$C:$C,[1]analyte_order!$B:$B)</f>
        <v>PFOA</v>
      </c>
      <c r="G1726" t="s">
        <v>113</v>
      </c>
      <c r="H1726" s="2">
        <f>_xlfn.XLOOKUP(Table1_1[[#This Row],[CAS_rn]],[1]analyte_order!$C:$C,[1]analyte_order!$E:$E)</f>
        <v>5</v>
      </c>
      <c r="I1726">
        <v>0.13</v>
      </c>
    </row>
    <row r="1727" spans="1:9" x14ac:dyDescent="0.3">
      <c r="A1727" s="2" t="s">
        <v>92</v>
      </c>
      <c r="B1727" s="3">
        <v>44370.5</v>
      </c>
      <c r="C1727" s="1" t="str">
        <f t="shared" si="28"/>
        <v>21175</v>
      </c>
      <c r="D1727" t="s">
        <v>29</v>
      </c>
      <c r="E1727" s="2" t="s">
        <v>39</v>
      </c>
      <c r="F1727" s="2" t="str">
        <f>_xlfn.XLOOKUP(Table1_1[[#This Row],[CAS_rn]],[1]analyte_order!$C:$C,[1]analyte_order!$B:$B)</f>
        <v>PFNA</v>
      </c>
      <c r="G1727" t="s">
        <v>114</v>
      </c>
      <c r="H1727" s="2">
        <f>_xlfn.XLOOKUP(Table1_1[[#This Row],[CAS_rn]],[1]analyte_order!$C:$C,[1]analyte_order!$E:$E)</f>
        <v>6</v>
      </c>
      <c r="I1727">
        <v>0.05</v>
      </c>
    </row>
    <row r="1728" spans="1:9" x14ac:dyDescent="0.3">
      <c r="A1728" s="2" t="s">
        <v>92</v>
      </c>
      <c r="B1728" s="3">
        <v>44370.5</v>
      </c>
      <c r="C1728" s="1" t="str">
        <f t="shared" si="28"/>
        <v>21175</v>
      </c>
      <c r="D1728" t="s">
        <v>29</v>
      </c>
      <c r="E1728" s="2" t="s">
        <v>39</v>
      </c>
      <c r="F1728" s="2" t="str">
        <f>_xlfn.XLOOKUP(Table1_1[[#This Row],[CAS_rn]],[1]analyte_order!$C:$C,[1]analyte_order!$B:$B)</f>
        <v>PFDA</v>
      </c>
      <c r="G1728" t="s">
        <v>115</v>
      </c>
      <c r="H1728" s="2">
        <f>_xlfn.XLOOKUP(Table1_1[[#This Row],[CAS_rn]],[1]analyte_order!$C:$C,[1]analyte_order!$E:$E)</f>
        <v>7</v>
      </c>
      <c r="I1728">
        <v>0.05</v>
      </c>
    </row>
    <row r="1729" spans="1:9" x14ac:dyDescent="0.3">
      <c r="A1729" s="2" t="s">
        <v>92</v>
      </c>
      <c r="B1729" s="3">
        <v>44370.5</v>
      </c>
      <c r="C1729" s="1" t="str">
        <f t="shared" si="28"/>
        <v>21175</v>
      </c>
      <c r="D1729" t="s">
        <v>29</v>
      </c>
      <c r="E1729" s="2" t="s">
        <v>39</v>
      </c>
      <c r="F1729" s="2" t="str">
        <f>_xlfn.XLOOKUP(Table1_1[[#This Row],[CAS_rn]],[1]analyte_order!$C:$C,[1]analyte_order!$B:$B)</f>
        <v>PFUnA</v>
      </c>
      <c r="G1729" t="s">
        <v>116</v>
      </c>
      <c r="H1729" s="2">
        <f>_xlfn.XLOOKUP(Table1_1[[#This Row],[CAS_rn]],[1]analyte_order!$C:$C,[1]analyte_order!$E:$E)</f>
        <v>8</v>
      </c>
      <c r="I1729">
        <v>0.05</v>
      </c>
    </row>
    <row r="1730" spans="1:9" x14ac:dyDescent="0.3">
      <c r="A1730" s="2" t="s">
        <v>92</v>
      </c>
      <c r="B1730" s="3">
        <v>44370.5</v>
      </c>
      <c r="C1730" s="1" t="str">
        <f t="shared" si="28"/>
        <v>21175</v>
      </c>
      <c r="D1730" t="s">
        <v>29</v>
      </c>
      <c r="E1730" s="2" t="s">
        <v>39</v>
      </c>
      <c r="F1730" s="2" t="str">
        <f>_xlfn.XLOOKUP(Table1_1[[#This Row],[CAS_rn]],[1]analyte_order!$C:$C,[1]analyte_order!$B:$B)</f>
        <v>PFDoA</v>
      </c>
      <c r="G1730" t="s">
        <v>117</v>
      </c>
      <c r="H1730" s="2">
        <f>_xlfn.XLOOKUP(Table1_1[[#This Row],[CAS_rn]],[1]analyte_order!$C:$C,[1]analyte_order!$E:$E)</f>
        <v>9</v>
      </c>
      <c r="I1730">
        <v>0.05</v>
      </c>
    </row>
    <row r="1731" spans="1:9" x14ac:dyDescent="0.3">
      <c r="A1731" s="2" t="s">
        <v>92</v>
      </c>
      <c r="B1731" s="3">
        <v>44370.5</v>
      </c>
      <c r="C1731" s="1" t="str">
        <f t="shared" si="28"/>
        <v>21175</v>
      </c>
      <c r="D1731" t="s">
        <v>29</v>
      </c>
      <c r="E1731" s="2" t="s">
        <v>39</v>
      </c>
      <c r="F1731" s="2" t="str">
        <f>_xlfn.XLOOKUP(Table1_1[[#This Row],[CAS_rn]],[1]analyte_order!$C:$C,[1]analyte_order!$B:$B)</f>
        <v>PFTrDA</v>
      </c>
      <c r="G1731" t="s">
        <v>118</v>
      </c>
      <c r="H1731" s="2">
        <f>_xlfn.XLOOKUP(Table1_1[[#This Row],[CAS_rn]],[1]analyte_order!$C:$C,[1]analyte_order!$E:$E)</f>
        <v>10</v>
      </c>
      <c r="I1731">
        <v>0.05</v>
      </c>
    </row>
    <row r="1732" spans="1:9" x14ac:dyDescent="0.3">
      <c r="A1732" s="2" t="s">
        <v>92</v>
      </c>
      <c r="B1732" s="3">
        <v>44370.5</v>
      </c>
      <c r="C1732" s="1" t="str">
        <f t="shared" si="28"/>
        <v>21175</v>
      </c>
      <c r="D1732" t="s">
        <v>29</v>
      </c>
      <c r="E1732" s="2" t="s">
        <v>39</v>
      </c>
      <c r="F1732" s="2" t="str">
        <f>_xlfn.XLOOKUP(Table1_1[[#This Row],[CAS_rn]],[1]analyte_order!$C:$C,[1]analyte_order!$B:$B)</f>
        <v>PFTeDA</v>
      </c>
      <c r="G1732" t="s">
        <v>119</v>
      </c>
      <c r="H1732" s="2">
        <f>_xlfn.XLOOKUP(Table1_1[[#This Row],[CAS_rn]],[1]analyte_order!$C:$C,[1]analyte_order!$E:$E)</f>
        <v>11</v>
      </c>
      <c r="I1732">
        <v>0.05</v>
      </c>
    </row>
    <row r="1733" spans="1:9" x14ac:dyDescent="0.3">
      <c r="A1733" s="2" t="s">
        <v>92</v>
      </c>
      <c r="B1733" s="3">
        <v>44370.5</v>
      </c>
      <c r="C1733" s="1" t="str">
        <f t="shared" si="28"/>
        <v>21175</v>
      </c>
      <c r="D1733" t="s">
        <v>29</v>
      </c>
      <c r="E1733" s="2" t="s">
        <v>39</v>
      </c>
      <c r="F1733" s="2" t="str">
        <f>_xlfn.XLOOKUP(Table1_1[[#This Row],[CAS_rn]],[1]analyte_order!$C:$C,[1]analyte_order!$B:$B)</f>
        <v>PFBS</v>
      </c>
      <c r="G1733" t="s">
        <v>120</v>
      </c>
      <c r="H1733" s="2">
        <f>_xlfn.XLOOKUP(Table1_1[[#This Row],[CAS_rn]],[1]analyte_order!$C:$C,[1]analyte_order!$E:$E)</f>
        <v>14</v>
      </c>
      <c r="I1733">
        <v>0.05</v>
      </c>
    </row>
    <row r="1734" spans="1:9" x14ac:dyDescent="0.3">
      <c r="A1734" s="2" t="s">
        <v>92</v>
      </c>
      <c r="B1734" s="3">
        <v>44370.5</v>
      </c>
      <c r="C1734" s="1" t="str">
        <f t="shared" si="28"/>
        <v>21175</v>
      </c>
      <c r="D1734" t="s">
        <v>29</v>
      </c>
      <c r="E1734" s="2" t="s">
        <v>39</v>
      </c>
      <c r="F1734" s="2" t="str">
        <f>_xlfn.XLOOKUP(Table1_1[[#This Row],[CAS_rn]],[1]analyte_order!$C:$C,[1]analyte_order!$B:$B)</f>
        <v>PFPeS</v>
      </c>
      <c r="G1734" t="s">
        <v>121</v>
      </c>
      <c r="H1734" s="2">
        <f>_xlfn.XLOOKUP(Table1_1[[#This Row],[CAS_rn]],[1]analyte_order!$C:$C,[1]analyte_order!$E:$E)</f>
        <v>15</v>
      </c>
      <c r="I1734">
        <v>0.05</v>
      </c>
    </row>
    <row r="1735" spans="1:9" x14ac:dyDescent="0.3">
      <c r="A1735" s="2" t="s">
        <v>92</v>
      </c>
      <c r="B1735" s="3">
        <v>44370.5</v>
      </c>
      <c r="C1735" s="1" t="str">
        <f t="shared" si="28"/>
        <v>21175</v>
      </c>
      <c r="D1735" t="s">
        <v>29</v>
      </c>
      <c r="E1735" s="2" t="s">
        <v>39</v>
      </c>
      <c r="F1735" s="2" t="str">
        <f>_xlfn.XLOOKUP(Table1_1[[#This Row],[CAS_rn]],[1]analyte_order!$C:$C,[1]analyte_order!$B:$B)</f>
        <v>PFHxS</v>
      </c>
      <c r="G1735" t="s">
        <v>122</v>
      </c>
      <c r="H1735" s="2">
        <f>_xlfn.XLOOKUP(Table1_1[[#This Row],[CAS_rn]],[1]analyte_order!$C:$C,[1]analyte_order!$E:$E)</f>
        <v>16</v>
      </c>
      <c r="I1735">
        <v>0.25</v>
      </c>
    </row>
    <row r="1736" spans="1:9" x14ac:dyDescent="0.3">
      <c r="A1736" s="2" t="s">
        <v>92</v>
      </c>
      <c r="B1736" s="3">
        <v>44370.5</v>
      </c>
      <c r="C1736" s="1" t="str">
        <f t="shared" si="28"/>
        <v>21175</v>
      </c>
      <c r="D1736" t="s">
        <v>29</v>
      </c>
      <c r="E1736" s="2" t="s">
        <v>39</v>
      </c>
      <c r="F1736" s="2" t="str">
        <f>_xlfn.XLOOKUP(Table1_1[[#This Row],[CAS_rn]],[1]analyte_order!$C:$C,[1]analyte_order!$B:$B)</f>
        <v>PFHpS</v>
      </c>
      <c r="G1736" t="s">
        <v>123</v>
      </c>
      <c r="H1736" s="2">
        <f>_xlfn.XLOOKUP(Table1_1[[#This Row],[CAS_rn]],[1]analyte_order!$C:$C,[1]analyte_order!$E:$E)</f>
        <v>17</v>
      </c>
      <c r="I1736">
        <v>0.05</v>
      </c>
    </row>
    <row r="1737" spans="1:9" x14ac:dyDescent="0.3">
      <c r="A1737" s="2" t="s">
        <v>92</v>
      </c>
      <c r="B1737" s="3">
        <v>44370.5</v>
      </c>
      <c r="C1737" s="1" t="str">
        <f t="shared" si="28"/>
        <v>21175</v>
      </c>
      <c r="D1737" t="s">
        <v>29</v>
      </c>
      <c r="E1737" s="2" t="s">
        <v>39</v>
      </c>
      <c r="F1737" s="2" t="str">
        <f>_xlfn.XLOOKUP(Table1_1[[#This Row],[CAS_rn]],[1]analyte_order!$C:$C,[1]analyte_order!$B:$B)</f>
        <v>PFOS</v>
      </c>
      <c r="G1737" t="s">
        <v>124</v>
      </c>
      <c r="H1737" s="2">
        <f>_xlfn.XLOOKUP(Table1_1[[#This Row],[CAS_rn]],[1]analyte_order!$C:$C,[1]analyte_order!$E:$E)</f>
        <v>18</v>
      </c>
      <c r="I1737">
        <v>0.75</v>
      </c>
    </row>
    <row r="1738" spans="1:9" x14ac:dyDescent="0.3">
      <c r="A1738" s="2" t="s">
        <v>92</v>
      </c>
      <c r="B1738" s="3">
        <v>44370.5</v>
      </c>
      <c r="C1738" s="1" t="str">
        <f t="shared" si="28"/>
        <v>21175</v>
      </c>
      <c r="D1738" t="s">
        <v>29</v>
      </c>
      <c r="E1738" s="2" t="s">
        <v>39</v>
      </c>
      <c r="F1738" s="2" t="str">
        <f>_xlfn.XLOOKUP(Table1_1[[#This Row],[CAS_rn]],[1]analyte_order!$C:$C,[1]analyte_order!$B:$B)</f>
        <v>PFNS</v>
      </c>
      <c r="G1738" t="s">
        <v>125</v>
      </c>
      <c r="H1738" s="2">
        <f>_xlfn.XLOOKUP(Table1_1[[#This Row],[CAS_rn]],[1]analyte_order!$C:$C,[1]analyte_order!$E:$E)</f>
        <v>19</v>
      </c>
      <c r="I1738">
        <v>0.05</v>
      </c>
    </row>
    <row r="1739" spans="1:9" x14ac:dyDescent="0.3">
      <c r="A1739" s="2" t="s">
        <v>92</v>
      </c>
      <c r="B1739" s="3">
        <v>44370.5</v>
      </c>
      <c r="C1739" s="1" t="str">
        <f t="shared" ref="C1739:C1802" si="29">TEXT(B1739,"yy")&amp;TEXT((B1739-DATEVALUE("1/1/"&amp;TEXT(B1739,"yy"))+1),"000")</f>
        <v>21175</v>
      </c>
      <c r="D1739" t="s">
        <v>29</v>
      </c>
      <c r="E1739" s="2" t="s">
        <v>39</v>
      </c>
      <c r="F1739" s="2" t="str">
        <f>_xlfn.XLOOKUP(Table1_1[[#This Row],[CAS_rn]],[1]analyte_order!$C:$C,[1]analyte_order!$B:$B)</f>
        <v>PFDoS</v>
      </c>
      <c r="G1739" t="s">
        <v>126</v>
      </c>
      <c r="H1739" s="2">
        <f>_xlfn.XLOOKUP(Table1_1[[#This Row],[CAS_rn]],[1]analyte_order!$C:$C,[1]analyte_order!$E:$E)</f>
        <v>21</v>
      </c>
      <c r="I1739">
        <v>0.05</v>
      </c>
    </row>
    <row r="1740" spans="1:9" x14ac:dyDescent="0.3">
      <c r="A1740" s="2" t="s">
        <v>92</v>
      </c>
      <c r="B1740" s="3">
        <v>44370.5</v>
      </c>
      <c r="C1740" s="1" t="str">
        <f t="shared" si="29"/>
        <v>21175</v>
      </c>
      <c r="D1740" t="s">
        <v>29</v>
      </c>
      <c r="E1740" s="2" t="s">
        <v>39</v>
      </c>
      <c r="F1740" s="2" t="str">
        <f>_xlfn.XLOOKUP(Table1_1[[#This Row],[CAS_rn]],[1]analyte_order!$C:$C,[1]analyte_order!$B:$B)</f>
        <v>4:2 FTS</v>
      </c>
      <c r="G1740" t="s">
        <v>127</v>
      </c>
      <c r="H1740" s="2">
        <f>_xlfn.XLOOKUP(Table1_1[[#This Row],[CAS_rn]],[1]analyte_order!$C:$C,[1]analyte_order!$E:$E)</f>
        <v>22</v>
      </c>
      <c r="I1740">
        <v>0.2</v>
      </c>
    </row>
    <row r="1741" spans="1:9" x14ac:dyDescent="0.3">
      <c r="A1741" s="2" t="s">
        <v>92</v>
      </c>
      <c r="B1741" s="3">
        <v>44370.5</v>
      </c>
      <c r="C1741" s="1" t="str">
        <f t="shared" si="29"/>
        <v>21175</v>
      </c>
      <c r="D1741" t="s">
        <v>29</v>
      </c>
      <c r="E1741" s="2" t="s">
        <v>39</v>
      </c>
      <c r="F1741" s="2" t="str">
        <f>_xlfn.XLOOKUP(Table1_1[[#This Row],[CAS_rn]],[1]analyte_order!$C:$C,[1]analyte_order!$B:$B)</f>
        <v>6:2 FTS</v>
      </c>
      <c r="G1741" t="s">
        <v>128</v>
      </c>
      <c r="H1741" s="2">
        <f>_xlfn.XLOOKUP(Table1_1[[#This Row],[CAS_rn]],[1]analyte_order!$C:$C,[1]analyte_order!$E:$E)</f>
        <v>23</v>
      </c>
      <c r="I1741">
        <v>0.4</v>
      </c>
    </row>
    <row r="1742" spans="1:9" x14ac:dyDescent="0.3">
      <c r="A1742" s="2" t="s">
        <v>92</v>
      </c>
      <c r="B1742" s="3">
        <v>44370.5</v>
      </c>
      <c r="C1742" s="1" t="str">
        <f t="shared" si="29"/>
        <v>21175</v>
      </c>
      <c r="D1742" t="s">
        <v>29</v>
      </c>
      <c r="E1742" s="2" t="s">
        <v>39</v>
      </c>
      <c r="F1742" s="2" t="str">
        <f>_xlfn.XLOOKUP(Table1_1[[#This Row],[CAS_rn]],[1]analyte_order!$C:$C,[1]analyte_order!$B:$B)</f>
        <v>8:2 FTS</v>
      </c>
      <c r="G1742" t="s">
        <v>129</v>
      </c>
      <c r="H1742" s="2">
        <f>_xlfn.XLOOKUP(Table1_1[[#This Row],[CAS_rn]],[1]analyte_order!$C:$C,[1]analyte_order!$E:$E)</f>
        <v>24</v>
      </c>
      <c r="I1742">
        <v>0.4</v>
      </c>
    </row>
    <row r="1743" spans="1:9" x14ac:dyDescent="0.3">
      <c r="A1743" s="2" t="s">
        <v>92</v>
      </c>
      <c r="B1743" s="3">
        <v>44370.5</v>
      </c>
      <c r="C1743" s="1" t="str">
        <f t="shared" si="29"/>
        <v>21175</v>
      </c>
      <c r="D1743" t="s">
        <v>29</v>
      </c>
      <c r="E1743" s="2" t="s">
        <v>39</v>
      </c>
      <c r="F1743" s="2" t="str">
        <f>_xlfn.XLOOKUP(Table1_1[[#This Row],[CAS_rn]],[1]analyte_order!$C:$C,[1]analyte_order!$B:$B)</f>
        <v>FOSA</v>
      </c>
      <c r="G1743" t="s">
        <v>130</v>
      </c>
      <c r="H1743" s="2">
        <f>_xlfn.XLOOKUP(Table1_1[[#This Row],[CAS_rn]],[1]analyte_order!$C:$C,[1]analyte_order!$E:$E)</f>
        <v>28</v>
      </c>
      <c r="I1743">
        <v>0.09</v>
      </c>
    </row>
    <row r="1744" spans="1:9" x14ac:dyDescent="0.3">
      <c r="A1744" s="2" t="s">
        <v>92</v>
      </c>
      <c r="B1744" s="3">
        <v>44370.5</v>
      </c>
      <c r="C1744" s="1" t="str">
        <f t="shared" si="29"/>
        <v>21175</v>
      </c>
      <c r="D1744" t="s">
        <v>29</v>
      </c>
      <c r="E1744" s="2" t="s">
        <v>39</v>
      </c>
      <c r="F1744" s="2" t="str">
        <f>_xlfn.XLOOKUP(Table1_1[[#This Row],[CAS_rn]],[1]analyte_order!$C:$C,[1]analyte_order!$B:$B)</f>
        <v>N-MeFOSA</v>
      </c>
      <c r="G1744" t="s">
        <v>131</v>
      </c>
      <c r="H1744" s="2">
        <f>_xlfn.XLOOKUP(Table1_1[[#This Row],[CAS_rn]],[1]analyte_order!$C:$C,[1]analyte_order!$E:$E)</f>
        <v>30</v>
      </c>
      <c r="I1744">
        <v>0.05</v>
      </c>
    </row>
    <row r="1745" spans="1:9" x14ac:dyDescent="0.3">
      <c r="A1745" s="2" t="s">
        <v>92</v>
      </c>
      <c r="B1745" s="3">
        <v>44370.5</v>
      </c>
      <c r="C1745" s="1" t="str">
        <f t="shared" si="29"/>
        <v>21175</v>
      </c>
      <c r="D1745" t="s">
        <v>29</v>
      </c>
      <c r="E1745" s="2" t="s">
        <v>39</v>
      </c>
      <c r="F1745" s="2" t="str">
        <f>_xlfn.XLOOKUP(Table1_1[[#This Row],[CAS_rn]],[1]analyte_order!$C:$C,[1]analyte_order!$B:$B)</f>
        <v>N-MeFOSAA</v>
      </c>
      <c r="G1745" t="s">
        <v>132</v>
      </c>
      <c r="H1745" s="2">
        <f>_xlfn.XLOOKUP(Table1_1[[#This Row],[CAS_rn]],[1]analyte_order!$C:$C,[1]analyte_order!$E:$E)</f>
        <v>26</v>
      </c>
      <c r="I1745">
        <v>0.05</v>
      </c>
    </row>
    <row r="1746" spans="1:9" x14ac:dyDescent="0.3">
      <c r="A1746" s="2" t="s">
        <v>92</v>
      </c>
      <c r="B1746" s="3">
        <v>44370.5</v>
      </c>
      <c r="C1746" s="1" t="str">
        <f t="shared" si="29"/>
        <v>21175</v>
      </c>
      <c r="D1746" t="s">
        <v>29</v>
      </c>
      <c r="E1746" s="2" t="s">
        <v>39</v>
      </c>
      <c r="F1746" s="2" t="str">
        <f>_xlfn.XLOOKUP(Table1_1[[#This Row],[CAS_rn]],[1]analyte_order!$C:$C,[1]analyte_order!$B:$B)</f>
        <v>N-EtFOSA</v>
      </c>
      <c r="G1746" t="s">
        <v>133</v>
      </c>
      <c r="H1746" s="2">
        <f>_xlfn.XLOOKUP(Table1_1[[#This Row],[CAS_rn]],[1]analyte_order!$C:$C,[1]analyte_order!$E:$E)</f>
        <v>31</v>
      </c>
      <c r="I1746">
        <v>0.05</v>
      </c>
    </row>
    <row r="1747" spans="1:9" x14ac:dyDescent="0.3">
      <c r="A1747" s="2" t="s">
        <v>92</v>
      </c>
      <c r="B1747" s="3">
        <v>44370.5</v>
      </c>
      <c r="C1747" s="1" t="str">
        <f t="shared" si="29"/>
        <v>21175</v>
      </c>
      <c r="D1747" t="s">
        <v>29</v>
      </c>
      <c r="E1747" s="2" t="s">
        <v>39</v>
      </c>
      <c r="F1747" s="2" t="str">
        <f>_xlfn.XLOOKUP(Table1_1[[#This Row],[CAS_rn]],[1]analyte_order!$C:$C,[1]analyte_order!$B:$B)</f>
        <v>N-EtFOSAA</v>
      </c>
      <c r="G1747" t="s">
        <v>134</v>
      </c>
      <c r="H1747" s="2">
        <f>_xlfn.XLOOKUP(Table1_1[[#This Row],[CAS_rn]],[1]analyte_order!$C:$C,[1]analyte_order!$E:$E)</f>
        <v>27</v>
      </c>
      <c r="I1747">
        <v>0.05</v>
      </c>
    </row>
    <row r="1748" spans="1:9" x14ac:dyDescent="0.3">
      <c r="A1748" s="2" t="s">
        <v>92</v>
      </c>
      <c r="B1748" s="3">
        <v>44370.5</v>
      </c>
      <c r="C1748" s="1" t="str">
        <f t="shared" si="29"/>
        <v>21175</v>
      </c>
      <c r="D1748" t="s">
        <v>29</v>
      </c>
      <c r="E1748" s="2" t="s">
        <v>39</v>
      </c>
      <c r="F1748" s="2" t="str">
        <f>_xlfn.XLOOKUP(Table1_1[[#This Row],[CAS_rn]],[1]analyte_order!$C:$C,[1]analyte_order!$B:$B)</f>
        <v>N-MeFOSE</v>
      </c>
      <c r="G1748" t="s">
        <v>135</v>
      </c>
      <c r="H1748" s="2">
        <f>_xlfn.XLOOKUP(Table1_1[[#This Row],[CAS_rn]],[1]analyte_order!$C:$C,[1]analyte_order!$E:$E)</f>
        <v>32</v>
      </c>
      <c r="I1748">
        <v>0.5</v>
      </c>
    </row>
    <row r="1749" spans="1:9" x14ac:dyDescent="0.3">
      <c r="A1749" s="2" t="s">
        <v>92</v>
      </c>
      <c r="B1749" s="3">
        <v>44370.5</v>
      </c>
      <c r="C1749" s="1" t="str">
        <f t="shared" si="29"/>
        <v>21175</v>
      </c>
      <c r="D1749" t="s">
        <v>29</v>
      </c>
      <c r="E1749" s="2" t="s">
        <v>39</v>
      </c>
      <c r="F1749" s="2" t="str">
        <f>_xlfn.XLOOKUP(Table1_1[[#This Row],[CAS_rn]],[1]analyte_order!$C:$C,[1]analyte_order!$B:$B)</f>
        <v>N-EtFOSE</v>
      </c>
      <c r="G1749" t="s">
        <v>136</v>
      </c>
      <c r="H1749" s="2">
        <f>_xlfn.XLOOKUP(Table1_1[[#This Row],[CAS_rn]],[1]analyte_order!$C:$C,[1]analyte_order!$E:$E)</f>
        <v>33</v>
      </c>
      <c r="I1749">
        <v>0.5</v>
      </c>
    </row>
    <row r="1750" spans="1:9" x14ac:dyDescent="0.3">
      <c r="A1750" s="2" t="s">
        <v>92</v>
      </c>
      <c r="B1750" s="3">
        <v>44370.5</v>
      </c>
      <c r="C1750" s="1" t="str">
        <f t="shared" si="29"/>
        <v>21175</v>
      </c>
      <c r="D1750" t="s">
        <v>29</v>
      </c>
      <c r="E1750" s="2" t="s">
        <v>39</v>
      </c>
      <c r="F1750" s="2" t="str">
        <f>_xlfn.XLOOKUP(Table1_1[[#This Row],[CAS_rn]],[1]analyte_order!$C:$C,[1]analyte_order!$B:$B)</f>
        <v>HFPO-DA</v>
      </c>
      <c r="G1750" t="s">
        <v>137</v>
      </c>
      <c r="H1750" s="2">
        <f>_xlfn.XLOOKUP(Table1_1[[#This Row],[CAS_rn]],[1]analyte_order!$C:$C,[1]analyte_order!$E:$E)</f>
        <v>34</v>
      </c>
      <c r="I1750">
        <v>0.3</v>
      </c>
    </row>
    <row r="1751" spans="1:9" x14ac:dyDescent="0.3">
      <c r="A1751" s="2" t="s">
        <v>92</v>
      </c>
      <c r="B1751" s="3">
        <v>44370.5</v>
      </c>
      <c r="C1751" s="1" t="str">
        <f t="shared" si="29"/>
        <v>21175</v>
      </c>
      <c r="D1751" t="s">
        <v>29</v>
      </c>
      <c r="E1751" s="2" t="s">
        <v>39</v>
      </c>
      <c r="F1751" s="2" t="str">
        <f>_xlfn.XLOOKUP(Table1_1[[#This Row],[CAS_rn]],[1]analyte_order!$C:$C,[1]analyte_order!$B:$B)</f>
        <v>ADONA</v>
      </c>
      <c r="G1751" t="s">
        <v>138</v>
      </c>
      <c r="H1751" s="2">
        <f>_xlfn.XLOOKUP(Table1_1[[#This Row],[CAS_rn]],[1]analyte_order!$C:$C,[1]analyte_order!$E:$E)</f>
        <v>35</v>
      </c>
      <c r="I1751">
        <v>0.2</v>
      </c>
    </row>
    <row r="1752" spans="1:9" x14ac:dyDescent="0.3">
      <c r="A1752" s="2" t="s">
        <v>92</v>
      </c>
      <c r="B1752" s="3">
        <v>44370.5</v>
      </c>
      <c r="C1752" s="1" t="str">
        <f t="shared" si="29"/>
        <v>21175</v>
      </c>
      <c r="D1752" t="s">
        <v>29</v>
      </c>
      <c r="E1752" s="2" t="s">
        <v>39</v>
      </c>
      <c r="F1752" s="2" t="str">
        <f>_xlfn.XLOOKUP(Table1_1[[#This Row],[CAS_rn]],[1]analyte_order!$C:$C,[1]analyte_order!$B:$B)</f>
        <v>PFMBA</v>
      </c>
      <c r="G1752" t="s">
        <v>139</v>
      </c>
      <c r="H1752" s="2">
        <f>_xlfn.XLOOKUP(Table1_1[[#This Row],[CAS_rn]],[1]analyte_order!$C:$C,[1]analyte_order!$E:$E)</f>
        <v>48</v>
      </c>
      <c r="I1752">
        <v>0.1</v>
      </c>
    </row>
    <row r="1753" spans="1:9" x14ac:dyDescent="0.3">
      <c r="A1753" s="2" t="s">
        <v>92</v>
      </c>
      <c r="B1753" s="3">
        <v>44370.5</v>
      </c>
      <c r="C1753" s="1" t="str">
        <f t="shared" si="29"/>
        <v>21175</v>
      </c>
      <c r="D1753" t="s">
        <v>29</v>
      </c>
      <c r="E1753" s="2" t="s">
        <v>39</v>
      </c>
      <c r="F1753" s="2" t="str">
        <f>_xlfn.XLOOKUP(Table1_1[[#This Row],[CAS_rn]],[1]analyte_order!$C:$C,[1]analyte_order!$B:$B)</f>
        <v>NFDHA</v>
      </c>
      <c r="G1753" t="s">
        <v>140</v>
      </c>
      <c r="H1753" s="2">
        <f>_xlfn.XLOOKUP(Table1_1[[#This Row],[CAS_rn]],[1]analyte_order!$C:$C,[1]analyte_order!$E:$E)</f>
        <v>50</v>
      </c>
      <c r="I1753">
        <v>0.1</v>
      </c>
    </row>
    <row r="1754" spans="1:9" x14ac:dyDescent="0.3">
      <c r="A1754" s="2" t="s">
        <v>92</v>
      </c>
      <c r="B1754" s="3">
        <v>44370.5</v>
      </c>
      <c r="C1754" s="1" t="str">
        <f t="shared" si="29"/>
        <v>21175</v>
      </c>
      <c r="D1754" t="s">
        <v>29</v>
      </c>
      <c r="E1754" s="2" t="s">
        <v>39</v>
      </c>
      <c r="F1754" s="2" t="str">
        <f>_xlfn.XLOOKUP(Table1_1[[#This Row],[CAS_rn]],[1]analyte_order!$C:$C,[1]analyte_order!$B:$B)</f>
        <v>9Cl-PF3ONS</v>
      </c>
      <c r="G1754" t="s">
        <v>141</v>
      </c>
      <c r="H1754" s="2">
        <f>_xlfn.XLOOKUP(Table1_1[[#This Row],[CAS_rn]],[1]analyte_order!$C:$C,[1]analyte_order!$E:$E)</f>
        <v>36</v>
      </c>
      <c r="I1754">
        <v>0.2</v>
      </c>
    </row>
    <row r="1755" spans="1:9" x14ac:dyDescent="0.3">
      <c r="A1755" s="2" t="s">
        <v>92</v>
      </c>
      <c r="B1755" s="3">
        <v>44370.5</v>
      </c>
      <c r="C1755" s="1" t="str">
        <f t="shared" si="29"/>
        <v>21175</v>
      </c>
      <c r="D1755" t="s">
        <v>29</v>
      </c>
      <c r="E1755" s="2" t="s">
        <v>39</v>
      </c>
      <c r="F1755" s="2" t="str">
        <f>_xlfn.XLOOKUP(Table1_1[[#This Row],[CAS_rn]],[1]analyte_order!$C:$C,[1]analyte_order!$B:$B)</f>
        <v>11Cl-PF3OUdS</v>
      </c>
      <c r="G1755" t="s">
        <v>142</v>
      </c>
      <c r="H1755" s="2">
        <f>_xlfn.XLOOKUP(Table1_1[[#This Row],[CAS_rn]],[1]analyte_order!$C:$C,[1]analyte_order!$E:$E)</f>
        <v>37</v>
      </c>
      <c r="I1755">
        <v>0.2</v>
      </c>
    </row>
    <row r="1756" spans="1:9" x14ac:dyDescent="0.3">
      <c r="A1756" s="2" t="s">
        <v>92</v>
      </c>
      <c r="B1756" s="3">
        <v>44370.5</v>
      </c>
      <c r="C1756" s="1" t="str">
        <f t="shared" si="29"/>
        <v>21175</v>
      </c>
      <c r="D1756" t="s">
        <v>29</v>
      </c>
      <c r="E1756" s="2" t="s">
        <v>39</v>
      </c>
      <c r="F1756" s="2" t="str">
        <f>_xlfn.XLOOKUP(Table1_1[[#This Row],[CAS_rn]],[1]analyte_order!$C:$C,[1]analyte_order!$B:$B)</f>
        <v>PFEESA</v>
      </c>
      <c r="G1756" t="s">
        <v>143</v>
      </c>
      <c r="H1756" s="2">
        <f>_xlfn.XLOOKUP(Table1_1[[#This Row],[CAS_rn]],[1]analyte_order!$C:$C,[1]analyte_order!$E:$E)</f>
        <v>47</v>
      </c>
      <c r="I1756">
        <v>0.1</v>
      </c>
    </row>
    <row r="1757" spans="1:9" x14ac:dyDescent="0.3">
      <c r="A1757" s="2" t="s">
        <v>92</v>
      </c>
      <c r="B1757" s="3">
        <v>44370.5</v>
      </c>
      <c r="C1757" s="1" t="str">
        <f t="shared" si="29"/>
        <v>21175</v>
      </c>
      <c r="D1757" t="s">
        <v>29</v>
      </c>
      <c r="E1757" s="2" t="s">
        <v>39</v>
      </c>
      <c r="F1757" s="2" t="str">
        <f>_xlfn.XLOOKUP(Table1_1[[#This Row],[CAS_rn]],[1]analyte_order!$C:$C,[1]analyte_order!$B:$B)</f>
        <v>3:3 FTCA</v>
      </c>
      <c r="G1757" t="s">
        <v>144</v>
      </c>
      <c r="H1757" s="2">
        <f>_xlfn.XLOOKUP(Table1_1[[#This Row],[CAS_rn]],[1]analyte_order!$C:$C,[1]analyte_order!$E:$E)</f>
        <v>38</v>
      </c>
      <c r="I1757">
        <v>0.25</v>
      </c>
    </row>
    <row r="1758" spans="1:9" x14ac:dyDescent="0.3">
      <c r="A1758" s="2" t="s">
        <v>92</v>
      </c>
      <c r="B1758" s="3">
        <v>44370.5</v>
      </c>
      <c r="C1758" s="1" t="str">
        <f t="shared" si="29"/>
        <v>21175</v>
      </c>
      <c r="D1758" t="s">
        <v>29</v>
      </c>
      <c r="E1758" s="2" t="s">
        <v>39</v>
      </c>
      <c r="F1758" s="2" t="str">
        <f>_xlfn.XLOOKUP(Table1_1[[#This Row],[CAS_rn]],[1]analyte_order!$C:$C,[1]analyte_order!$B:$B)</f>
        <v>5:3 FTCA</v>
      </c>
      <c r="G1758" t="s">
        <v>145</v>
      </c>
      <c r="H1758" s="2">
        <f>_xlfn.XLOOKUP(Table1_1[[#This Row],[CAS_rn]],[1]analyte_order!$C:$C,[1]analyte_order!$E:$E)</f>
        <v>39</v>
      </c>
      <c r="I1758">
        <v>1.25</v>
      </c>
    </row>
    <row r="1759" spans="1:9" x14ac:dyDescent="0.3">
      <c r="A1759" s="2" t="s">
        <v>92</v>
      </c>
      <c r="B1759" s="3">
        <v>44370.5</v>
      </c>
      <c r="C1759" s="1" t="str">
        <f t="shared" si="29"/>
        <v>21175</v>
      </c>
      <c r="D1759" t="s">
        <v>29</v>
      </c>
      <c r="E1759" s="2" t="s">
        <v>39</v>
      </c>
      <c r="F1759" s="2" t="str">
        <f>_xlfn.XLOOKUP(Table1_1[[#This Row],[CAS_rn]],[1]analyte_order!$C:$C,[1]analyte_order!$B:$B)</f>
        <v>7:3 FTCA</v>
      </c>
      <c r="G1759" t="s">
        <v>146</v>
      </c>
      <c r="H1759" s="2">
        <f>_xlfn.XLOOKUP(Table1_1[[#This Row],[CAS_rn]],[1]analyte_order!$C:$C,[1]analyte_order!$E:$E)</f>
        <v>40</v>
      </c>
      <c r="I1759">
        <v>1.25</v>
      </c>
    </row>
    <row r="1760" spans="1:9" x14ac:dyDescent="0.3">
      <c r="A1760" s="2" t="s">
        <v>92</v>
      </c>
      <c r="B1760" s="3">
        <v>44370.5</v>
      </c>
      <c r="C1760" s="1" t="str">
        <f t="shared" si="29"/>
        <v>21175</v>
      </c>
      <c r="D1760" t="s">
        <v>29</v>
      </c>
      <c r="E1760" s="2" t="s">
        <v>39</v>
      </c>
      <c r="F1760" s="2" t="str">
        <f>_xlfn.XLOOKUP(Table1_1[[#This Row],[CAS_rn]],[1]analyte_order!$C:$C,[1]analyte_order!$B:$B)</f>
        <v>PFDS</v>
      </c>
      <c r="G1760" t="s">
        <v>147</v>
      </c>
      <c r="H1760" s="2">
        <f>_xlfn.XLOOKUP(Table1_1[[#This Row],[CAS_rn]],[1]analyte_order!$C:$C,[1]analyte_order!$E:$E)</f>
        <v>20</v>
      </c>
      <c r="I1760">
        <v>0.05</v>
      </c>
    </row>
    <row r="1761" spans="1:9" x14ac:dyDescent="0.3">
      <c r="A1761" s="2" t="s">
        <v>92</v>
      </c>
      <c r="B1761" s="3">
        <v>44370.5</v>
      </c>
      <c r="C1761" s="1" t="str">
        <f t="shared" si="29"/>
        <v>21175</v>
      </c>
      <c r="D1761" t="s">
        <v>29</v>
      </c>
      <c r="E1761" s="2" t="s">
        <v>39</v>
      </c>
      <c r="F1761" s="2" t="str">
        <f>_xlfn.XLOOKUP(Table1_1[[#This Row],[CAS_rn]],[1]analyte_order!$C:$C,[1]analyte_order!$B:$B)</f>
        <v>PFMPA</v>
      </c>
      <c r="G1761" t="s">
        <v>148</v>
      </c>
      <c r="H1761" s="2">
        <f>_xlfn.XLOOKUP(Table1_1[[#This Row],[CAS_rn]],[1]analyte_order!$C:$C,[1]analyte_order!$E:$E)</f>
        <v>49</v>
      </c>
      <c r="I1761">
        <v>0.1</v>
      </c>
    </row>
    <row r="1762" spans="1:9" x14ac:dyDescent="0.3">
      <c r="A1762" s="2" t="s">
        <v>93</v>
      </c>
      <c r="B1762" s="3">
        <v>44378.5</v>
      </c>
      <c r="C1762" s="1" t="str">
        <f t="shared" si="29"/>
        <v>21183</v>
      </c>
      <c r="D1762" t="s">
        <v>26</v>
      </c>
      <c r="E1762" s="2" t="s">
        <v>39</v>
      </c>
      <c r="F1762" s="2" t="str">
        <f>_xlfn.XLOOKUP(Table1_1[[#This Row],[CAS_rn]],[1]analyte_order!$C:$C,[1]analyte_order!$B:$B)</f>
        <v>PFBA</v>
      </c>
      <c r="G1762" t="s">
        <v>109</v>
      </c>
      <c r="H1762" s="2">
        <f>_xlfn.XLOOKUP(Table1_1[[#This Row],[CAS_rn]],[1]analyte_order!$C:$C,[1]analyte_order!$E:$E)</f>
        <v>1</v>
      </c>
      <c r="I1762">
        <v>0.2</v>
      </c>
    </row>
    <row r="1763" spans="1:9" x14ac:dyDescent="0.3">
      <c r="A1763" s="2" t="s">
        <v>93</v>
      </c>
      <c r="B1763" s="3">
        <v>44378.5</v>
      </c>
      <c r="C1763" s="1" t="str">
        <f t="shared" si="29"/>
        <v>21183</v>
      </c>
      <c r="D1763" t="s">
        <v>26</v>
      </c>
      <c r="E1763" s="2" t="s">
        <v>39</v>
      </c>
      <c r="F1763" s="2" t="str">
        <f>_xlfn.XLOOKUP(Table1_1[[#This Row],[CAS_rn]],[1]analyte_order!$C:$C,[1]analyte_order!$B:$B)</f>
        <v>PFPeA</v>
      </c>
      <c r="G1763" t="s">
        <v>110</v>
      </c>
      <c r="H1763" s="2">
        <f>_xlfn.XLOOKUP(Table1_1[[#This Row],[CAS_rn]],[1]analyte_order!$C:$C,[1]analyte_order!$E:$E)</f>
        <v>2</v>
      </c>
      <c r="I1763">
        <v>0.11</v>
      </c>
    </row>
    <row r="1764" spans="1:9" x14ac:dyDescent="0.3">
      <c r="A1764" s="2" t="s">
        <v>93</v>
      </c>
      <c r="B1764" s="3">
        <v>44378.5</v>
      </c>
      <c r="C1764" s="1" t="str">
        <f t="shared" si="29"/>
        <v>21183</v>
      </c>
      <c r="D1764" t="s">
        <v>26</v>
      </c>
      <c r="E1764" s="2" t="s">
        <v>39</v>
      </c>
      <c r="F1764" s="2" t="str">
        <f>_xlfn.XLOOKUP(Table1_1[[#This Row],[CAS_rn]],[1]analyte_order!$C:$C,[1]analyte_order!$B:$B)</f>
        <v>PFHxA</v>
      </c>
      <c r="G1764" t="s">
        <v>111</v>
      </c>
      <c r="H1764" s="2">
        <f>_xlfn.XLOOKUP(Table1_1[[#This Row],[CAS_rn]],[1]analyte_order!$C:$C,[1]analyte_order!$E:$E)</f>
        <v>3</v>
      </c>
      <c r="I1764">
        <v>0.26</v>
      </c>
    </row>
    <row r="1765" spans="1:9" x14ac:dyDescent="0.3">
      <c r="A1765" s="2" t="s">
        <v>93</v>
      </c>
      <c r="B1765" s="3">
        <v>44378.5</v>
      </c>
      <c r="C1765" s="1" t="str">
        <f t="shared" si="29"/>
        <v>21183</v>
      </c>
      <c r="D1765" t="s">
        <v>26</v>
      </c>
      <c r="E1765" s="2" t="s">
        <v>39</v>
      </c>
      <c r="F1765" s="2" t="str">
        <f>_xlfn.XLOOKUP(Table1_1[[#This Row],[CAS_rn]],[1]analyte_order!$C:$C,[1]analyte_order!$B:$B)</f>
        <v>PFHpA</v>
      </c>
      <c r="G1765" t="s">
        <v>112</v>
      </c>
      <c r="H1765" s="2">
        <f>_xlfn.XLOOKUP(Table1_1[[#This Row],[CAS_rn]],[1]analyte_order!$C:$C,[1]analyte_order!$E:$E)</f>
        <v>4</v>
      </c>
      <c r="I1765">
        <v>0.09</v>
      </c>
    </row>
    <row r="1766" spans="1:9" x14ac:dyDescent="0.3">
      <c r="A1766" s="2" t="s">
        <v>93</v>
      </c>
      <c r="B1766" s="3">
        <v>44378.5</v>
      </c>
      <c r="C1766" s="1" t="str">
        <f t="shared" si="29"/>
        <v>21183</v>
      </c>
      <c r="D1766" t="s">
        <v>26</v>
      </c>
      <c r="E1766" s="2" t="s">
        <v>39</v>
      </c>
      <c r="F1766" s="2" t="str">
        <f>_xlfn.XLOOKUP(Table1_1[[#This Row],[CAS_rn]],[1]analyte_order!$C:$C,[1]analyte_order!$B:$B)</f>
        <v>PFOA</v>
      </c>
      <c r="G1766" t="s">
        <v>113</v>
      </c>
      <c r="H1766" s="2">
        <f>_xlfn.XLOOKUP(Table1_1[[#This Row],[CAS_rn]],[1]analyte_order!$C:$C,[1]analyte_order!$E:$E)</f>
        <v>5</v>
      </c>
      <c r="I1766">
        <v>0.49</v>
      </c>
    </row>
    <row r="1767" spans="1:9" x14ac:dyDescent="0.3">
      <c r="A1767" s="2" t="s">
        <v>93</v>
      </c>
      <c r="B1767" s="3">
        <v>44378.5</v>
      </c>
      <c r="C1767" s="1" t="str">
        <f t="shared" si="29"/>
        <v>21183</v>
      </c>
      <c r="D1767" t="s">
        <v>26</v>
      </c>
      <c r="E1767" s="2" t="s">
        <v>39</v>
      </c>
      <c r="F1767" s="2" t="str">
        <f>_xlfn.XLOOKUP(Table1_1[[#This Row],[CAS_rn]],[1]analyte_order!$C:$C,[1]analyte_order!$B:$B)</f>
        <v>PFNA</v>
      </c>
      <c r="G1767" t="s">
        <v>114</v>
      </c>
      <c r="H1767" s="2">
        <f>_xlfn.XLOOKUP(Table1_1[[#This Row],[CAS_rn]],[1]analyte_order!$C:$C,[1]analyte_order!$E:$E)</f>
        <v>6</v>
      </c>
      <c r="I1767">
        <v>0.05</v>
      </c>
    </row>
    <row r="1768" spans="1:9" x14ac:dyDescent="0.3">
      <c r="A1768" s="2" t="s">
        <v>93</v>
      </c>
      <c r="B1768" s="3">
        <v>44378.5</v>
      </c>
      <c r="C1768" s="1" t="str">
        <f t="shared" si="29"/>
        <v>21183</v>
      </c>
      <c r="D1768" t="s">
        <v>26</v>
      </c>
      <c r="E1768" s="2" t="s">
        <v>39</v>
      </c>
      <c r="F1768" s="2" t="str">
        <f>_xlfn.XLOOKUP(Table1_1[[#This Row],[CAS_rn]],[1]analyte_order!$C:$C,[1]analyte_order!$B:$B)</f>
        <v>PFDA</v>
      </c>
      <c r="G1768" t="s">
        <v>115</v>
      </c>
      <c r="H1768" s="2">
        <f>_xlfn.XLOOKUP(Table1_1[[#This Row],[CAS_rn]],[1]analyte_order!$C:$C,[1]analyte_order!$E:$E)</f>
        <v>7</v>
      </c>
      <c r="I1768">
        <v>0.05</v>
      </c>
    </row>
    <row r="1769" spans="1:9" x14ac:dyDescent="0.3">
      <c r="A1769" s="2" t="s">
        <v>93</v>
      </c>
      <c r="B1769" s="3">
        <v>44378.5</v>
      </c>
      <c r="C1769" s="1" t="str">
        <f t="shared" si="29"/>
        <v>21183</v>
      </c>
      <c r="D1769" t="s">
        <v>26</v>
      </c>
      <c r="E1769" s="2" t="s">
        <v>39</v>
      </c>
      <c r="F1769" s="2" t="str">
        <f>_xlfn.XLOOKUP(Table1_1[[#This Row],[CAS_rn]],[1]analyte_order!$C:$C,[1]analyte_order!$B:$B)</f>
        <v>PFUnA</v>
      </c>
      <c r="G1769" t="s">
        <v>116</v>
      </c>
      <c r="H1769" s="2">
        <f>_xlfn.XLOOKUP(Table1_1[[#This Row],[CAS_rn]],[1]analyte_order!$C:$C,[1]analyte_order!$E:$E)</f>
        <v>8</v>
      </c>
      <c r="I1769">
        <v>0.05</v>
      </c>
    </row>
    <row r="1770" spans="1:9" x14ac:dyDescent="0.3">
      <c r="A1770" s="2" t="s">
        <v>93</v>
      </c>
      <c r="B1770" s="3">
        <v>44378.5</v>
      </c>
      <c r="C1770" s="1" t="str">
        <f t="shared" si="29"/>
        <v>21183</v>
      </c>
      <c r="D1770" t="s">
        <v>26</v>
      </c>
      <c r="E1770" s="2" t="s">
        <v>39</v>
      </c>
      <c r="F1770" s="2" t="str">
        <f>_xlfn.XLOOKUP(Table1_1[[#This Row],[CAS_rn]],[1]analyte_order!$C:$C,[1]analyte_order!$B:$B)</f>
        <v>PFDoA</v>
      </c>
      <c r="G1770" t="s">
        <v>117</v>
      </c>
      <c r="H1770" s="2">
        <f>_xlfn.XLOOKUP(Table1_1[[#This Row],[CAS_rn]],[1]analyte_order!$C:$C,[1]analyte_order!$E:$E)</f>
        <v>9</v>
      </c>
      <c r="I1770">
        <v>0.05</v>
      </c>
    </row>
    <row r="1771" spans="1:9" x14ac:dyDescent="0.3">
      <c r="A1771" s="2" t="s">
        <v>93</v>
      </c>
      <c r="B1771" s="3">
        <v>44378.5</v>
      </c>
      <c r="C1771" s="1" t="str">
        <f t="shared" si="29"/>
        <v>21183</v>
      </c>
      <c r="D1771" t="s">
        <v>26</v>
      </c>
      <c r="E1771" s="2" t="s">
        <v>39</v>
      </c>
      <c r="F1771" s="2" t="str">
        <f>_xlfn.XLOOKUP(Table1_1[[#This Row],[CAS_rn]],[1]analyte_order!$C:$C,[1]analyte_order!$B:$B)</f>
        <v>PFTrDA</v>
      </c>
      <c r="G1771" t="s">
        <v>118</v>
      </c>
      <c r="H1771" s="2">
        <f>_xlfn.XLOOKUP(Table1_1[[#This Row],[CAS_rn]],[1]analyte_order!$C:$C,[1]analyte_order!$E:$E)</f>
        <v>10</v>
      </c>
      <c r="I1771">
        <v>0.05</v>
      </c>
    </row>
    <row r="1772" spans="1:9" x14ac:dyDescent="0.3">
      <c r="A1772" s="2" t="s">
        <v>93</v>
      </c>
      <c r="B1772" s="3">
        <v>44378.5</v>
      </c>
      <c r="C1772" s="1" t="str">
        <f t="shared" si="29"/>
        <v>21183</v>
      </c>
      <c r="D1772" t="s">
        <v>26</v>
      </c>
      <c r="E1772" s="2" t="s">
        <v>39</v>
      </c>
      <c r="F1772" s="2" t="str">
        <f>_xlfn.XLOOKUP(Table1_1[[#This Row],[CAS_rn]],[1]analyte_order!$C:$C,[1]analyte_order!$B:$B)</f>
        <v>PFTeDA</v>
      </c>
      <c r="G1772" t="s">
        <v>119</v>
      </c>
      <c r="H1772" s="2">
        <f>_xlfn.XLOOKUP(Table1_1[[#This Row],[CAS_rn]],[1]analyte_order!$C:$C,[1]analyte_order!$E:$E)</f>
        <v>11</v>
      </c>
      <c r="I1772">
        <v>0.05</v>
      </c>
    </row>
    <row r="1773" spans="1:9" x14ac:dyDescent="0.3">
      <c r="A1773" s="2" t="s">
        <v>93</v>
      </c>
      <c r="B1773" s="3">
        <v>44378.5</v>
      </c>
      <c r="C1773" s="1" t="str">
        <f t="shared" si="29"/>
        <v>21183</v>
      </c>
      <c r="D1773" t="s">
        <v>26</v>
      </c>
      <c r="E1773" s="2" t="s">
        <v>39</v>
      </c>
      <c r="F1773" s="2" t="str">
        <f>_xlfn.XLOOKUP(Table1_1[[#This Row],[CAS_rn]],[1]analyte_order!$C:$C,[1]analyte_order!$B:$B)</f>
        <v>PFBS</v>
      </c>
      <c r="G1773" t="s">
        <v>120</v>
      </c>
      <c r="H1773" s="2">
        <f>_xlfn.XLOOKUP(Table1_1[[#This Row],[CAS_rn]],[1]analyte_order!$C:$C,[1]analyte_order!$E:$E)</f>
        <v>14</v>
      </c>
      <c r="I1773">
        <v>0.05</v>
      </c>
    </row>
    <row r="1774" spans="1:9" x14ac:dyDescent="0.3">
      <c r="A1774" s="2" t="s">
        <v>93</v>
      </c>
      <c r="B1774" s="3">
        <v>44378.5</v>
      </c>
      <c r="C1774" s="1" t="str">
        <f t="shared" si="29"/>
        <v>21183</v>
      </c>
      <c r="D1774" t="s">
        <v>26</v>
      </c>
      <c r="E1774" s="2" t="s">
        <v>39</v>
      </c>
      <c r="F1774" s="2" t="str">
        <f>_xlfn.XLOOKUP(Table1_1[[#This Row],[CAS_rn]],[1]analyte_order!$C:$C,[1]analyte_order!$B:$B)</f>
        <v>PFPeS</v>
      </c>
      <c r="G1774" t="s">
        <v>121</v>
      </c>
      <c r="H1774" s="2">
        <f>_xlfn.XLOOKUP(Table1_1[[#This Row],[CAS_rn]],[1]analyte_order!$C:$C,[1]analyte_order!$E:$E)</f>
        <v>15</v>
      </c>
      <c r="I1774">
        <v>0.05</v>
      </c>
    </row>
    <row r="1775" spans="1:9" x14ac:dyDescent="0.3">
      <c r="A1775" s="2" t="s">
        <v>93</v>
      </c>
      <c r="B1775" s="3">
        <v>44378.5</v>
      </c>
      <c r="C1775" s="1" t="str">
        <f t="shared" si="29"/>
        <v>21183</v>
      </c>
      <c r="D1775" t="s">
        <v>26</v>
      </c>
      <c r="E1775" s="2" t="s">
        <v>39</v>
      </c>
      <c r="F1775" s="2" t="str">
        <f>_xlfn.XLOOKUP(Table1_1[[#This Row],[CAS_rn]],[1]analyte_order!$C:$C,[1]analyte_order!$B:$B)</f>
        <v>PFHxS</v>
      </c>
      <c r="G1775" t="s">
        <v>122</v>
      </c>
      <c r="H1775" s="2">
        <f>_xlfn.XLOOKUP(Table1_1[[#This Row],[CAS_rn]],[1]analyte_order!$C:$C,[1]analyte_order!$E:$E)</f>
        <v>16</v>
      </c>
      <c r="I1775">
        <v>0.6</v>
      </c>
    </row>
    <row r="1776" spans="1:9" x14ac:dyDescent="0.3">
      <c r="A1776" s="2" t="s">
        <v>93</v>
      </c>
      <c r="B1776" s="3">
        <v>44378.5</v>
      </c>
      <c r="C1776" s="1" t="str">
        <f t="shared" si="29"/>
        <v>21183</v>
      </c>
      <c r="D1776" t="s">
        <v>26</v>
      </c>
      <c r="E1776" s="2" t="s">
        <v>39</v>
      </c>
      <c r="F1776" s="2" t="str">
        <f>_xlfn.XLOOKUP(Table1_1[[#This Row],[CAS_rn]],[1]analyte_order!$C:$C,[1]analyte_order!$B:$B)</f>
        <v>PFHpS</v>
      </c>
      <c r="G1776" t="s">
        <v>123</v>
      </c>
      <c r="H1776" s="2">
        <f>_xlfn.XLOOKUP(Table1_1[[#This Row],[CAS_rn]],[1]analyte_order!$C:$C,[1]analyte_order!$E:$E)</f>
        <v>17</v>
      </c>
      <c r="I1776">
        <v>0.05</v>
      </c>
    </row>
    <row r="1777" spans="1:9" x14ac:dyDescent="0.3">
      <c r="A1777" s="2" t="s">
        <v>93</v>
      </c>
      <c r="B1777" s="3">
        <v>44378.5</v>
      </c>
      <c r="C1777" s="1" t="str">
        <f t="shared" si="29"/>
        <v>21183</v>
      </c>
      <c r="D1777" t="s">
        <v>26</v>
      </c>
      <c r="E1777" s="2" t="s">
        <v>39</v>
      </c>
      <c r="F1777" s="2" t="str">
        <f>_xlfn.XLOOKUP(Table1_1[[#This Row],[CAS_rn]],[1]analyte_order!$C:$C,[1]analyte_order!$B:$B)</f>
        <v>PFOS</v>
      </c>
      <c r="G1777" t="s">
        <v>124</v>
      </c>
      <c r="H1777" s="2">
        <f>_xlfn.XLOOKUP(Table1_1[[#This Row],[CAS_rn]],[1]analyte_order!$C:$C,[1]analyte_order!$E:$E)</f>
        <v>18</v>
      </c>
      <c r="I1777">
        <v>1.2</v>
      </c>
    </row>
    <row r="1778" spans="1:9" x14ac:dyDescent="0.3">
      <c r="A1778" s="2" t="s">
        <v>93</v>
      </c>
      <c r="B1778" s="3">
        <v>44378.5</v>
      </c>
      <c r="C1778" s="1" t="str">
        <f t="shared" si="29"/>
        <v>21183</v>
      </c>
      <c r="D1778" t="s">
        <v>26</v>
      </c>
      <c r="E1778" s="2" t="s">
        <v>39</v>
      </c>
      <c r="F1778" s="2" t="str">
        <f>_xlfn.XLOOKUP(Table1_1[[#This Row],[CAS_rn]],[1]analyte_order!$C:$C,[1]analyte_order!$B:$B)</f>
        <v>PFNS</v>
      </c>
      <c r="G1778" t="s">
        <v>125</v>
      </c>
      <c r="H1778" s="2">
        <f>_xlfn.XLOOKUP(Table1_1[[#This Row],[CAS_rn]],[1]analyte_order!$C:$C,[1]analyte_order!$E:$E)</f>
        <v>19</v>
      </c>
      <c r="I1778">
        <v>0.05</v>
      </c>
    </row>
    <row r="1779" spans="1:9" x14ac:dyDescent="0.3">
      <c r="A1779" s="2" t="s">
        <v>93</v>
      </c>
      <c r="B1779" s="3">
        <v>44378.5</v>
      </c>
      <c r="C1779" s="1" t="str">
        <f t="shared" si="29"/>
        <v>21183</v>
      </c>
      <c r="D1779" t="s">
        <v>26</v>
      </c>
      <c r="E1779" s="2" t="s">
        <v>39</v>
      </c>
      <c r="F1779" s="2" t="str">
        <f>_xlfn.XLOOKUP(Table1_1[[#This Row],[CAS_rn]],[1]analyte_order!$C:$C,[1]analyte_order!$B:$B)</f>
        <v>PFDoS</v>
      </c>
      <c r="G1779" t="s">
        <v>126</v>
      </c>
      <c r="H1779" s="2">
        <f>_xlfn.XLOOKUP(Table1_1[[#This Row],[CAS_rn]],[1]analyte_order!$C:$C,[1]analyte_order!$E:$E)</f>
        <v>21</v>
      </c>
      <c r="I1779">
        <v>0.05</v>
      </c>
    </row>
    <row r="1780" spans="1:9" x14ac:dyDescent="0.3">
      <c r="A1780" s="2" t="s">
        <v>93</v>
      </c>
      <c r="B1780" s="3">
        <v>44378.5</v>
      </c>
      <c r="C1780" s="1" t="str">
        <f t="shared" si="29"/>
        <v>21183</v>
      </c>
      <c r="D1780" t="s">
        <v>26</v>
      </c>
      <c r="E1780" s="2" t="s">
        <v>39</v>
      </c>
      <c r="F1780" s="2" t="str">
        <f>_xlfn.XLOOKUP(Table1_1[[#This Row],[CAS_rn]],[1]analyte_order!$C:$C,[1]analyte_order!$B:$B)</f>
        <v>4:2 FTS</v>
      </c>
      <c r="G1780" t="s">
        <v>127</v>
      </c>
      <c r="H1780" s="2">
        <f>_xlfn.XLOOKUP(Table1_1[[#This Row],[CAS_rn]],[1]analyte_order!$C:$C,[1]analyte_order!$E:$E)</f>
        <v>22</v>
      </c>
      <c r="I1780">
        <v>0.2</v>
      </c>
    </row>
    <row r="1781" spans="1:9" x14ac:dyDescent="0.3">
      <c r="A1781" s="2" t="s">
        <v>93</v>
      </c>
      <c r="B1781" s="3">
        <v>44378.5</v>
      </c>
      <c r="C1781" s="1" t="str">
        <f t="shared" si="29"/>
        <v>21183</v>
      </c>
      <c r="D1781" t="s">
        <v>26</v>
      </c>
      <c r="E1781" s="2" t="s">
        <v>39</v>
      </c>
      <c r="F1781" s="2" t="str">
        <f>_xlfn.XLOOKUP(Table1_1[[#This Row],[CAS_rn]],[1]analyte_order!$C:$C,[1]analyte_order!$B:$B)</f>
        <v>6:2 FTS</v>
      </c>
      <c r="G1781" t="s">
        <v>128</v>
      </c>
      <c r="H1781" s="2">
        <f>_xlfn.XLOOKUP(Table1_1[[#This Row],[CAS_rn]],[1]analyte_order!$C:$C,[1]analyte_order!$E:$E)</f>
        <v>23</v>
      </c>
      <c r="I1781">
        <v>0.4</v>
      </c>
    </row>
    <row r="1782" spans="1:9" x14ac:dyDescent="0.3">
      <c r="A1782" s="2" t="s">
        <v>93</v>
      </c>
      <c r="B1782" s="3">
        <v>44378.5</v>
      </c>
      <c r="C1782" s="1" t="str">
        <f t="shared" si="29"/>
        <v>21183</v>
      </c>
      <c r="D1782" t="s">
        <v>26</v>
      </c>
      <c r="E1782" s="2" t="s">
        <v>39</v>
      </c>
      <c r="F1782" s="2" t="str">
        <f>_xlfn.XLOOKUP(Table1_1[[#This Row],[CAS_rn]],[1]analyte_order!$C:$C,[1]analyte_order!$B:$B)</f>
        <v>8:2 FTS</v>
      </c>
      <c r="G1782" t="s">
        <v>129</v>
      </c>
      <c r="H1782" s="2">
        <f>_xlfn.XLOOKUP(Table1_1[[#This Row],[CAS_rn]],[1]analyte_order!$C:$C,[1]analyte_order!$E:$E)</f>
        <v>24</v>
      </c>
      <c r="I1782">
        <v>0.4</v>
      </c>
    </row>
    <row r="1783" spans="1:9" x14ac:dyDescent="0.3">
      <c r="A1783" s="2" t="s">
        <v>93</v>
      </c>
      <c r="B1783" s="3">
        <v>44378.5</v>
      </c>
      <c r="C1783" s="1" t="str">
        <f t="shared" si="29"/>
        <v>21183</v>
      </c>
      <c r="D1783" t="s">
        <v>26</v>
      </c>
      <c r="E1783" s="2" t="s">
        <v>39</v>
      </c>
      <c r="F1783" s="2" t="str">
        <f>_xlfn.XLOOKUP(Table1_1[[#This Row],[CAS_rn]],[1]analyte_order!$C:$C,[1]analyte_order!$B:$B)</f>
        <v>FOSA</v>
      </c>
      <c r="G1783" t="s">
        <v>130</v>
      </c>
      <c r="H1783" s="2">
        <f>_xlfn.XLOOKUP(Table1_1[[#This Row],[CAS_rn]],[1]analyte_order!$C:$C,[1]analyte_order!$E:$E)</f>
        <v>28</v>
      </c>
      <c r="I1783">
        <v>0.09</v>
      </c>
    </row>
    <row r="1784" spans="1:9" x14ac:dyDescent="0.3">
      <c r="A1784" s="2" t="s">
        <v>93</v>
      </c>
      <c r="B1784" s="3">
        <v>44378.5</v>
      </c>
      <c r="C1784" s="1" t="str">
        <f t="shared" si="29"/>
        <v>21183</v>
      </c>
      <c r="D1784" t="s">
        <v>26</v>
      </c>
      <c r="E1784" s="2" t="s">
        <v>39</v>
      </c>
      <c r="F1784" s="2" t="str">
        <f>_xlfn.XLOOKUP(Table1_1[[#This Row],[CAS_rn]],[1]analyte_order!$C:$C,[1]analyte_order!$B:$B)</f>
        <v>N-MeFOSA</v>
      </c>
      <c r="G1784" t="s">
        <v>131</v>
      </c>
      <c r="H1784" s="2">
        <f>_xlfn.XLOOKUP(Table1_1[[#This Row],[CAS_rn]],[1]analyte_order!$C:$C,[1]analyte_order!$E:$E)</f>
        <v>30</v>
      </c>
      <c r="I1784">
        <v>0.05</v>
      </c>
    </row>
    <row r="1785" spans="1:9" x14ac:dyDescent="0.3">
      <c r="A1785" s="2" t="s">
        <v>93</v>
      </c>
      <c r="B1785" s="3">
        <v>44378.5</v>
      </c>
      <c r="C1785" s="1" t="str">
        <f t="shared" si="29"/>
        <v>21183</v>
      </c>
      <c r="D1785" t="s">
        <v>26</v>
      </c>
      <c r="E1785" s="2" t="s">
        <v>39</v>
      </c>
      <c r="F1785" s="2" t="str">
        <f>_xlfn.XLOOKUP(Table1_1[[#This Row],[CAS_rn]],[1]analyte_order!$C:$C,[1]analyte_order!$B:$B)</f>
        <v>N-MeFOSAA</v>
      </c>
      <c r="G1785" t="s">
        <v>132</v>
      </c>
      <c r="H1785" s="2">
        <f>_xlfn.XLOOKUP(Table1_1[[#This Row],[CAS_rn]],[1]analyte_order!$C:$C,[1]analyte_order!$E:$E)</f>
        <v>26</v>
      </c>
      <c r="I1785">
        <v>0.05</v>
      </c>
    </row>
    <row r="1786" spans="1:9" x14ac:dyDescent="0.3">
      <c r="A1786" s="2" t="s">
        <v>93</v>
      </c>
      <c r="B1786" s="3">
        <v>44378.5</v>
      </c>
      <c r="C1786" s="1" t="str">
        <f t="shared" si="29"/>
        <v>21183</v>
      </c>
      <c r="D1786" t="s">
        <v>26</v>
      </c>
      <c r="E1786" s="2" t="s">
        <v>39</v>
      </c>
      <c r="F1786" s="2" t="str">
        <f>_xlfn.XLOOKUP(Table1_1[[#This Row],[CAS_rn]],[1]analyte_order!$C:$C,[1]analyte_order!$B:$B)</f>
        <v>N-EtFOSA</v>
      </c>
      <c r="G1786" t="s">
        <v>133</v>
      </c>
      <c r="H1786" s="2">
        <f>_xlfn.XLOOKUP(Table1_1[[#This Row],[CAS_rn]],[1]analyte_order!$C:$C,[1]analyte_order!$E:$E)</f>
        <v>31</v>
      </c>
      <c r="I1786">
        <v>0.05</v>
      </c>
    </row>
    <row r="1787" spans="1:9" x14ac:dyDescent="0.3">
      <c r="A1787" s="2" t="s">
        <v>93</v>
      </c>
      <c r="B1787" s="3">
        <v>44378.5</v>
      </c>
      <c r="C1787" s="1" t="str">
        <f t="shared" si="29"/>
        <v>21183</v>
      </c>
      <c r="D1787" t="s">
        <v>26</v>
      </c>
      <c r="E1787" s="2" t="s">
        <v>39</v>
      </c>
      <c r="F1787" s="2" t="str">
        <f>_xlfn.XLOOKUP(Table1_1[[#This Row],[CAS_rn]],[1]analyte_order!$C:$C,[1]analyte_order!$B:$B)</f>
        <v>N-EtFOSAA</v>
      </c>
      <c r="G1787" t="s">
        <v>134</v>
      </c>
      <c r="H1787" s="2">
        <f>_xlfn.XLOOKUP(Table1_1[[#This Row],[CAS_rn]],[1]analyte_order!$C:$C,[1]analyte_order!$E:$E)</f>
        <v>27</v>
      </c>
      <c r="I1787">
        <v>0.05</v>
      </c>
    </row>
    <row r="1788" spans="1:9" x14ac:dyDescent="0.3">
      <c r="A1788" s="2" t="s">
        <v>93</v>
      </c>
      <c r="B1788" s="3">
        <v>44378.5</v>
      </c>
      <c r="C1788" s="1" t="str">
        <f t="shared" si="29"/>
        <v>21183</v>
      </c>
      <c r="D1788" t="s">
        <v>26</v>
      </c>
      <c r="E1788" s="2" t="s">
        <v>39</v>
      </c>
      <c r="F1788" s="2" t="str">
        <f>_xlfn.XLOOKUP(Table1_1[[#This Row],[CAS_rn]],[1]analyte_order!$C:$C,[1]analyte_order!$B:$B)</f>
        <v>N-MeFOSE</v>
      </c>
      <c r="G1788" t="s">
        <v>135</v>
      </c>
      <c r="H1788" s="2">
        <f>_xlfn.XLOOKUP(Table1_1[[#This Row],[CAS_rn]],[1]analyte_order!$C:$C,[1]analyte_order!$E:$E)</f>
        <v>32</v>
      </c>
      <c r="I1788">
        <v>0.5</v>
      </c>
    </row>
    <row r="1789" spans="1:9" x14ac:dyDescent="0.3">
      <c r="A1789" s="2" t="s">
        <v>93</v>
      </c>
      <c r="B1789" s="3">
        <v>44378.5</v>
      </c>
      <c r="C1789" s="1" t="str">
        <f t="shared" si="29"/>
        <v>21183</v>
      </c>
      <c r="D1789" t="s">
        <v>26</v>
      </c>
      <c r="E1789" s="2" t="s">
        <v>39</v>
      </c>
      <c r="F1789" s="2" t="str">
        <f>_xlfn.XLOOKUP(Table1_1[[#This Row],[CAS_rn]],[1]analyte_order!$C:$C,[1]analyte_order!$B:$B)</f>
        <v>N-EtFOSE</v>
      </c>
      <c r="G1789" t="s">
        <v>136</v>
      </c>
      <c r="H1789" s="2">
        <f>_xlfn.XLOOKUP(Table1_1[[#This Row],[CAS_rn]],[1]analyte_order!$C:$C,[1]analyte_order!$E:$E)</f>
        <v>33</v>
      </c>
      <c r="I1789">
        <v>0.5</v>
      </c>
    </row>
    <row r="1790" spans="1:9" x14ac:dyDescent="0.3">
      <c r="A1790" s="2" t="s">
        <v>93</v>
      </c>
      <c r="B1790" s="3">
        <v>44378.5</v>
      </c>
      <c r="C1790" s="1" t="str">
        <f t="shared" si="29"/>
        <v>21183</v>
      </c>
      <c r="D1790" t="s">
        <v>26</v>
      </c>
      <c r="E1790" s="2" t="s">
        <v>39</v>
      </c>
      <c r="F1790" s="2" t="str">
        <f>_xlfn.XLOOKUP(Table1_1[[#This Row],[CAS_rn]],[1]analyte_order!$C:$C,[1]analyte_order!$B:$B)</f>
        <v>HFPO-DA</v>
      </c>
      <c r="G1790" t="s">
        <v>137</v>
      </c>
      <c r="H1790" s="2">
        <f>_xlfn.XLOOKUP(Table1_1[[#This Row],[CAS_rn]],[1]analyte_order!$C:$C,[1]analyte_order!$E:$E)</f>
        <v>34</v>
      </c>
      <c r="I1790">
        <v>0.3</v>
      </c>
    </row>
    <row r="1791" spans="1:9" x14ac:dyDescent="0.3">
      <c r="A1791" s="2" t="s">
        <v>93</v>
      </c>
      <c r="B1791" s="3">
        <v>44378.5</v>
      </c>
      <c r="C1791" s="1" t="str">
        <f t="shared" si="29"/>
        <v>21183</v>
      </c>
      <c r="D1791" t="s">
        <v>26</v>
      </c>
      <c r="E1791" s="2" t="s">
        <v>39</v>
      </c>
      <c r="F1791" s="2" t="str">
        <f>_xlfn.XLOOKUP(Table1_1[[#This Row],[CAS_rn]],[1]analyte_order!$C:$C,[1]analyte_order!$B:$B)</f>
        <v>ADONA</v>
      </c>
      <c r="G1791" t="s">
        <v>138</v>
      </c>
      <c r="H1791" s="2">
        <f>_xlfn.XLOOKUP(Table1_1[[#This Row],[CAS_rn]],[1]analyte_order!$C:$C,[1]analyte_order!$E:$E)</f>
        <v>35</v>
      </c>
      <c r="I1791">
        <v>0.2</v>
      </c>
    </row>
    <row r="1792" spans="1:9" x14ac:dyDescent="0.3">
      <c r="A1792" s="2" t="s">
        <v>93</v>
      </c>
      <c r="B1792" s="3">
        <v>44378.5</v>
      </c>
      <c r="C1792" s="1" t="str">
        <f t="shared" si="29"/>
        <v>21183</v>
      </c>
      <c r="D1792" t="s">
        <v>26</v>
      </c>
      <c r="E1792" s="2" t="s">
        <v>39</v>
      </c>
      <c r="F1792" s="2" t="str">
        <f>_xlfn.XLOOKUP(Table1_1[[#This Row],[CAS_rn]],[1]analyte_order!$C:$C,[1]analyte_order!$B:$B)</f>
        <v>PFMBA</v>
      </c>
      <c r="G1792" t="s">
        <v>139</v>
      </c>
      <c r="H1792" s="2">
        <f>_xlfn.XLOOKUP(Table1_1[[#This Row],[CAS_rn]],[1]analyte_order!$C:$C,[1]analyte_order!$E:$E)</f>
        <v>48</v>
      </c>
      <c r="I1792">
        <v>0.1</v>
      </c>
    </row>
    <row r="1793" spans="1:9" x14ac:dyDescent="0.3">
      <c r="A1793" s="2" t="s">
        <v>93</v>
      </c>
      <c r="B1793" s="3">
        <v>44378.5</v>
      </c>
      <c r="C1793" s="1" t="str">
        <f t="shared" si="29"/>
        <v>21183</v>
      </c>
      <c r="D1793" t="s">
        <v>26</v>
      </c>
      <c r="E1793" s="2" t="s">
        <v>39</v>
      </c>
      <c r="F1793" s="2" t="str">
        <f>_xlfn.XLOOKUP(Table1_1[[#This Row],[CAS_rn]],[1]analyte_order!$C:$C,[1]analyte_order!$B:$B)</f>
        <v>NFDHA</v>
      </c>
      <c r="G1793" t="s">
        <v>140</v>
      </c>
      <c r="H1793" s="2">
        <f>_xlfn.XLOOKUP(Table1_1[[#This Row],[CAS_rn]],[1]analyte_order!$C:$C,[1]analyte_order!$E:$E)</f>
        <v>50</v>
      </c>
      <c r="I1793">
        <v>0.1</v>
      </c>
    </row>
    <row r="1794" spans="1:9" x14ac:dyDescent="0.3">
      <c r="A1794" s="2" t="s">
        <v>93</v>
      </c>
      <c r="B1794" s="3">
        <v>44378.5</v>
      </c>
      <c r="C1794" s="1" t="str">
        <f t="shared" si="29"/>
        <v>21183</v>
      </c>
      <c r="D1794" t="s">
        <v>26</v>
      </c>
      <c r="E1794" s="2" t="s">
        <v>39</v>
      </c>
      <c r="F1794" s="2" t="str">
        <f>_xlfn.XLOOKUP(Table1_1[[#This Row],[CAS_rn]],[1]analyte_order!$C:$C,[1]analyte_order!$B:$B)</f>
        <v>9Cl-PF3ONS</v>
      </c>
      <c r="G1794" t="s">
        <v>141</v>
      </c>
      <c r="H1794" s="2">
        <f>_xlfn.XLOOKUP(Table1_1[[#This Row],[CAS_rn]],[1]analyte_order!$C:$C,[1]analyte_order!$E:$E)</f>
        <v>36</v>
      </c>
      <c r="I1794">
        <v>0.2</v>
      </c>
    </row>
    <row r="1795" spans="1:9" x14ac:dyDescent="0.3">
      <c r="A1795" s="2" t="s">
        <v>93</v>
      </c>
      <c r="B1795" s="3">
        <v>44378.5</v>
      </c>
      <c r="C1795" s="1" t="str">
        <f t="shared" si="29"/>
        <v>21183</v>
      </c>
      <c r="D1795" t="s">
        <v>26</v>
      </c>
      <c r="E1795" s="2" t="s">
        <v>39</v>
      </c>
      <c r="F1795" s="2" t="str">
        <f>_xlfn.XLOOKUP(Table1_1[[#This Row],[CAS_rn]],[1]analyte_order!$C:$C,[1]analyte_order!$B:$B)</f>
        <v>11Cl-PF3OUdS</v>
      </c>
      <c r="G1795" t="s">
        <v>142</v>
      </c>
      <c r="H1795" s="2">
        <f>_xlfn.XLOOKUP(Table1_1[[#This Row],[CAS_rn]],[1]analyte_order!$C:$C,[1]analyte_order!$E:$E)</f>
        <v>37</v>
      </c>
      <c r="I1795">
        <v>0.2</v>
      </c>
    </row>
    <row r="1796" spans="1:9" x14ac:dyDescent="0.3">
      <c r="A1796" s="2" t="s">
        <v>93</v>
      </c>
      <c r="B1796" s="3">
        <v>44378.5</v>
      </c>
      <c r="C1796" s="1" t="str">
        <f t="shared" si="29"/>
        <v>21183</v>
      </c>
      <c r="D1796" t="s">
        <v>26</v>
      </c>
      <c r="E1796" s="2" t="s">
        <v>39</v>
      </c>
      <c r="F1796" s="2" t="str">
        <f>_xlfn.XLOOKUP(Table1_1[[#This Row],[CAS_rn]],[1]analyte_order!$C:$C,[1]analyte_order!$B:$B)</f>
        <v>PFEESA</v>
      </c>
      <c r="G1796" t="s">
        <v>143</v>
      </c>
      <c r="H1796" s="2">
        <f>_xlfn.XLOOKUP(Table1_1[[#This Row],[CAS_rn]],[1]analyte_order!$C:$C,[1]analyte_order!$E:$E)</f>
        <v>47</v>
      </c>
      <c r="I1796">
        <v>0.1</v>
      </c>
    </row>
    <row r="1797" spans="1:9" x14ac:dyDescent="0.3">
      <c r="A1797" s="2" t="s">
        <v>93</v>
      </c>
      <c r="B1797" s="3">
        <v>44378.5</v>
      </c>
      <c r="C1797" s="1" t="str">
        <f t="shared" si="29"/>
        <v>21183</v>
      </c>
      <c r="D1797" t="s">
        <v>26</v>
      </c>
      <c r="E1797" s="2" t="s">
        <v>39</v>
      </c>
      <c r="F1797" s="2" t="str">
        <f>_xlfn.XLOOKUP(Table1_1[[#This Row],[CAS_rn]],[1]analyte_order!$C:$C,[1]analyte_order!$B:$B)</f>
        <v>3:3 FTCA</v>
      </c>
      <c r="G1797" t="s">
        <v>144</v>
      </c>
      <c r="H1797" s="2">
        <f>_xlfn.XLOOKUP(Table1_1[[#This Row],[CAS_rn]],[1]analyte_order!$C:$C,[1]analyte_order!$E:$E)</f>
        <v>38</v>
      </c>
      <c r="I1797">
        <v>0.25</v>
      </c>
    </row>
    <row r="1798" spans="1:9" x14ac:dyDescent="0.3">
      <c r="A1798" s="2" t="s">
        <v>93</v>
      </c>
      <c r="B1798" s="3">
        <v>44378.5</v>
      </c>
      <c r="C1798" s="1" t="str">
        <f t="shared" si="29"/>
        <v>21183</v>
      </c>
      <c r="D1798" t="s">
        <v>26</v>
      </c>
      <c r="E1798" s="2" t="s">
        <v>39</v>
      </c>
      <c r="F1798" s="2" t="str">
        <f>_xlfn.XLOOKUP(Table1_1[[#This Row],[CAS_rn]],[1]analyte_order!$C:$C,[1]analyte_order!$B:$B)</f>
        <v>5:3 FTCA</v>
      </c>
      <c r="G1798" t="s">
        <v>145</v>
      </c>
      <c r="H1798" s="2">
        <f>_xlfn.XLOOKUP(Table1_1[[#This Row],[CAS_rn]],[1]analyte_order!$C:$C,[1]analyte_order!$E:$E)</f>
        <v>39</v>
      </c>
      <c r="I1798">
        <v>1.25</v>
      </c>
    </row>
    <row r="1799" spans="1:9" x14ac:dyDescent="0.3">
      <c r="A1799" s="2" t="s">
        <v>93</v>
      </c>
      <c r="B1799" s="3">
        <v>44378.5</v>
      </c>
      <c r="C1799" s="1" t="str">
        <f t="shared" si="29"/>
        <v>21183</v>
      </c>
      <c r="D1799" t="s">
        <v>26</v>
      </c>
      <c r="E1799" s="2" t="s">
        <v>39</v>
      </c>
      <c r="F1799" s="2" t="str">
        <f>_xlfn.XLOOKUP(Table1_1[[#This Row],[CAS_rn]],[1]analyte_order!$C:$C,[1]analyte_order!$B:$B)</f>
        <v>7:3 FTCA</v>
      </c>
      <c r="G1799" t="s">
        <v>146</v>
      </c>
      <c r="H1799" s="2">
        <f>_xlfn.XLOOKUP(Table1_1[[#This Row],[CAS_rn]],[1]analyte_order!$C:$C,[1]analyte_order!$E:$E)</f>
        <v>40</v>
      </c>
      <c r="I1799">
        <v>1.25</v>
      </c>
    </row>
    <row r="1800" spans="1:9" x14ac:dyDescent="0.3">
      <c r="A1800" s="2" t="s">
        <v>93</v>
      </c>
      <c r="B1800" s="3">
        <v>44378.5</v>
      </c>
      <c r="C1800" s="1" t="str">
        <f t="shared" si="29"/>
        <v>21183</v>
      </c>
      <c r="D1800" t="s">
        <v>26</v>
      </c>
      <c r="E1800" s="2" t="s">
        <v>39</v>
      </c>
      <c r="F1800" s="2" t="str">
        <f>_xlfn.XLOOKUP(Table1_1[[#This Row],[CAS_rn]],[1]analyte_order!$C:$C,[1]analyte_order!$B:$B)</f>
        <v>PFDS</v>
      </c>
      <c r="G1800" t="s">
        <v>147</v>
      </c>
      <c r="H1800" s="2">
        <f>_xlfn.XLOOKUP(Table1_1[[#This Row],[CAS_rn]],[1]analyte_order!$C:$C,[1]analyte_order!$E:$E)</f>
        <v>20</v>
      </c>
      <c r="I1800">
        <v>0.05</v>
      </c>
    </row>
    <row r="1801" spans="1:9" x14ac:dyDescent="0.3">
      <c r="A1801" s="2" t="s">
        <v>93</v>
      </c>
      <c r="B1801" s="3">
        <v>44378.5</v>
      </c>
      <c r="C1801" s="1" t="str">
        <f t="shared" si="29"/>
        <v>21183</v>
      </c>
      <c r="D1801" t="s">
        <v>26</v>
      </c>
      <c r="E1801" s="2" t="s">
        <v>39</v>
      </c>
      <c r="F1801" s="2" t="str">
        <f>_xlfn.XLOOKUP(Table1_1[[#This Row],[CAS_rn]],[1]analyte_order!$C:$C,[1]analyte_order!$B:$B)</f>
        <v>PFMPA</v>
      </c>
      <c r="G1801" t="s">
        <v>148</v>
      </c>
      <c r="H1801" s="2">
        <f>_xlfn.XLOOKUP(Table1_1[[#This Row],[CAS_rn]],[1]analyte_order!$C:$C,[1]analyte_order!$E:$E)</f>
        <v>49</v>
      </c>
      <c r="I1801">
        <v>0.1</v>
      </c>
    </row>
    <row r="1802" spans="1:9" x14ac:dyDescent="0.3">
      <c r="A1802" s="2" t="s">
        <v>94</v>
      </c>
      <c r="B1802" s="3">
        <v>44378.5</v>
      </c>
      <c r="C1802" s="1" t="str">
        <f t="shared" si="29"/>
        <v>21183</v>
      </c>
      <c r="D1802" t="s">
        <v>31</v>
      </c>
      <c r="E1802" s="2" t="s">
        <v>39</v>
      </c>
      <c r="F1802" s="2" t="str">
        <f>_xlfn.XLOOKUP(Table1_1[[#This Row],[CAS_rn]],[1]analyte_order!$C:$C,[1]analyte_order!$B:$B)</f>
        <v>PFBA</v>
      </c>
      <c r="G1802" t="s">
        <v>109</v>
      </c>
      <c r="H1802" s="2">
        <f>_xlfn.XLOOKUP(Table1_1[[#This Row],[CAS_rn]],[1]analyte_order!$C:$C,[1]analyte_order!$E:$E)</f>
        <v>1</v>
      </c>
      <c r="I1802">
        <v>0.2</v>
      </c>
    </row>
    <row r="1803" spans="1:9" x14ac:dyDescent="0.3">
      <c r="A1803" s="2" t="s">
        <v>94</v>
      </c>
      <c r="B1803" s="3">
        <v>44378.5</v>
      </c>
      <c r="C1803" s="1" t="str">
        <f t="shared" ref="C1803:C1866" si="30">TEXT(B1803,"yy")&amp;TEXT((B1803-DATEVALUE("1/1/"&amp;TEXT(B1803,"yy"))+1),"000")</f>
        <v>21183</v>
      </c>
      <c r="D1803" t="s">
        <v>31</v>
      </c>
      <c r="E1803" s="2" t="s">
        <v>39</v>
      </c>
      <c r="F1803" s="2" t="str">
        <f>_xlfn.XLOOKUP(Table1_1[[#This Row],[CAS_rn]],[1]analyte_order!$C:$C,[1]analyte_order!$B:$B)</f>
        <v>PFPeA</v>
      </c>
      <c r="G1803" t="s">
        <v>110</v>
      </c>
      <c r="H1803" s="2">
        <f>_xlfn.XLOOKUP(Table1_1[[#This Row],[CAS_rn]],[1]analyte_order!$C:$C,[1]analyte_order!$E:$E)</f>
        <v>2</v>
      </c>
      <c r="I1803">
        <v>0.1</v>
      </c>
    </row>
    <row r="1804" spans="1:9" x14ac:dyDescent="0.3">
      <c r="A1804" s="2" t="s">
        <v>94</v>
      </c>
      <c r="B1804" s="3">
        <v>44378.5</v>
      </c>
      <c r="C1804" s="1" t="str">
        <f t="shared" si="30"/>
        <v>21183</v>
      </c>
      <c r="D1804" t="s">
        <v>31</v>
      </c>
      <c r="E1804" s="2" t="s">
        <v>39</v>
      </c>
      <c r="F1804" s="2" t="str">
        <f>_xlfn.XLOOKUP(Table1_1[[#This Row],[CAS_rn]],[1]analyte_order!$C:$C,[1]analyte_order!$B:$B)</f>
        <v>PFHxA</v>
      </c>
      <c r="G1804" t="s">
        <v>111</v>
      </c>
      <c r="H1804" s="2">
        <f>_xlfn.XLOOKUP(Table1_1[[#This Row],[CAS_rn]],[1]analyte_order!$C:$C,[1]analyte_order!$E:$E)</f>
        <v>3</v>
      </c>
      <c r="I1804">
        <v>0.16</v>
      </c>
    </row>
    <row r="1805" spans="1:9" x14ac:dyDescent="0.3">
      <c r="A1805" s="2" t="s">
        <v>94</v>
      </c>
      <c r="B1805" s="3">
        <v>44378.5</v>
      </c>
      <c r="C1805" s="1" t="str">
        <f t="shared" si="30"/>
        <v>21183</v>
      </c>
      <c r="D1805" t="s">
        <v>31</v>
      </c>
      <c r="E1805" s="2" t="s">
        <v>39</v>
      </c>
      <c r="F1805" s="2" t="str">
        <f>_xlfn.XLOOKUP(Table1_1[[#This Row],[CAS_rn]],[1]analyte_order!$C:$C,[1]analyte_order!$B:$B)</f>
        <v>PFHpA</v>
      </c>
      <c r="G1805" t="s">
        <v>112</v>
      </c>
      <c r="H1805" s="2">
        <f>_xlfn.XLOOKUP(Table1_1[[#This Row],[CAS_rn]],[1]analyte_order!$C:$C,[1]analyte_order!$E:$E)</f>
        <v>4</v>
      </c>
      <c r="I1805">
        <v>0.09</v>
      </c>
    </row>
    <row r="1806" spans="1:9" x14ac:dyDescent="0.3">
      <c r="A1806" s="2" t="s">
        <v>94</v>
      </c>
      <c r="B1806" s="3">
        <v>44378.5</v>
      </c>
      <c r="C1806" s="1" t="str">
        <f t="shared" si="30"/>
        <v>21183</v>
      </c>
      <c r="D1806" t="s">
        <v>31</v>
      </c>
      <c r="E1806" s="2" t="s">
        <v>39</v>
      </c>
      <c r="F1806" s="2" t="str">
        <f>_xlfn.XLOOKUP(Table1_1[[#This Row],[CAS_rn]],[1]analyte_order!$C:$C,[1]analyte_order!$B:$B)</f>
        <v>PFOA</v>
      </c>
      <c r="G1806" t="s">
        <v>113</v>
      </c>
      <c r="H1806" s="2">
        <f>_xlfn.XLOOKUP(Table1_1[[#This Row],[CAS_rn]],[1]analyte_order!$C:$C,[1]analyte_order!$E:$E)</f>
        <v>5</v>
      </c>
      <c r="I1806">
        <v>0.21</v>
      </c>
    </row>
    <row r="1807" spans="1:9" x14ac:dyDescent="0.3">
      <c r="A1807" s="2" t="s">
        <v>94</v>
      </c>
      <c r="B1807" s="3">
        <v>44378.5</v>
      </c>
      <c r="C1807" s="1" t="str">
        <f t="shared" si="30"/>
        <v>21183</v>
      </c>
      <c r="D1807" t="s">
        <v>31</v>
      </c>
      <c r="E1807" s="2" t="s">
        <v>39</v>
      </c>
      <c r="F1807" s="2" t="str">
        <f>_xlfn.XLOOKUP(Table1_1[[#This Row],[CAS_rn]],[1]analyte_order!$C:$C,[1]analyte_order!$B:$B)</f>
        <v>PFNA</v>
      </c>
      <c r="G1807" t="s">
        <v>114</v>
      </c>
      <c r="H1807" s="2">
        <f>_xlfn.XLOOKUP(Table1_1[[#This Row],[CAS_rn]],[1]analyte_order!$C:$C,[1]analyte_order!$E:$E)</f>
        <v>6</v>
      </c>
      <c r="I1807">
        <v>0.05</v>
      </c>
    </row>
    <row r="1808" spans="1:9" x14ac:dyDescent="0.3">
      <c r="A1808" s="2" t="s">
        <v>94</v>
      </c>
      <c r="B1808" s="3">
        <v>44378.5</v>
      </c>
      <c r="C1808" s="1" t="str">
        <f t="shared" si="30"/>
        <v>21183</v>
      </c>
      <c r="D1808" t="s">
        <v>31</v>
      </c>
      <c r="E1808" s="2" t="s">
        <v>39</v>
      </c>
      <c r="F1808" s="2" t="str">
        <f>_xlfn.XLOOKUP(Table1_1[[#This Row],[CAS_rn]],[1]analyte_order!$C:$C,[1]analyte_order!$B:$B)</f>
        <v>PFDA</v>
      </c>
      <c r="G1808" t="s">
        <v>115</v>
      </c>
      <c r="H1808" s="2">
        <f>_xlfn.XLOOKUP(Table1_1[[#This Row],[CAS_rn]],[1]analyte_order!$C:$C,[1]analyte_order!$E:$E)</f>
        <v>7</v>
      </c>
      <c r="I1808">
        <v>0.05</v>
      </c>
    </row>
    <row r="1809" spans="1:9" x14ac:dyDescent="0.3">
      <c r="A1809" s="2" t="s">
        <v>94</v>
      </c>
      <c r="B1809" s="3">
        <v>44378.5</v>
      </c>
      <c r="C1809" s="1" t="str">
        <f t="shared" si="30"/>
        <v>21183</v>
      </c>
      <c r="D1809" t="s">
        <v>31</v>
      </c>
      <c r="E1809" s="2" t="s">
        <v>39</v>
      </c>
      <c r="F1809" s="2" t="str">
        <f>_xlfn.XLOOKUP(Table1_1[[#This Row],[CAS_rn]],[1]analyte_order!$C:$C,[1]analyte_order!$B:$B)</f>
        <v>PFUnA</v>
      </c>
      <c r="G1809" t="s">
        <v>116</v>
      </c>
      <c r="H1809" s="2">
        <f>_xlfn.XLOOKUP(Table1_1[[#This Row],[CAS_rn]],[1]analyte_order!$C:$C,[1]analyte_order!$E:$E)</f>
        <v>8</v>
      </c>
      <c r="I1809">
        <v>0.05</v>
      </c>
    </row>
    <row r="1810" spans="1:9" x14ac:dyDescent="0.3">
      <c r="A1810" s="2" t="s">
        <v>94</v>
      </c>
      <c r="B1810" s="3">
        <v>44378.5</v>
      </c>
      <c r="C1810" s="1" t="str">
        <f t="shared" si="30"/>
        <v>21183</v>
      </c>
      <c r="D1810" t="s">
        <v>31</v>
      </c>
      <c r="E1810" s="2" t="s">
        <v>39</v>
      </c>
      <c r="F1810" s="2" t="str">
        <f>_xlfn.XLOOKUP(Table1_1[[#This Row],[CAS_rn]],[1]analyte_order!$C:$C,[1]analyte_order!$B:$B)</f>
        <v>PFDoA</v>
      </c>
      <c r="G1810" t="s">
        <v>117</v>
      </c>
      <c r="H1810" s="2">
        <f>_xlfn.XLOOKUP(Table1_1[[#This Row],[CAS_rn]],[1]analyte_order!$C:$C,[1]analyte_order!$E:$E)</f>
        <v>9</v>
      </c>
      <c r="I1810">
        <v>0.05</v>
      </c>
    </row>
    <row r="1811" spans="1:9" x14ac:dyDescent="0.3">
      <c r="A1811" s="2" t="s">
        <v>94</v>
      </c>
      <c r="B1811" s="3">
        <v>44378.5</v>
      </c>
      <c r="C1811" s="1" t="str">
        <f t="shared" si="30"/>
        <v>21183</v>
      </c>
      <c r="D1811" t="s">
        <v>31</v>
      </c>
      <c r="E1811" s="2" t="s">
        <v>39</v>
      </c>
      <c r="F1811" s="2" t="str">
        <f>_xlfn.XLOOKUP(Table1_1[[#This Row],[CAS_rn]],[1]analyte_order!$C:$C,[1]analyte_order!$B:$B)</f>
        <v>PFTrDA</v>
      </c>
      <c r="G1811" t="s">
        <v>118</v>
      </c>
      <c r="H1811" s="2">
        <f>_xlfn.XLOOKUP(Table1_1[[#This Row],[CAS_rn]],[1]analyte_order!$C:$C,[1]analyte_order!$E:$E)</f>
        <v>10</v>
      </c>
      <c r="I1811">
        <v>0.05</v>
      </c>
    </row>
    <row r="1812" spans="1:9" x14ac:dyDescent="0.3">
      <c r="A1812" s="2" t="s">
        <v>94</v>
      </c>
      <c r="B1812" s="3">
        <v>44378.5</v>
      </c>
      <c r="C1812" s="1" t="str">
        <f t="shared" si="30"/>
        <v>21183</v>
      </c>
      <c r="D1812" t="s">
        <v>31</v>
      </c>
      <c r="E1812" s="2" t="s">
        <v>39</v>
      </c>
      <c r="F1812" s="2" t="str">
        <f>_xlfn.XLOOKUP(Table1_1[[#This Row],[CAS_rn]],[1]analyte_order!$C:$C,[1]analyte_order!$B:$B)</f>
        <v>PFTeDA</v>
      </c>
      <c r="G1812" t="s">
        <v>119</v>
      </c>
      <c r="H1812" s="2">
        <f>_xlfn.XLOOKUP(Table1_1[[#This Row],[CAS_rn]],[1]analyte_order!$C:$C,[1]analyte_order!$E:$E)</f>
        <v>11</v>
      </c>
      <c r="I1812">
        <v>0.05</v>
      </c>
    </row>
    <row r="1813" spans="1:9" x14ac:dyDescent="0.3">
      <c r="A1813" s="2" t="s">
        <v>94</v>
      </c>
      <c r="B1813" s="3">
        <v>44378.5</v>
      </c>
      <c r="C1813" s="1" t="str">
        <f t="shared" si="30"/>
        <v>21183</v>
      </c>
      <c r="D1813" t="s">
        <v>31</v>
      </c>
      <c r="E1813" s="2" t="s">
        <v>39</v>
      </c>
      <c r="F1813" s="2" t="str">
        <f>_xlfn.XLOOKUP(Table1_1[[#This Row],[CAS_rn]],[1]analyte_order!$C:$C,[1]analyte_order!$B:$B)</f>
        <v>PFBS</v>
      </c>
      <c r="G1813" t="s">
        <v>120</v>
      </c>
      <c r="H1813" s="2">
        <f>_xlfn.XLOOKUP(Table1_1[[#This Row],[CAS_rn]],[1]analyte_order!$C:$C,[1]analyte_order!$E:$E)</f>
        <v>14</v>
      </c>
      <c r="I1813">
        <v>0.05</v>
      </c>
    </row>
    <row r="1814" spans="1:9" x14ac:dyDescent="0.3">
      <c r="A1814" s="2" t="s">
        <v>94</v>
      </c>
      <c r="B1814" s="3">
        <v>44378.5</v>
      </c>
      <c r="C1814" s="1" t="str">
        <f t="shared" si="30"/>
        <v>21183</v>
      </c>
      <c r="D1814" t="s">
        <v>31</v>
      </c>
      <c r="E1814" s="2" t="s">
        <v>39</v>
      </c>
      <c r="F1814" s="2" t="str">
        <f>_xlfn.XLOOKUP(Table1_1[[#This Row],[CAS_rn]],[1]analyte_order!$C:$C,[1]analyte_order!$B:$B)</f>
        <v>PFPeS</v>
      </c>
      <c r="G1814" t="s">
        <v>121</v>
      </c>
      <c r="H1814" s="2">
        <f>_xlfn.XLOOKUP(Table1_1[[#This Row],[CAS_rn]],[1]analyte_order!$C:$C,[1]analyte_order!$E:$E)</f>
        <v>15</v>
      </c>
      <c r="I1814">
        <v>0.05</v>
      </c>
    </row>
    <row r="1815" spans="1:9" x14ac:dyDescent="0.3">
      <c r="A1815" s="2" t="s">
        <v>94</v>
      </c>
      <c r="B1815" s="3">
        <v>44378.5</v>
      </c>
      <c r="C1815" s="1" t="str">
        <f t="shared" si="30"/>
        <v>21183</v>
      </c>
      <c r="D1815" t="s">
        <v>31</v>
      </c>
      <c r="E1815" s="2" t="s">
        <v>39</v>
      </c>
      <c r="F1815" s="2" t="str">
        <f>_xlfn.XLOOKUP(Table1_1[[#This Row],[CAS_rn]],[1]analyte_order!$C:$C,[1]analyte_order!$B:$B)</f>
        <v>PFHxS</v>
      </c>
      <c r="G1815" t="s">
        <v>122</v>
      </c>
      <c r="H1815" s="2">
        <f>_xlfn.XLOOKUP(Table1_1[[#This Row],[CAS_rn]],[1]analyte_order!$C:$C,[1]analyte_order!$E:$E)</f>
        <v>16</v>
      </c>
      <c r="I1815">
        <v>0.5</v>
      </c>
    </row>
    <row r="1816" spans="1:9" x14ac:dyDescent="0.3">
      <c r="A1816" s="2" t="s">
        <v>94</v>
      </c>
      <c r="B1816" s="3">
        <v>44378.5</v>
      </c>
      <c r="C1816" s="1" t="str">
        <f t="shared" si="30"/>
        <v>21183</v>
      </c>
      <c r="D1816" t="s">
        <v>31</v>
      </c>
      <c r="E1816" s="2" t="s">
        <v>39</v>
      </c>
      <c r="F1816" s="2" t="str">
        <f>_xlfn.XLOOKUP(Table1_1[[#This Row],[CAS_rn]],[1]analyte_order!$C:$C,[1]analyte_order!$B:$B)</f>
        <v>PFHpS</v>
      </c>
      <c r="G1816" t="s">
        <v>123</v>
      </c>
      <c r="H1816" s="2">
        <f>_xlfn.XLOOKUP(Table1_1[[#This Row],[CAS_rn]],[1]analyte_order!$C:$C,[1]analyte_order!$E:$E)</f>
        <v>17</v>
      </c>
      <c r="I1816">
        <v>0.05</v>
      </c>
    </row>
    <row r="1817" spans="1:9" x14ac:dyDescent="0.3">
      <c r="A1817" s="2" t="s">
        <v>94</v>
      </c>
      <c r="B1817" s="3">
        <v>44378.5</v>
      </c>
      <c r="C1817" s="1" t="str">
        <f t="shared" si="30"/>
        <v>21183</v>
      </c>
      <c r="D1817" t="s">
        <v>31</v>
      </c>
      <c r="E1817" s="2" t="s">
        <v>39</v>
      </c>
      <c r="F1817" s="2" t="str">
        <f>_xlfn.XLOOKUP(Table1_1[[#This Row],[CAS_rn]],[1]analyte_order!$C:$C,[1]analyte_order!$B:$B)</f>
        <v>PFOS</v>
      </c>
      <c r="G1817" t="s">
        <v>124</v>
      </c>
      <c r="H1817" s="2">
        <f>_xlfn.XLOOKUP(Table1_1[[#This Row],[CAS_rn]],[1]analyte_order!$C:$C,[1]analyte_order!$E:$E)</f>
        <v>18</v>
      </c>
      <c r="I1817">
        <v>2.2999999999999998</v>
      </c>
    </row>
    <row r="1818" spans="1:9" x14ac:dyDescent="0.3">
      <c r="A1818" s="2" t="s">
        <v>94</v>
      </c>
      <c r="B1818" s="3">
        <v>44378.5</v>
      </c>
      <c r="C1818" s="1" t="str">
        <f t="shared" si="30"/>
        <v>21183</v>
      </c>
      <c r="D1818" t="s">
        <v>31</v>
      </c>
      <c r="E1818" s="2" t="s">
        <v>39</v>
      </c>
      <c r="F1818" s="2" t="str">
        <f>_xlfn.XLOOKUP(Table1_1[[#This Row],[CAS_rn]],[1]analyte_order!$C:$C,[1]analyte_order!$B:$B)</f>
        <v>PFNS</v>
      </c>
      <c r="G1818" t="s">
        <v>125</v>
      </c>
      <c r="H1818" s="2">
        <f>_xlfn.XLOOKUP(Table1_1[[#This Row],[CAS_rn]],[1]analyte_order!$C:$C,[1]analyte_order!$E:$E)</f>
        <v>19</v>
      </c>
      <c r="I1818">
        <v>0.05</v>
      </c>
    </row>
    <row r="1819" spans="1:9" x14ac:dyDescent="0.3">
      <c r="A1819" s="2" t="s">
        <v>94</v>
      </c>
      <c r="B1819" s="3">
        <v>44378.5</v>
      </c>
      <c r="C1819" s="1" t="str">
        <f t="shared" si="30"/>
        <v>21183</v>
      </c>
      <c r="D1819" t="s">
        <v>31</v>
      </c>
      <c r="E1819" s="2" t="s">
        <v>39</v>
      </c>
      <c r="F1819" s="2" t="str">
        <f>_xlfn.XLOOKUP(Table1_1[[#This Row],[CAS_rn]],[1]analyte_order!$C:$C,[1]analyte_order!$B:$B)</f>
        <v>PFDoS</v>
      </c>
      <c r="G1819" t="s">
        <v>126</v>
      </c>
      <c r="H1819" s="2">
        <f>_xlfn.XLOOKUP(Table1_1[[#This Row],[CAS_rn]],[1]analyte_order!$C:$C,[1]analyte_order!$E:$E)</f>
        <v>21</v>
      </c>
      <c r="I1819">
        <v>0.05</v>
      </c>
    </row>
    <row r="1820" spans="1:9" x14ac:dyDescent="0.3">
      <c r="A1820" s="2" t="s">
        <v>94</v>
      </c>
      <c r="B1820" s="3">
        <v>44378.5</v>
      </c>
      <c r="C1820" s="1" t="str">
        <f t="shared" si="30"/>
        <v>21183</v>
      </c>
      <c r="D1820" t="s">
        <v>31</v>
      </c>
      <c r="E1820" s="2" t="s">
        <v>39</v>
      </c>
      <c r="F1820" s="2" t="str">
        <f>_xlfn.XLOOKUP(Table1_1[[#This Row],[CAS_rn]],[1]analyte_order!$C:$C,[1]analyte_order!$B:$B)</f>
        <v>4:2 FTS</v>
      </c>
      <c r="G1820" t="s">
        <v>127</v>
      </c>
      <c r="H1820" s="2">
        <f>_xlfn.XLOOKUP(Table1_1[[#This Row],[CAS_rn]],[1]analyte_order!$C:$C,[1]analyte_order!$E:$E)</f>
        <v>22</v>
      </c>
      <c r="I1820">
        <v>0.2</v>
      </c>
    </row>
    <row r="1821" spans="1:9" x14ac:dyDescent="0.3">
      <c r="A1821" s="2" t="s">
        <v>94</v>
      </c>
      <c r="B1821" s="3">
        <v>44378.5</v>
      </c>
      <c r="C1821" s="1" t="str">
        <f t="shared" si="30"/>
        <v>21183</v>
      </c>
      <c r="D1821" t="s">
        <v>31</v>
      </c>
      <c r="E1821" s="2" t="s">
        <v>39</v>
      </c>
      <c r="F1821" s="2" t="str">
        <f>_xlfn.XLOOKUP(Table1_1[[#This Row],[CAS_rn]],[1]analyte_order!$C:$C,[1]analyte_order!$B:$B)</f>
        <v>6:2 FTS</v>
      </c>
      <c r="G1821" t="s">
        <v>128</v>
      </c>
      <c r="H1821" s="2">
        <f>_xlfn.XLOOKUP(Table1_1[[#This Row],[CAS_rn]],[1]analyte_order!$C:$C,[1]analyte_order!$E:$E)</f>
        <v>23</v>
      </c>
      <c r="I1821">
        <v>0.4</v>
      </c>
    </row>
    <row r="1822" spans="1:9" x14ac:dyDescent="0.3">
      <c r="A1822" s="2" t="s">
        <v>94</v>
      </c>
      <c r="B1822" s="3">
        <v>44378.5</v>
      </c>
      <c r="C1822" s="1" t="str">
        <f t="shared" si="30"/>
        <v>21183</v>
      </c>
      <c r="D1822" t="s">
        <v>31</v>
      </c>
      <c r="E1822" s="2" t="s">
        <v>39</v>
      </c>
      <c r="F1822" s="2" t="str">
        <f>_xlfn.XLOOKUP(Table1_1[[#This Row],[CAS_rn]],[1]analyte_order!$C:$C,[1]analyte_order!$B:$B)</f>
        <v>8:2 FTS</v>
      </c>
      <c r="G1822" t="s">
        <v>129</v>
      </c>
      <c r="H1822" s="2">
        <f>_xlfn.XLOOKUP(Table1_1[[#This Row],[CAS_rn]],[1]analyte_order!$C:$C,[1]analyte_order!$E:$E)</f>
        <v>24</v>
      </c>
      <c r="I1822">
        <v>0.4</v>
      </c>
    </row>
    <row r="1823" spans="1:9" x14ac:dyDescent="0.3">
      <c r="A1823" s="2" t="s">
        <v>94</v>
      </c>
      <c r="B1823" s="3">
        <v>44378.5</v>
      </c>
      <c r="C1823" s="1" t="str">
        <f t="shared" si="30"/>
        <v>21183</v>
      </c>
      <c r="D1823" t="s">
        <v>31</v>
      </c>
      <c r="E1823" s="2" t="s">
        <v>39</v>
      </c>
      <c r="F1823" s="2" t="str">
        <f>_xlfn.XLOOKUP(Table1_1[[#This Row],[CAS_rn]],[1]analyte_order!$C:$C,[1]analyte_order!$B:$B)</f>
        <v>FOSA</v>
      </c>
      <c r="G1823" t="s">
        <v>130</v>
      </c>
      <c r="H1823" s="2">
        <f>_xlfn.XLOOKUP(Table1_1[[#This Row],[CAS_rn]],[1]analyte_order!$C:$C,[1]analyte_order!$E:$E)</f>
        <v>28</v>
      </c>
      <c r="I1823">
        <v>0.12</v>
      </c>
    </row>
    <row r="1824" spans="1:9" x14ac:dyDescent="0.3">
      <c r="A1824" s="2" t="s">
        <v>94</v>
      </c>
      <c r="B1824" s="3">
        <v>44378.5</v>
      </c>
      <c r="C1824" s="1" t="str">
        <f t="shared" si="30"/>
        <v>21183</v>
      </c>
      <c r="D1824" t="s">
        <v>31</v>
      </c>
      <c r="E1824" s="2" t="s">
        <v>39</v>
      </c>
      <c r="F1824" s="2" t="str">
        <f>_xlfn.XLOOKUP(Table1_1[[#This Row],[CAS_rn]],[1]analyte_order!$C:$C,[1]analyte_order!$B:$B)</f>
        <v>N-MeFOSA</v>
      </c>
      <c r="G1824" t="s">
        <v>131</v>
      </c>
      <c r="H1824" s="2">
        <f>_xlfn.XLOOKUP(Table1_1[[#This Row],[CAS_rn]],[1]analyte_order!$C:$C,[1]analyte_order!$E:$E)</f>
        <v>30</v>
      </c>
      <c r="I1824">
        <v>0.05</v>
      </c>
    </row>
    <row r="1825" spans="1:9" x14ac:dyDescent="0.3">
      <c r="A1825" s="2" t="s">
        <v>94</v>
      </c>
      <c r="B1825" s="3">
        <v>44378.5</v>
      </c>
      <c r="C1825" s="1" t="str">
        <f t="shared" si="30"/>
        <v>21183</v>
      </c>
      <c r="D1825" t="s">
        <v>31</v>
      </c>
      <c r="E1825" s="2" t="s">
        <v>39</v>
      </c>
      <c r="F1825" s="2" t="str">
        <f>_xlfn.XLOOKUP(Table1_1[[#This Row],[CAS_rn]],[1]analyte_order!$C:$C,[1]analyte_order!$B:$B)</f>
        <v>N-MeFOSAA</v>
      </c>
      <c r="G1825" t="s">
        <v>132</v>
      </c>
      <c r="H1825" s="2">
        <f>_xlfn.XLOOKUP(Table1_1[[#This Row],[CAS_rn]],[1]analyte_order!$C:$C,[1]analyte_order!$E:$E)</f>
        <v>26</v>
      </c>
      <c r="I1825">
        <v>0.05</v>
      </c>
    </row>
    <row r="1826" spans="1:9" x14ac:dyDescent="0.3">
      <c r="A1826" s="2" t="s">
        <v>94</v>
      </c>
      <c r="B1826" s="3">
        <v>44378.5</v>
      </c>
      <c r="C1826" s="1" t="str">
        <f t="shared" si="30"/>
        <v>21183</v>
      </c>
      <c r="D1826" t="s">
        <v>31</v>
      </c>
      <c r="E1826" s="2" t="s">
        <v>39</v>
      </c>
      <c r="F1826" s="2" t="str">
        <f>_xlfn.XLOOKUP(Table1_1[[#This Row],[CAS_rn]],[1]analyte_order!$C:$C,[1]analyte_order!$B:$B)</f>
        <v>N-EtFOSA</v>
      </c>
      <c r="G1826" t="s">
        <v>133</v>
      </c>
      <c r="H1826" s="2">
        <f>_xlfn.XLOOKUP(Table1_1[[#This Row],[CAS_rn]],[1]analyte_order!$C:$C,[1]analyte_order!$E:$E)</f>
        <v>31</v>
      </c>
      <c r="I1826">
        <v>0.05</v>
      </c>
    </row>
    <row r="1827" spans="1:9" x14ac:dyDescent="0.3">
      <c r="A1827" s="2" t="s">
        <v>94</v>
      </c>
      <c r="B1827" s="3">
        <v>44378.5</v>
      </c>
      <c r="C1827" s="1" t="str">
        <f t="shared" si="30"/>
        <v>21183</v>
      </c>
      <c r="D1827" t="s">
        <v>31</v>
      </c>
      <c r="E1827" s="2" t="s">
        <v>39</v>
      </c>
      <c r="F1827" s="2" t="str">
        <f>_xlfn.XLOOKUP(Table1_1[[#This Row],[CAS_rn]],[1]analyte_order!$C:$C,[1]analyte_order!$B:$B)</f>
        <v>N-EtFOSAA</v>
      </c>
      <c r="G1827" t="s">
        <v>134</v>
      </c>
      <c r="H1827" s="2">
        <f>_xlfn.XLOOKUP(Table1_1[[#This Row],[CAS_rn]],[1]analyte_order!$C:$C,[1]analyte_order!$E:$E)</f>
        <v>27</v>
      </c>
      <c r="I1827">
        <v>0.05</v>
      </c>
    </row>
    <row r="1828" spans="1:9" x14ac:dyDescent="0.3">
      <c r="A1828" s="2" t="s">
        <v>94</v>
      </c>
      <c r="B1828" s="3">
        <v>44378.5</v>
      </c>
      <c r="C1828" s="1" t="str">
        <f t="shared" si="30"/>
        <v>21183</v>
      </c>
      <c r="D1828" t="s">
        <v>31</v>
      </c>
      <c r="E1828" s="2" t="s">
        <v>39</v>
      </c>
      <c r="F1828" s="2" t="str">
        <f>_xlfn.XLOOKUP(Table1_1[[#This Row],[CAS_rn]],[1]analyte_order!$C:$C,[1]analyte_order!$B:$B)</f>
        <v>N-MeFOSE</v>
      </c>
      <c r="G1828" t="s">
        <v>135</v>
      </c>
      <c r="H1828" s="2">
        <f>_xlfn.XLOOKUP(Table1_1[[#This Row],[CAS_rn]],[1]analyte_order!$C:$C,[1]analyte_order!$E:$E)</f>
        <v>32</v>
      </c>
      <c r="I1828">
        <v>0.5</v>
      </c>
    </row>
    <row r="1829" spans="1:9" x14ac:dyDescent="0.3">
      <c r="A1829" s="2" t="s">
        <v>94</v>
      </c>
      <c r="B1829" s="3">
        <v>44378.5</v>
      </c>
      <c r="C1829" s="1" t="str">
        <f t="shared" si="30"/>
        <v>21183</v>
      </c>
      <c r="D1829" t="s">
        <v>31</v>
      </c>
      <c r="E1829" s="2" t="s">
        <v>39</v>
      </c>
      <c r="F1829" s="2" t="str">
        <f>_xlfn.XLOOKUP(Table1_1[[#This Row],[CAS_rn]],[1]analyte_order!$C:$C,[1]analyte_order!$B:$B)</f>
        <v>N-EtFOSE</v>
      </c>
      <c r="G1829" t="s">
        <v>136</v>
      </c>
      <c r="H1829" s="2">
        <f>_xlfn.XLOOKUP(Table1_1[[#This Row],[CAS_rn]],[1]analyte_order!$C:$C,[1]analyte_order!$E:$E)</f>
        <v>33</v>
      </c>
      <c r="I1829">
        <v>0.5</v>
      </c>
    </row>
    <row r="1830" spans="1:9" x14ac:dyDescent="0.3">
      <c r="A1830" s="2" t="s">
        <v>94</v>
      </c>
      <c r="B1830" s="3">
        <v>44378.5</v>
      </c>
      <c r="C1830" s="1" t="str">
        <f t="shared" si="30"/>
        <v>21183</v>
      </c>
      <c r="D1830" t="s">
        <v>31</v>
      </c>
      <c r="E1830" s="2" t="s">
        <v>39</v>
      </c>
      <c r="F1830" s="2" t="str">
        <f>_xlfn.XLOOKUP(Table1_1[[#This Row],[CAS_rn]],[1]analyte_order!$C:$C,[1]analyte_order!$B:$B)</f>
        <v>HFPO-DA</v>
      </c>
      <c r="G1830" t="s">
        <v>137</v>
      </c>
      <c r="H1830" s="2">
        <f>_xlfn.XLOOKUP(Table1_1[[#This Row],[CAS_rn]],[1]analyte_order!$C:$C,[1]analyte_order!$E:$E)</f>
        <v>34</v>
      </c>
      <c r="I1830">
        <v>0.3</v>
      </c>
    </row>
    <row r="1831" spans="1:9" x14ac:dyDescent="0.3">
      <c r="A1831" s="2" t="s">
        <v>94</v>
      </c>
      <c r="B1831" s="3">
        <v>44378.5</v>
      </c>
      <c r="C1831" s="1" t="str">
        <f t="shared" si="30"/>
        <v>21183</v>
      </c>
      <c r="D1831" t="s">
        <v>31</v>
      </c>
      <c r="E1831" s="2" t="s">
        <v>39</v>
      </c>
      <c r="F1831" s="2" t="str">
        <f>_xlfn.XLOOKUP(Table1_1[[#This Row],[CAS_rn]],[1]analyte_order!$C:$C,[1]analyte_order!$B:$B)</f>
        <v>ADONA</v>
      </c>
      <c r="G1831" t="s">
        <v>138</v>
      </c>
      <c r="H1831" s="2">
        <f>_xlfn.XLOOKUP(Table1_1[[#This Row],[CAS_rn]],[1]analyte_order!$C:$C,[1]analyte_order!$E:$E)</f>
        <v>35</v>
      </c>
      <c r="I1831">
        <v>0.2</v>
      </c>
    </row>
    <row r="1832" spans="1:9" x14ac:dyDescent="0.3">
      <c r="A1832" s="2" t="s">
        <v>94</v>
      </c>
      <c r="B1832" s="3">
        <v>44378.5</v>
      </c>
      <c r="C1832" s="1" t="str">
        <f t="shared" si="30"/>
        <v>21183</v>
      </c>
      <c r="D1832" t="s">
        <v>31</v>
      </c>
      <c r="E1832" s="2" t="s">
        <v>39</v>
      </c>
      <c r="F1832" s="2" t="str">
        <f>_xlfn.XLOOKUP(Table1_1[[#This Row],[CAS_rn]],[1]analyte_order!$C:$C,[1]analyte_order!$B:$B)</f>
        <v>PFMBA</v>
      </c>
      <c r="G1832" t="s">
        <v>139</v>
      </c>
      <c r="H1832" s="2">
        <f>_xlfn.XLOOKUP(Table1_1[[#This Row],[CAS_rn]],[1]analyte_order!$C:$C,[1]analyte_order!$E:$E)</f>
        <v>48</v>
      </c>
      <c r="I1832">
        <v>0.1</v>
      </c>
    </row>
    <row r="1833" spans="1:9" x14ac:dyDescent="0.3">
      <c r="A1833" s="2" t="s">
        <v>94</v>
      </c>
      <c r="B1833" s="3">
        <v>44378.5</v>
      </c>
      <c r="C1833" s="1" t="str">
        <f t="shared" si="30"/>
        <v>21183</v>
      </c>
      <c r="D1833" t="s">
        <v>31</v>
      </c>
      <c r="E1833" s="2" t="s">
        <v>39</v>
      </c>
      <c r="F1833" s="2" t="str">
        <f>_xlfn.XLOOKUP(Table1_1[[#This Row],[CAS_rn]],[1]analyte_order!$C:$C,[1]analyte_order!$B:$B)</f>
        <v>NFDHA</v>
      </c>
      <c r="G1833" t="s">
        <v>140</v>
      </c>
      <c r="H1833" s="2">
        <f>_xlfn.XLOOKUP(Table1_1[[#This Row],[CAS_rn]],[1]analyte_order!$C:$C,[1]analyte_order!$E:$E)</f>
        <v>50</v>
      </c>
      <c r="I1833">
        <v>0.1</v>
      </c>
    </row>
    <row r="1834" spans="1:9" x14ac:dyDescent="0.3">
      <c r="A1834" s="2" t="s">
        <v>94</v>
      </c>
      <c r="B1834" s="3">
        <v>44378.5</v>
      </c>
      <c r="C1834" s="1" t="str">
        <f t="shared" si="30"/>
        <v>21183</v>
      </c>
      <c r="D1834" t="s">
        <v>31</v>
      </c>
      <c r="E1834" s="2" t="s">
        <v>39</v>
      </c>
      <c r="F1834" s="2" t="str">
        <f>_xlfn.XLOOKUP(Table1_1[[#This Row],[CAS_rn]],[1]analyte_order!$C:$C,[1]analyte_order!$B:$B)</f>
        <v>9Cl-PF3ONS</v>
      </c>
      <c r="G1834" t="s">
        <v>141</v>
      </c>
      <c r="H1834" s="2">
        <f>_xlfn.XLOOKUP(Table1_1[[#This Row],[CAS_rn]],[1]analyte_order!$C:$C,[1]analyte_order!$E:$E)</f>
        <v>36</v>
      </c>
      <c r="I1834">
        <v>0.2</v>
      </c>
    </row>
    <row r="1835" spans="1:9" x14ac:dyDescent="0.3">
      <c r="A1835" s="2" t="s">
        <v>94</v>
      </c>
      <c r="B1835" s="3">
        <v>44378.5</v>
      </c>
      <c r="C1835" s="1" t="str">
        <f t="shared" si="30"/>
        <v>21183</v>
      </c>
      <c r="D1835" t="s">
        <v>31</v>
      </c>
      <c r="E1835" s="2" t="s">
        <v>39</v>
      </c>
      <c r="F1835" s="2" t="str">
        <f>_xlfn.XLOOKUP(Table1_1[[#This Row],[CAS_rn]],[1]analyte_order!$C:$C,[1]analyte_order!$B:$B)</f>
        <v>11Cl-PF3OUdS</v>
      </c>
      <c r="G1835" t="s">
        <v>142</v>
      </c>
      <c r="H1835" s="2">
        <f>_xlfn.XLOOKUP(Table1_1[[#This Row],[CAS_rn]],[1]analyte_order!$C:$C,[1]analyte_order!$E:$E)</f>
        <v>37</v>
      </c>
      <c r="I1835">
        <v>0.2</v>
      </c>
    </row>
    <row r="1836" spans="1:9" x14ac:dyDescent="0.3">
      <c r="A1836" s="2" t="s">
        <v>94</v>
      </c>
      <c r="B1836" s="3">
        <v>44378.5</v>
      </c>
      <c r="C1836" s="1" t="str">
        <f t="shared" si="30"/>
        <v>21183</v>
      </c>
      <c r="D1836" t="s">
        <v>31</v>
      </c>
      <c r="E1836" s="2" t="s">
        <v>39</v>
      </c>
      <c r="F1836" s="2" t="str">
        <f>_xlfn.XLOOKUP(Table1_1[[#This Row],[CAS_rn]],[1]analyte_order!$C:$C,[1]analyte_order!$B:$B)</f>
        <v>PFEESA</v>
      </c>
      <c r="G1836" t="s">
        <v>143</v>
      </c>
      <c r="H1836" s="2">
        <f>_xlfn.XLOOKUP(Table1_1[[#This Row],[CAS_rn]],[1]analyte_order!$C:$C,[1]analyte_order!$E:$E)</f>
        <v>47</v>
      </c>
      <c r="I1836">
        <v>0.1</v>
      </c>
    </row>
    <row r="1837" spans="1:9" x14ac:dyDescent="0.3">
      <c r="A1837" s="2" t="s">
        <v>94</v>
      </c>
      <c r="B1837" s="3">
        <v>44378.5</v>
      </c>
      <c r="C1837" s="1" t="str">
        <f t="shared" si="30"/>
        <v>21183</v>
      </c>
      <c r="D1837" t="s">
        <v>31</v>
      </c>
      <c r="E1837" s="2" t="s">
        <v>39</v>
      </c>
      <c r="F1837" s="2" t="str">
        <f>_xlfn.XLOOKUP(Table1_1[[#This Row],[CAS_rn]],[1]analyte_order!$C:$C,[1]analyte_order!$B:$B)</f>
        <v>3:3 FTCA</v>
      </c>
      <c r="G1837" t="s">
        <v>144</v>
      </c>
      <c r="H1837" s="2">
        <f>_xlfn.XLOOKUP(Table1_1[[#This Row],[CAS_rn]],[1]analyte_order!$C:$C,[1]analyte_order!$E:$E)</f>
        <v>38</v>
      </c>
      <c r="I1837">
        <v>0.25</v>
      </c>
    </row>
    <row r="1838" spans="1:9" x14ac:dyDescent="0.3">
      <c r="A1838" s="2" t="s">
        <v>94</v>
      </c>
      <c r="B1838" s="3">
        <v>44378.5</v>
      </c>
      <c r="C1838" s="1" t="str">
        <f t="shared" si="30"/>
        <v>21183</v>
      </c>
      <c r="D1838" t="s">
        <v>31</v>
      </c>
      <c r="E1838" s="2" t="s">
        <v>39</v>
      </c>
      <c r="F1838" s="2" t="str">
        <f>_xlfn.XLOOKUP(Table1_1[[#This Row],[CAS_rn]],[1]analyte_order!$C:$C,[1]analyte_order!$B:$B)</f>
        <v>5:3 FTCA</v>
      </c>
      <c r="G1838" t="s">
        <v>145</v>
      </c>
      <c r="H1838" s="2">
        <f>_xlfn.XLOOKUP(Table1_1[[#This Row],[CAS_rn]],[1]analyte_order!$C:$C,[1]analyte_order!$E:$E)</f>
        <v>39</v>
      </c>
      <c r="I1838">
        <v>1.25</v>
      </c>
    </row>
    <row r="1839" spans="1:9" x14ac:dyDescent="0.3">
      <c r="A1839" s="2" t="s">
        <v>94</v>
      </c>
      <c r="B1839" s="3">
        <v>44378.5</v>
      </c>
      <c r="C1839" s="1" t="str">
        <f t="shared" si="30"/>
        <v>21183</v>
      </c>
      <c r="D1839" t="s">
        <v>31</v>
      </c>
      <c r="E1839" s="2" t="s">
        <v>39</v>
      </c>
      <c r="F1839" s="2" t="str">
        <f>_xlfn.XLOOKUP(Table1_1[[#This Row],[CAS_rn]],[1]analyte_order!$C:$C,[1]analyte_order!$B:$B)</f>
        <v>7:3 FTCA</v>
      </c>
      <c r="G1839" t="s">
        <v>146</v>
      </c>
      <c r="H1839" s="2">
        <f>_xlfn.XLOOKUP(Table1_1[[#This Row],[CAS_rn]],[1]analyte_order!$C:$C,[1]analyte_order!$E:$E)</f>
        <v>40</v>
      </c>
      <c r="I1839">
        <v>1.25</v>
      </c>
    </row>
    <row r="1840" spans="1:9" x14ac:dyDescent="0.3">
      <c r="A1840" s="2" t="s">
        <v>94</v>
      </c>
      <c r="B1840" s="3">
        <v>44378.5</v>
      </c>
      <c r="C1840" s="1" t="str">
        <f t="shared" si="30"/>
        <v>21183</v>
      </c>
      <c r="D1840" t="s">
        <v>31</v>
      </c>
      <c r="E1840" s="2" t="s">
        <v>39</v>
      </c>
      <c r="F1840" s="2" t="str">
        <f>_xlfn.XLOOKUP(Table1_1[[#This Row],[CAS_rn]],[1]analyte_order!$C:$C,[1]analyte_order!$B:$B)</f>
        <v>PFDS</v>
      </c>
      <c r="G1840" t="s">
        <v>147</v>
      </c>
      <c r="H1840" s="2">
        <f>_xlfn.XLOOKUP(Table1_1[[#This Row],[CAS_rn]],[1]analyte_order!$C:$C,[1]analyte_order!$E:$E)</f>
        <v>20</v>
      </c>
      <c r="I1840">
        <v>0.05</v>
      </c>
    </row>
    <row r="1841" spans="1:9" x14ac:dyDescent="0.3">
      <c r="A1841" s="2" t="s">
        <v>94</v>
      </c>
      <c r="B1841" s="3">
        <v>44378.5</v>
      </c>
      <c r="C1841" s="1" t="str">
        <f t="shared" si="30"/>
        <v>21183</v>
      </c>
      <c r="D1841" t="s">
        <v>31</v>
      </c>
      <c r="E1841" s="2" t="s">
        <v>39</v>
      </c>
      <c r="F1841" s="2" t="str">
        <f>_xlfn.XLOOKUP(Table1_1[[#This Row],[CAS_rn]],[1]analyte_order!$C:$C,[1]analyte_order!$B:$B)</f>
        <v>PFMPA</v>
      </c>
      <c r="G1841" t="s">
        <v>148</v>
      </c>
      <c r="H1841" s="2">
        <f>_xlfn.XLOOKUP(Table1_1[[#This Row],[CAS_rn]],[1]analyte_order!$C:$C,[1]analyte_order!$E:$E)</f>
        <v>49</v>
      </c>
      <c r="I1841">
        <v>0.1</v>
      </c>
    </row>
    <row r="1842" spans="1:9" x14ac:dyDescent="0.3">
      <c r="A1842" s="2" t="s">
        <v>95</v>
      </c>
      <c r="B1842" s="3">
        <v>44378.5</v>
      </c>
      <c r="C1842" s="1" t="str">
        <f t="shared" si="30"/>
        <v>21183</v>
      </c>
      <c r="D1842" t="s">
        <v>33</v>
      </c>
      <c r="E1842" s="2" t="s">
        <v>39</v>
      </c>
      <c r="F1842" s="2" t="str">
        <f>_xlfn.XLOOKUP(Table1_1[[#This Row],[CAS_rn]],[1]analyte_order!$C:$C,[1]analyte_order!$B:$B)</f>
        <v>PFBA</v>
      </c>
      <c r="G1842" t="s">
        <v>109</v>
      </c>
      <c r="H1842" s="2">
        <f>_xlfn.XLOOKUP(Table1_1[[#This Row],[CAS_rn]],[1]analyte_order!$C:$C,[1]analyte_order!$E:$E)</f>
        <v>1</v>
      </c>
      <c r="I1842">
        <v>0.2</v>
      </c>
    </row>
    <row r="1843" spans="1:9" x14ac:dyDescent="0.3">
      <c r="A1843" s="2" t="s">
        <v>95</v>
      </c>
      <c r="B1843" s="3">
        <v>44378.5</v>
      </c>
      <c r="C1843" s="1" t="str">
        <f t="shared" si="30"/>
        <v>21183</v>
      </c>
      <c r="D1843" t="s">
        <v>33</v>
      </c>
      <c r="E1843" s="2" t="s">
        <v>39</v>
      </c>
      <c r="F1843" s="2" t="str">
        <f>_xlfn.XLOOKUP(Table1_1[[#This Row],[CAS_rn]],[1]analyte_order!$C:$C,[1]analyte_order!$B:$B)</f>
        <v>PFPeA</v>
      </c>
      <c r="G1843" t="s">
        <v>110</v>
      </c>
      <c r="H1843" s="2">
        <f>_xlfn.XLOOKUP(Table1_1[[#This Row],[CAS_rn]],[1]analyte_order!$C:$C,[1]analyte_order!$E:$E)</f>
        <v>2</v>
      </c>
      <c r="I1843">
        <v>0.11</v>
      </c>
    </row>
    <row r="1844" spans="1:9" x14ac:dyDescent="0.3">
      <c r="A1844" s="2" t="s">
        <v>95</v>
      </c>
      <c r="B1844" s="3">
        <v>44378.5</v>
      </c>
      <c r="C1844" s="1" t="str">
        <f t="shared" si="30"/>
        <v>21183</v>
      </c>
      <c r="D1844" t="s">
        <v>33</v>
      </c>
      <c r="E1844" s="2" t="s">
        <v>39</v>
      </c>
      <c r="F1844" s="2" t="str">
        <f>_xlfn.XLOOKUP(Table1_1[[#This Row],[CAS_rn]],[1]analyte_order!$C:$C,[1]analyte_order!$B:$B)</f>
        <v>PFHxA</v>
      </c>
      <c r="G1844" t="s">
        <v>111</v>
      </c>
      <c r="H1844" s="2">
        <f>_xlfn.XLOOKUP(Table1_1[[#This Row],[CAS_rn]],[1]analyte_order!$C:$C,[1]analyte_order!$E:$E)</f>
        <v>3</v>
      </c>
      <c r="I1844">
        <v>0.16</v>
      </c>
    </row>
    <row r="1845" spans="1:9" x14ac:dyDescent="0.3">
      <c r="A1845" s="2" t="s">
        <v>95</v>
      </c>
      <c r="B1845" s="3">
        <v>44378.5</v>
      </c>
      <c r="C1845" s="1" t="str">
        <f t="shared" si="30"/>
        <v>21183</v>
      </c>
      <c r="D1845" t="s">
        <v>33</v>
      </c>
      <c r="E1845" s="2" t="s">
        <v>39</v>
      </c>
      <c r="F1845" s="2" t="str">
        <f>_xlfn.XLOOKUP(Table1_1[[#This Row],[CAS_rn]],[1]analyte_order!$C:$C,[1]analyte_order!$B:$B)</f>
        <v>PFHpA</v>
      </c>
      <c r="G1845" t="s">
        <v>112</v>
      </c>
      <c r="H1845" s="2">
        <f>_xlfn.XLOOKUP(Table1_1[[#This Row],[CAS_rn]],[1]analyte_order!$C:$C,[1]analyte_order!$E:$E)</f>
        <v>4</v>
      </c>
      <c r="I1845">
        <v>0.09</v>
      </c>
    </row>
    <row r="1846" spans="1:9" x14ac:dyDescent="0.3">
      <c r="A1846" s="2" t="s">
        <v>95</v>
      </c>
      <c r="B1846" s="3">
        <v>44378.5</v>
      </c>
      <c r="C1846" s="1" t="str">
        <f t="shared" si="30"/>
        <v>21183</v>
      </c>
      <c r="D1846" t="s">
        <v>33</v>
      </c>
      <c r="E1846" s="2" t="s">
        <v>39</v>
      </c>
      <c r="F1846" s="2" t="str">
        <f>_xlfn.XLOOKUP(Table1_1[[#This Row],[CAS_rn]],[1]analyte_order!$C:$C,[1]analyte_order!$B:$B)</f>
        <v>PFOA</v>
      </c>
      <c r="G1846" t="s">
        <v>113</v>
      </c>
      <c r="H1846" s="2">
        <f>_xlfn.XLOOKUP(Table1_1[[#This Row],[CAS_rn]],[1]analyte_order!$C:$C,[1]analyte_order!$E:$E)</f>
        <v>5</v>
      </c>
      <c r="I1846">
        <v>0.3</v>
      </c>
    </row>
    <row r="1847" spans="1:9" x14ac:dyDescent="0.3">
      <c r="A1847" s="2" t="s">
        <v>95</v>
      </c>
      <c r="B1847" s="3">
        <v>44378.5</v>
      </c>
      <c r="C1847" s="1" t="str">
        <f t="shared" si="30"/>
        <v>21183</v>
      </c>
      <c r="D1847" t="s">
        <v>33</v>
      </c>
      <c r="E1847" s="2" t="s">
        <v>39</v>
      </c>
      <c r="F1847" s="2" t="str">
        <f>_xlfn.XLOOKUP(Table1_1[[#This Row],[CAS_rn]],[1]analyte_order!$C:$C,[1]analyte_order!$B:$B)</f>
        <v>PFNA</v>
      </c>
      <c r="G1847" t="s">
        <v>114</v>
      </c>
      <c r="H1847" s="2">
        <f>_xlfn.XLOOKUP(Table1_1[[#This Row],[CAS_rn]],[1]analyte_order!$C:$C,[1]analyte_order!$E:$E)</f>
        <v>6</v>
      </c>
      <c r="I1847">
        <v>0.05</v>
      </c>
    </row>
    <row r="1848" spans="1:9" x14ac:dyDescent="0.3">
      <c r="A1848" s="2" t="s">
        <v>95</v>
      </c>
      <c r="B1848" s="3">
        <v>44378.5</v>
      </c>
      <c r="C1848" s="1" t="str">
        <f t="shared" si="30"/>
        <v>21183</v>
      </c>
      <c r="D1848" t="s">
        <v>33</v>
      </c>
      <c r="E1848" s="2" t="s">
        <v>39</v>
      </c>
      <c r="F1848" s="2" t="str">
        <f>_xlfn.XLOOKUP(Table1_1[[#This Row],[CAS_rn]],[1]analyte_order!$C:$C,[1]analyte_order!$B:$B)</f>
        <v>PFDA</v>
      </c>
      <c r="G1848" t="s">
        <v>115</v>
      </c>
      <c r="H1848" s="2">
        <f>_xlfn.XLOOKUP(Table1_1[[#This Row],[CAS_rn]],[1]analyte_order!$C:$C,[1]analyte_order!$E:$E)</f>
        <v>7</v>
      </c>
      <c r="I1848">
        <v>0.05</v>
      </c>
    </row>
    <row r="1849" spans="1:9" x14ac:dyDescent="0.3">
      <c r="A1849" s="2" t="s">
        <v>95</v>
      </c>
      <c r="B1849" s="3">
        <v>44378.5</v>
      </c>
      <c r="C1849" s="1" t="str">
        <f t="shared" si="30"/>
        <v>21183</v>
      </c>
      <c r="D1849" t="s">
        <v>33</v>
      </c>
      <c r="E1849" s="2" t="s">
        <v>39</v>
      </c>
      <c r="F1849" s="2" t="str">
        <f>_xlfn.XLOOKUP(Table1_1[[#This Row],[CAS_rn]],[1]analyte_order!$C:$C,[1]analyte_order!$B:$B)</f>
        <v>PFUnA</v>
      </c>
      <c r="G1849" t="s">
        <v>116</v>
      </c>
      <c r="H1849" s="2">
        <f>_xlfn.XLOOKUP(Table1_1[[#This Row],[CAS_rn]],[1]analyte_order!$C:$C,[1]analyte_order!$E:$E)</f>
        <v>8</v>
      </c>
      <c r="I1849">
        <v>0.05</v>
      </c>
    </row>
    <row r="1850" spans="1:9" x14ac:dyDescent="0.3">
      <c r="A1850" s="2" t="s">
        <v>95</v>
      </c>
      <c r="B1850" s="3">
        <v>44378.5</v>
      </c>
      <c r="C1850" s="1" t="str">
        <f t="shared" si="30"/>
        <v>21183</v>
      </c>
      <c r="D1850" t="s">
        <v>33</v>
      </c>
      <c r="E1850" s="2" t="s">
        <v>39</v>
      </c>
      <c r="F1850" s="2" t="str">
        <f>_xlfn.XLOOKUP(Table1_1[[#This Row],[CAS_rn]],[1]analyte_order!$C:$C,[1]analyte_order!$B:$B)</f>
        <v>PFDoA</v>
      </c>
      <c r="G1850" t="s">
        <v>117</v>
      </c>
      <c r="H1850" s="2">
        <f>_xlfn.XLOOKUP(Table1_1[[#This Row],[CAS_rn]],[1]analyte_order!$C:$C,[1]analyte_order!$E:$E)</f>
        <v>9</v>
      </c>
      <c r="I1850">
        <v>0.05</v>
      </c>
    </row>
    <row r="1851" spans="1:9" x14ac:dyDescent="0.3">
      <c r="A1851" s="2" t="s">
        <v>95</v>
      </c>
      <c r="B1851" s="3">
        <v>44378.5</v>
      </c>
      <c r="C1851" s="1" t="str">
        <f t="shared" si="30"/>
        <v>21183</v>
      </c>
      <c r="D1851" t="s">
        <v>33</v>
      </c>
      <c r="E1851" s="2" t="s">
        <v>39</v>
      </c>
      <c r="F1851" s="2" t="str">
        <f>_xlfn.XLOOKUP(Table1_1[[#This Row],[CAS_rn]],[1]analyte_order!$C:$C,[1]analyte_order!$B:$B)</f>
        <v>PFTrDA</v>
      </c>
      <c r="G1851" t="s">
        <v>118</v>
      </c>
      <c r="H1851" s="2">
        <f>_xlfn.XLOOKUP(Table1_1[[#This Row],[CAS_rn]],[1]analyte_order!$C:$C,[1]analyte_order!$E:$E)</f>
        <v>10</v>
      </c>
      <c r="I1851">
        <v>0.05</v>
      </c>
    </row>
    <row r="1852" spans="1:9" x14ac:dyDescent="0.3">
      <c r="A1852" s="2" t="s">
        <v>95</v>
      </c>
      <c r="B1852" s="3">
        <v>44378.5</v>
      </c>
      <c r="C1852" s="1" t="str">
        <f t="shared" si="30"/>
        <v>21183</v>
      </c>
      <c r="D1852" t="s">
        <v>33</v>
      </c>
      <c r="E1852" s="2" t="s">
        <v>39</v>
      </c>
      <c r="F1852" s="2" t="str">
        <f>_xlfn.XLOOKUP(Table1_1[[#This Row],[CAS_rn]],[1]analyte_order!$C:$C,[1]analyte_order!$B:$B)</f>
        <v>PFTeDA</v>
      </c>
      <c r="G1852" t="s">
        <v>119</v>
      </c>
      <c r="H1852" s="2">
        <f>_xlfn.XLOOKUP(Table1_1[[#This Row],[CAS_rn]],[1]analyte_order!$C:$C,[1]analyte_order!$E:$E)</f>
        <v>11</v>
      </c>
      <c r="I1852">
        <v>0.05</v>
      </c>
    </row>
    <row r="1853" spans="1:9" x14ac:dyDescent="0.3">
      <c r="A1853" s="2" t="s">
        <v>95</v>
      </c>
      <c r="B1853" s="3">
        <v>44378.5</v>
      </c>
      <c r="C1853" s="1" t="str">
        <f t="shared" si="30"/>
        <v>21183</v>
      </c>
      <c r="D1853" t="s">
        <v>33</v>
      </c>
      <c r="E1853" s="2" t="s">
        <v>39</v>
      </c>
      <c r="F1853" s="2" t="str">
        <f>_xlfn.XLOOKUP(Table1_1[[#This Row],[CAS_rn]],[1]analyte_order!$C:$C,[1]analyte_order!$B:$B)</f>
        <v>PFBS</v>
      </c>
      <c r="G1853" t="s">
        <v>120</v>
      </c>
      <c r="H1853" s="2">
        <f>_xlfn.XLOOKUP(Table1_1[[#This Row],[CAS_rn]],[1]analyte_order!$C:$C,[1]analyte_order!$E:$E)</f>
        <v>14</v>
      </c>
      <c r="I1853">
        <v>0.05</v>
      </c>
    </row>
    <row r="1854" spans="1:9" x14ac:dyDescent="0.3">
      <c r="A1854" s="2" t="s">
        <v>95</v>
      </c>
      <c r="B1854" s="3">
        <v>44378.5</v>
      </c>
      <c r="C1854" s="1" t="str">
        <f t="shared" si="30"/>
        <v>21183</v>
      </c>
      <c r="D1854" t="s">
        <v>33</v>
      </c>
      <c r="E1854" s="2" t="s">
        <v>39</v>
      </c>
      <c r="F1854" s="2" t="str">
        <f>_xlfn.XLOOKUP(Table1_1[[#This Row],[CAS_rn]],[1]analyte_order!$C:$C,[1]analyte_order!$B:$B)</f>
        <v>PFPeS</v>
      </c>
      <c r="G1854" t="s">
        <v>121</v>
      </c>
      <c r="H1854" s="2">
        <f>_xlfn.XLOOKUP(Table1_1[[#This Row],[CAS_rn]],[1]analyte_order!$C:$C,[1]analyte_order!$E:$E)</f>
        <v>15</v>
      </c>
      <c r="I1854">
        <v>0.05</v>
      </c>
    </row>
    <row r="1855" spans="1:9" x14ac:dyDescent="0.3">
      <c r="A1855" s="2" t="s">
        <v>95</v>
      </c>
      <c r="B1855" s="3">
        <v>44378.5</v>
      </c>
      <c r="C1855" s="1" t="str">
        <f t="shared" si="30"/>
        <v>21183</v>
      </c>
      <c r="D1855" t="s">
        <v>33</v>
      </c>
      <c r="E1855" s="2" t="s">
        <v>39</v>
      </c>
      <c r="F1855" s="2" t="str">
        <f>_xlfn.XLOOKUP(Table1_1[[#This Row],[CAS_rn]],[1]analyte_order!$C:$C,[1]analyte_order!$B:$B)</f>
        <v>PFHxS</v>
      </c>
      <c r="G1855" t="s">
        <v>122</v>
      </c>
      <c r="H1855" s="2">
        <f>_xlfn.XLOOKUP(Table1_1[[#This Row],[CAS_rn]],[1]analyte_order!$C:$C,[1]analyte_order!$E:$E)</f>
        <v>16</v>
      </c>
      <c r="I1855">
        <v>0.45</v>
      </c>
    </row>
    <row r="1856" spans="1:9" x14ac:dyDescent="0.3">
      <c r="A1856" s="2" t="s">
        <v>95</v>
      </c>
      <c r="B1856" s="3">
        <v>44378.5</v>
      </c>
      <c r="C1856" s="1" t="str">
        <f t="shared" si="30"/>
        <v>21183</v>
      </c>
      <c r="D1856" t="s">
        <v>33</v>
      </c>
      <c r="E1856" s="2" t="s">
        <v>39</v>
      </c>
      <c r="F1856" s="2" t="str">
        <f>_xlfn.XLOOKUP(Table1_1[[#This Row],[CAS_rn]],[1]analyte_order!$C:$C,[1]analyte_order!$B:$B)</f>
        <v>PFHpS</v>
      </c>
      <c r="G1856" t="s">
        <v>123</v>
      </c>
      <c r="H1856" s="2">
        <f>_xlfn.XLOOKUP(Table1_1[[#This Row],[CAS_rn]],[1]analyte_order!$C:$C,[1]analyte_order!$E:$E)</f>
        <v>17</v>
      </c>
      <c r="I1856">
        <v>0.05</v>
      </c>
    </row>
    <row r="1857" spans="1:9" x14ac:dyDescent="0.3">
      <c r="A1857" s="2" t="s">
        <v>95</v>
      </c>
      <c r="B1857" s="3">
        <v>44378.5</v>
      </c>
      <c r="C1857" s="1" t="str">
        <f t="shared" si="30"/>
        <v>21183</v>
      </c>
      <c r="D1857" t="s">
        <v>33</v>
      </c>
      <c r="E1857" s="2" t="s">
        <v>39</v>
      </c>
      <c r="F1857" s="2" t="str">
        <f>_xlfn.XLOOKUP(Table1_1[[#This Row],[CAS_rn]],[1]analyte_order!$C:$C,[1]analyte_order!$B:$B)</f>
        <v>PFOS</v>
      </c>
      <c r="G1857" t="s">
        <v>124</v>
      </c>
      <c r="H1857" s="2">
        <f>_xlfn.XLOOKUP(Table1_1[[#This Row],[CAS_rn]],[1]analyte_order!$C:$C,[1]analyte_order!$E:$E)</f>
        <v>18</v>
      </c>
      <c r="I1857">
        <v>2</v>
      </c>
    </row>
    <row r="1858" spans="1:9" x14ac:dyDescent="0.3">
      <c r="A1858" s="2" t="s">
        <v>95</v>
      </c>
      <c r="B1858" s="3">
        <v>44378.5</v>
      </c>
      <c r="C1858" s="1" t="str">
        <f t="shared" si="30"/>
        <v>21183</v>
      </c>
      <c r="D1858" t="s">
        <v>33</v>
      </c>
      <c r="E1858" s="2" t="s">
        <v>39</v>
      </c>
      <c r="F1858" s="2" t="str">
        <f>_xlfn.XLOOKUP(Table1_1[[#This Row],[CAS_rn]],[1]analyte_order!$C:$C,[1]analyte_order!$B:$B)</f>
        <v>PFNS</v>
      </c>
      <c r="G1858" t="s">
        <v>125</v>
      </c>
      <c r="H1858" s="2">
        <f>_xlfn.XLOOKUP(Table1_1[[#This Row],[CAS_rn]],[1]analyte_order!$C:$C,[1]analyte_order!$E:$E)</f>
        <v>19</v>
      </c>
      <c r="I1858">
        <v>0.05</v>
      </c>
    </row>
    <row r="1859" spans="1:9" x14ac:dyDescent="0.3">
      <c r="A1859" s="2" t="s">
        <v>95</v>
      </c>
      <c r="B1859" s="3">
        <v>44378.5</v>
      </c>
      <c r="C1859" s="1" t="str">
        <f t="shared" si="30"/>
        <v>21183</v>
      </c>
      <c r="D1859" t="s">
        <v>33</v>
      </c>
      <c r="E1859" s="2" t="s">
        <v>39</v>
      </c>
      <c r="F1859" s="2" t="str">
        <f>_xlfn.XLOOKUP(Table1_1[[#This Row],[CAS_rn]],[1]analyte_order!$C:$C,[1]analyte_order!$B:$B)</f>
        <v>PFDoS</v>
      </c>
      <c r="G1859" t="s">
        <v>126</v>
      </c>
      <c r="H1859" s="2">
        <f>_xlfn.XLOOKUP(Table1_1[[#This Row],[CAS_rn]],[1]analyte_order!$C:$C,[1]analyte_order!$E:$E)</f>
        <v>21</v>
      </c>
      <c r="I1859">
        <v>0.05</v>
      </c>
    </row>
    <row r="1860" spans="1:9" x14ac:dyDescent="0.3">
      <c r="A1860" s="2" t="s">
        <v>95</v>
      </c>
      <c r="B1860" s="3">
        <v>44378.5</v>
      </c>
      <c r="C1860" s="1" t="str">
        <f t="shared" si="30"/>
        <v>21183</v>
      </c>
      <c r="D1860" t="s">
        <v>33</v>
      </c>
      <c r="E1860" s="2" t="s">
        <v>39</v>
      </c>
      <c r="F1860" s="2" t="str">
        <f>_xlfn.XLOOKUP(Table1_1[[#This Row],[CAS_rn]],[1]analyte_order!$C:$C,[1]analyte_order!$B:$B)</f>
        <v>4:2 FTS</v>
      </c>
      <c r="G1860" t="s">
        <v>127</v>
      </c>
      <c r="H1860" s="2">
        <f>_xlfn.XLOOKUP(Table1_1[[#This Row],[CAS_rn]],[1]analyte_order!$C:$C,[1]analyte_order!$E:$E)</f>
        <v>22</v>
      </c>
      <c r="I1860">
        <v>0.2</v>
      </c>
    </row>
    <row r="1861" spans="1:9" x14ac:dyDescent="0.3">
      <c r="A1861" s="2" t="s">
        <v>95</v>
      </c>
      <c r="B1861" s="3">
        <v>44378.5</v>
      </c>
      <c r="C1861" s="1" t="str">
        <f t="shared" si="30"/>
        <v>21183</v>
      </c>
      <c r="D1861" t="s">
        <v>33</v>
      </c>
      <c r="E1861" s="2" t="s">
        <v>39</v>
      </c>
      <c r="F1861" s="2" t="str">
        <f>_xlfn.XLOOKUP(Table1_1[[#This Row],[CAS_rn]],[1]analyte_order!$C:$C,[1]analyte_order!$B:$B)</f>
        <v>6:2 FTS</v>
      </c>
      <c r="G1861" t="s">
        <v>128</v>
      </c>
      <c r="H1861" s="2">
        <f>_xlfn.XLOOKUP(Table1_1[[#This Row],[CAS_rn]],[1]analyte_order!$C:$C,[1]analyte_order!$E:$E)</f>
        <v>23</v>
      </c>
      <c r="I1861">
        <v>0.4</v>
      </c>
    </row>
    <row r="1862" spans="1:9" x14ac:dyDescent="0.3">
      <c r="A1862" s="2" t="s">
        <v>95</v>
      </c>
      <c r="B1862" s="3">
        <v>44378.5</v>
      </c>
      <c r="C1862" s="1" t="str">
        <f t="shared" si="30"/>
        <v>21183</v>
      </c>
      <c r="D1862" t="s">
        <v>33</v>
      </c>
      <c r="E1862" s="2" t="s">
        <v>39</v>
      </c>
      <c r="F1862" s="2" t="str">
        <f>_xlfn.XLOOKUP(Table1_1[[#This Row],[CAS_rn]],[1]analyte_order!$C:$C,[1]analyte_order!$B:$B)</f>
        <v>8:2 FTS</v>
      </c>
      <c r="G1862" t="s">
        <v>129</v>
      </c>
      <c r="H1862" s="2">
        <f>_xlfn.XLOOKUP(Table1_1[[#This Row],[CAS_rn]],[1]analyte_order!$C:$C,[1]analyte_order!$E:$E)</f>
        <v>24</v>
      </c>
      <c r="I1862">
        <v>0.4</v>
      </c>
    </row>
    <row r="1863" spans="1:9" x14ac:dyDescent="0.3">
      <c r="A1863" s="2" t="s">
        <v>95</v>
      </c>
      <c r="B1863" s="3">
        <v>44378.5</v>
      </c>
      <c r="C1863" s="1" t="str">
        <f t="shared" si="30"/>
        <v>21183</v>
      </c>
      <c r="D1863" t="s">
        <v>33</v>
      </c>
      <c r="E1863" s="2" t="s">
        <v>39</v>
      </c>
      <c r="F1863" s="2" t="str">
        <f>_xlfn.XLOOKUP(Table1_1[[#This Row],[CAS_rn]],[1]analyte_order!$C:$C,[1]analyte_order!$B:$B)</f>
        <v>FOSA</v>
      </c>
      <c r="G1863" t="s">
        <v>130</v>
      </c>
      <c r="H1863" s="2">
        <f>_xlfn.XLOOKUP(Table1_1[[#This Row],[CAS_rn]],[1]analyte_order!$C:$C,[1]analyte_order!$E:$E)</f>
        <v>28</v>
      </c>
      <c r="I1863">
        <v>0.09</v>
      </c>
    </row>
    <row r="1864" spans="1:9" x14ac:dyDescent="0.3">
      <c r="A1864" s="2" t="s">
        <v>95</v>
      </c>
      <c r="B1864" s="3">
        <v>44378.5</v>
      </c>
      <c r="C1864" s="1" t="str">
        <f t="shared" si="30"/>
        <v>21183</v>
      </c>
      <c r="D1864" t="s">
        <v>33</v>
      </c>
      <c r="E1864" s="2" t="s">
        <v>39</v>
      </c>
      <c r="F1864" s="2" t="str">
        <f>_xlfn.XLOOKUP(Table1_1[[#This Row],[CAS_rn]],[1]analyte_order!$C:$C,[1]analyte_order!$B:$B)</f>
        <v>N-MeFOSA</v>
      </c>
      <c r="G1864" t="s">
        <v>131</v>
      </c>
      <c r="H1864" s="2">
        <f>_xlfn.XLOOKUP(Table1_1[[#This Row],[CAS_rn]],[1]analyte_order!$C:$C,[1]analyte_order!$E:$E)</f>
        <v>30</v>
      </c>
      <c r="I1864">
        <v>0.05</v>
      </c>
    </row>
    <row r="1865" spans="1:9" x14ac:dyDescent="0.3">
      <c r="A1865" s="2" t="s">
        <v>95</v>
      </c>
      <c r="B1865" s="3">
        <v>44378.5</v>
      </c>
      <c r="C1865" s="1" t="str">
        <f t="shared" si="30"/>
        <v>21183</v>
      </c>
      <c r="D1865" t="s">
        <v>33</v>
      </c>
      <c r="E1865" s="2" t="s">
        <v>39</v>
      </c>
      <c r="F1865" s="2" t="str">
        <f>_xlfn.XLOOKUP(Table1_1[[#This Row],[CAS_rn]],[1]analyte_order!$C:$C,[1]analyte_order!$B:$B)</f>
        <v>N-MeFOSAA</v>
      </c>
      <c r="G1865" t="s">
        <v>132</v>
      </c>
      <c r="H1865" s="2">
        <f>_xlfn.XLOOKUP(Table1_1[[#This Row],[CAS_rn]],[1]analyte_order!$C:$C,[1]analyte_order!$E:$E)</f>
        <v>26</v>
      </c>
      <c r="I1865">
        <v>0.05</v>
      </c>
    </row>
    <row r="1866" spans="1:9" x14ac:dyDescent="0.3">
      <c r="A1866" s="2" t="s">
        <v>95</v>
      </c>
      <c r="B1866" s="3">
        <v>44378.5</v>
      </c>
      <c r="C1866" s="1" t="str">
        <f t="shared" si="30"/>
        <v>21183</v>
      </c>
      <c r="D1866" t="s">
        <v>33</v>
      </c>
      <c r="E1866" s="2" t="s">
        <v>39</v>
      </c>
      <c r="F1866" s="2" t="str">
        <f>_xlfn.XLOOKUP(Table1_1[[#This Row],[CAS_rn]],[1]analyte_order!$C:$C,[1]analyte_order!$B:$B)</f>
        <v>N-EtFOSA</v>
      </c>
      <c r="G1866" t="s">
        <v>133</v>
      </c>
      <c r="H1866" s="2">
        <f>_xlfn.XLOOKUP(Table1_1[[#This Row],[CAS_rn]],[1]analyte_order!$C:$C,[1]analyte_order!$E:$E)</f>
        <v>31</v>
      </c>
      <c r="I1866">
        <v>0.05</v>
      </c>
    </row>
    <row r="1867" spans="1:9" x14ac:dyDescent="0.3">
      <c r="A1867" s="2" t="s">
        <v>95</v>
      </c>
      <c r="B1867" s="3">
        <v>44378.5</v>
      </c>
      <c r="C1867" s="1" t="str">
        <f t="shared" ref="C1867:C1930" si="31">TEXT(B1867,"yy")&amp;TEXT((B1867-DATEVALUE("1/1/"&amp;TEXT(B1867,"yy"))+1),"000")</f>
        <v>21183</v>
      </c>
      <c r="D1867" t="s">
        <v>33</v>
      </c>
      <c r="E1867" s="2" t="s">
        <v>39</v>
      </c>
      <c r="F1867" s="2" t="str">
        <f>_xlfn.XLOOKUP(Table1_1[[#This Row],[CAS_rn]],[1]analyte_order!$C:$C,[1]analyte_order!$B:$B)</f>
        <v>N-EtFOSAA</v>
      </c>
      <c r="G1867" t="s">
        <v>134</v>
      </c>
      <c r="H1867" s="2">
        <f>_xlfn.XLOOKUP(Table1_1[[#This Row],[CAS_rn]],[1]analyte_order!$C:$C,[1]analyte_order!$E:$E)</f>
        <v>27</v>
      </c>
      <c r="I1867">
        <v>0.05</v>
      </c>
    </row>
    <row r="1868" spans="1:9" x14ac:dyDescent="0.3">
      <c r="A1868" s="2" t="s">
        <v>95</v>
      </c>
      <c r="B1868" s="3">
        <v>44378.5</v>
      </c>
      <c r="C1868" s="1" t="str">
        <f t="shared" si="31"/>
        <v>21183</v>
      </c>
      <c r="D1868" t="s">
        <v>33</v>
      </c>
      <c r="E1868" s="2" t="s">
        <v>39</v>
      </c>
      <c r="F1868" s="2" t="str">
        <f>_xlfn.XLOOKUP(Table1_1[[#This Row],[CAS_rn]],[1]analyte_order!$C:$C,[1]analyte_order!$B:$B)</f>
        <v>N-MeFOSE</v>
      </c>
      <c r="G1868" t="s">
        <v>135</v>
      </c>
      <c r="H1868" s="2">
        <f>_xlfn.XLOOKUP(Table1_1[[#This Row],[CAS_rn]],[1]analyte_order!$C:$C,[1]analyte_order!$E:$E)</f>
        <v>32</v>
      </c>
      <c r="I1868">
        <v>0.5</v>
      </c>
    </row>
    <row r="1869" spans="1:9" x14ac:dyDescent="0.3">
      <c r="A1869" s="2" t="s">
        <v>95</v>
      </c>
      <c r="B1869" s="3">
        <v>44378.5</v>
      </c>
      <c r="C1869" s="1" t="str">
        <f t="shared" si="31"/>
        <v>21183</v>
      </c>
      <c r="D1869" t="s">
        <v>33</v>
      </c>
      <c r="E1869" s="2" t="s">
        <v>39</v>
      </c>
      <c r="F1869" s="2" t="str">
        <f>_xlfn.XLOOKUP(Table1_1[[#This Row],[CAS_rn]],[1]analyte_order!$C:$C,[1]analyte_order!$B:$B)</f>
        <v>N-EtFOSE</v>
      </c>
      <c r="G1869" t="s">
        <v>136</v>
      </c>
      <c r="H1869" s="2">
        <f>_xlfn.XLOOKUP(Table1_1[[#This Row],[CAS_rn]],[1]analyte_order!$C:$C,[1]analyte_order!$E:$E)</f>
        <v>33</v>
      </c>
      <c r="I1869">
        <v>0.5</v>
      </c>
    </row>
    <row r="1870" spans="1:9" x14ac:dyDescent="0.3">
      <c r="A1870" s="2" t="s">
        <v>95</v>
      </c>
      <c r="B1870" s="3">
        <v>44378.5</v>
      </c>
      <c r="C1870" s="1" t="str">
        <f t="shared" si="31"/>
        <v>21183</v>
      </c>
      <c r="D1870" t="s">
        <v>33</v>
      </c>
      <c r="E1870" s="2" t="s">
        <v>39</v>
      </c>
      <c r="F1870" s="2" t="str">
        <f>_xlfn.XLOOKUP(Table1_1[[#This Row],[CAS_rn]],[1]analyte_order!$C:$C,[1]analyte_order!$B:$B)</f>
        <v>HFPO-DA</v>
      </c>
      <c r="G1870" t="s">
        <v>137</v>
      </c>
      <c r="H1870" s="2">
        <f>_xlfn.XLOOKUP(Table1_1[[#This Row],[CAS_rn]],[1]analyte_order!$C:$C,[1]analyte_order!$E:$E)</f>
        <v>34</v>
      </c>
      <c r="I1870">
        <v>0.3</v>
      </c>
    </row>
    <row r="1871" spans="1:9" x14ac:dyDescent="0.3">
      <c r="A1871" s="2" t="s">
        <v>95</v>
      </c>
      <c r="B1871" s="3">
        <v>44378.5</v>
      </c>
      <c r="C1871" s="1" t="str">
        <f t="shared" si="31"/>
        <v>21183</v>
      </c>
      <c r="D1871" t="s">
        <v>33</v>
      </c>
      <c r="E1871" s="2" t="s">
        <v>39</v>
      </c>
      <c r="F1871" s="2" t="str">
        <f>_xlfn.XLOOKUP(Table1_1[[#This Row],[CAS_rn]],[1]analyte_order!$C:$C,[1]analyte_order!$B:$B)</f>
        <v>ADONA</v>
      </c>
      <c r="G1871" t="s">
        <v>138</v>
      </c>
      <c r="H1871" s="2">
        <f>_xlfn.XLOOKUP(Table1_1[[#This Row],[CAS_rn]],[1]analyte_order!$C:$C,[1]analyte_order!$E:$E)</f>
        <v>35</v>
      </c>
      <c r="I1871">
        <v>0.2</v>
      </c>
    </row>
    <row r="1872" spans="1:9" x14ac:dyDescent="0.3">
      <c r="A1872" s="2" t="s">
        <v>95</v>
      </c>
      <c r="B1872" s="3">
        <v>44378.5</v>
      </c>
      <c r="C1872" s="1" t="str">
        <f t="shared" si="31"/>
        <v>21183</v>
      </c>
      <c r="D1872" t="s">
        <v>33</v>
      </c>
      <c r="E1872" s="2" t="s">
        <v>39</v>
      </c>
      <c r="F1872" s="2" t="str">
        <f>_xlfn.XLOOKUP(Table1_1[[#This Row],[CAS_rn]],[1]analyte_order!$C:$C,[1]analyte_order!$B:$B)</f>
        <v>PFMBA</v>
      </c>
      <c r="G1872" t="s">
        <v>139</v>
      </c>
      <c r="H1872" s="2">
        <f>_xlfn.XLOOKUP(Table1_1[[#This Row],[CAS_rn]],[1]analyte_order!$C:$C,[1]analyte_order!$E:$E)</f>
        <v>48</v>
      </c>
      <c r="I1872">
        <v>0.1</v>
      </c>
    </row>
    <row r="1873" spans="1:9" x14ac:dyDescent="0.3">
      <c r="A1873" s="2" t="s">
        <v>95</v>
      </c>
      <c r="B1873" s="3">
        <v>44378.5</v>
      </c>
      <c r="C1873" s="1" t="str">
        <f t="shared" si="31"/>
        <v>21183</v>
      </c>
      <c r="D1873" t="s">
        <v>33</v>
      </c>
      <c r="E1873" s="2" t="s">
        <v>39</v>
      </c>
      <c r="F1873" s="2" t="str">
        <f>_xlfn.XLOOKUP(Table1_1[[#This Row],[CAS_rn]],[1]analyte_order!$C:$C,[1]analyte_order!$B:$B)</f>
        <v>NFDHA</v>
      </c>
      <c r="G1873" t="s">
        <v>140</v>
      </c>
      <c r="H1873" s="2">
        <f>_xlfn.XLOOKUP(Table1_1[[#This Row],[CAS_rn]],[1]analyte_order!$C:$C,[1]analyte_order!$E:$E)</f>
        <v>50</v>
      </c>
      <c r="I1873">
        <v>0.1</v>
      </c>
    </row>
    <row r="1874" spans="1:9" x14ac:dyDescent="0.3">
      <c r="A1874" s="2" t="s">
        <v>95</v>
      </c>
      <c r="B1874" s="3">
        <v>44378.5</v>
      </c>
      <c r="C1874" s="1" t="str">
        <f t="shared" si="31"/>
        <v>21183</v>
      </c>
      <c r="D1874" t="s">
        <v>33</v>
      </c>
      <c r="E1874" s="2" t="s">
        <v>39</v>
      </c>
      <c r="F1874" s="2" t="str">
        <f>_xlfn.XLOOKUP(Table1_1[[#This Row],[CAS_rn]],[1]analyte_order!$C:$C,[1]analyte_order!$B:$B)</f>
        <v>9Cl-PF3ONS</v>
      </c>
      <c r="G1874" t="s">
        <v>141</v>
      </c>
      <c r="H1874" s="2">
        <f>_xlfn.XLOOKUP(Table1_1[[#This Row],[CAS_rn]],[1]analyte_order!$C:$C,[1]analyte_order!$E:$E)</f>
        <v>36</v>
      </c>
      <c r="I1874">
        <v>0.2</v>
      </c>
    </row>
    <row r="1875" spans="1:9" x14ac:dyDescent="0.3">
      <c r="A1875" s="2" t="s">
        <v>95</v>
      </c>
      <c r="B1875" s="3">
        <v>44378.5</v>
      </c>
      <c r="C1875" s="1" t="str">
        <f t="shared" si="31"/>
        <v>21183</v>
      </c>
      <c r="D1875" t="s">
        <v>33</v>
      </c>
      <c r="E1875" s="2" t="s">
        <v>39</v>
      </c>
      <c r="F1875" s="2" t="str">
        <f>_xlfn.XLOOKUP(Table1_1[[#This Row],[CAS_rn]],[1]analyte_order!$C:$C,[1]analyte_order!$B:$B)</f>
        <v>11Cl-PF3OUdS</v>
      </c>
      <c r="G1875" t="s">
        <v>142</v>
      </c>
      <c r="H1875" s="2">
        <f>_xlfn.XLOOKUP(Table1_1[[#This Row],[CAS_rn]],[1]analyte_order!$C:$C,[1]analyte_order!$E:$E)</f>
        <v>37</v>
      </c>
      <c r="I1875">
        <v>0.2</v>
      </c>
    </row>
    <row r="1876" spans="1:9" x14ac:dyDescent="0.3">
      <c r="A1876" s="2" t="s">
        <v>95</v>
      </c>
      <c r="B1876" s="3">
        <v>44378.5</v>
      </c>
      <c r="C1876" s="1" t="str">
        <f t="shared" si="31"/>
        <v>21183</v>
      </c>
      <c r="D1876" t="s">
        <v>33</v>
      </c>
      <c r="E1876" s="2" t="s">
        <v>39</v>
      </c>
      <c r="F1876" s="2" t="str">
        <f>_xlfn.XLOOKUP(Table1_1[[#This Row],[CAS_rn]],[1]analyte_order!$C:$C,[1]analyte_order!$B:$B)</f>
        <v>PFEESA</v>
      </c>
      <c r="G1876" t="s">
        <v>143</v>
      </c>
      <c r="H1876" s="2">
        <f>_xlfn.XLOOKUP(Table1_1[[#This Row],[CAS_rn]],[1]analyte_order!$C:$C,[1]analyte_order!$E:$E)</f>
        <v>47</v>
      </c>
      <c r="I1876">
        <v>0.1</v>
      </c>
    </row>
    <row r="1877" spans="1:9" x14ac:dyDescent="0.3">
      <c r="A1877" s="2" t="s">
        <v>95</v>
      </c>
      <c r="B1877" s="3">
        <v>44378.5</v>
      </c>
      <c r="C1877" s="1" t="str">
        <f t="shared" si="31"/>
        <v>21183</v>
      </c>
      <c r="D1877" t="s">
        <v>33</v>
      </c>
      <c r="E1877" s="2" t="s">
        <v>39</v>
      </c>
      <c r="F1877" s="2" t="str">
        <f>_xlfn.XLOOKUP(Table1_1[[#This Row],[CAS_rn]],[1]analyte_order!$C:$C,[1]analyte_order!$B:$B)</f>
        <v>3:3 FTCA</v>
      </c>
      <c r="G1877" t="s">
        <v>144</v>
      </c>
      <c r="H1877" s="2">
        <f>_xlfn.XLOOKUP(Table1_1[[#This Row],[CAS_rn]],[1]analyte_order!$C:$C,[1]analyte_order!$E:$E)</f>
        <v>38</v>
      </c>
      <c r="I1877">
        <v>0.25</v>
      </c>
    </row>
    <row r="1878" spans="1:9" x14ac:dyDescent="0.3">
      <c r="A1878" s="2" t="s">
        <v>95</v>
      </c>
      <c r="B1878" s="3">
        <v>44378.5</v>
      </c>
      <c r="C1878" s="1" t="str">
        <f t="shared" si="31"/>
        <v>21183</v>
      </c>
      <c r="D1878" t="s">
        <v>33</v>
      </c>
      <c r="E1878" s="2" t="s">
        <v>39</v>
      </c>
      <c r="F1878" s="2" t="str">
        <f>_xlfn.XLOOKUP(Table1_1[[#This Row],[CAS_rn]],[1]analyte_order!$C:$C,[1]analyte_order!$B:$B)</f>
        <v>5:3 FTCA</v>
      </c>
      <c r="G1878" t="s">
        <v>145</v>
      </c>
      <c r="H1878" s="2">
        <f>_xlfn.XLOOKUP(Table1_1[[#This Row],[CAS_rn]],[1]analyte_order!$C:$C,[1]analyte_order!$E:$E)</f>
        <v>39</v>
      </c>
      <c r="I1878">
        <v>1.25</v>
      </c>
    </row>
    <row r="1879" spans="1:9" x14ac:dyDescent="0.3">
      <c r="A1879" s="2" t="s">
        <v>95</v>
      </c>
      <c r="B1879" s="3">
        <v>44378.5</v>
      </c>
      <c r="C1879" s="1" t="str">
        <f t="shared" si="31"/>
        <v>21183</v>
      </c>
      <c r="D1879" t="s">
        <v>33</v>
      </c>
      <c r="E1879" s="2" t="s">
        <v>39</v>
      </c>
      <c r="F1879" s="2" t="str">
        <f>_xlfn.XLOOKUP(Table1_1[[#This Row],[CAS_rn]],[1]analyte_order!$C:$C,[1]analyte_order!$B:$B)</f>
        <v>7:3 FTCA</v>
      </c>
      <c r="G1879" t="s">
        <v>146</v>
      </c>
      <c r="H1879" s="2">
        <f>_xlfn.XLOOKUP(Table1_1[[#This Row],[CAS_rn]],[1]analyte_order!$C:$C,[1]analyte_order!$E:$E)</f>
        <v>40</v>
      </c>
      <c r="I1879">
        <v>1.25</v>
      </c>
    </row>
    <row r="1880" spans="1:9" x14ac:dyDescent="0.3">
      <c r="A1880" s="2" t="s">
        <v>95</v>
      </c>
      <c r="B1880" s="3">
        <v>44378.5</v>
      </c>
      <c r="C1880" s="1" t="str">
        <f t="shared" si="31"/>
        <v>21183</v>
      </c>
      <c r="D1880" t="s">
        <v>33</v>
      </c>
      <c r="E1880" s="2" t="s">
        <v>39</v>
      </c>
      <c r="F1880" s="2" t="str">
        <f>_xlfn.XLOOKUP(Table1_1[[#This Row],[CAS_rn]],[1]analyte_order!$C:$C,[1]analyte_order!$B:$B)</f>
        <v>PFDS</v>
      </c>
      <c r="G1880" t="s">
        <v>147</v>
      </c>
      <c r="H1880" s="2">
        <f>_xlfn.XLOOKUP(Table1_1[[#This Row],[CAS_rn]],[1]analyte_order!$C:$C,[1]analyte_order!$E:$E)</f>
        <v>20</v>
      </c>
      <c r="I1880">
        <v>0.05</v>
      </c>
    </row>
    <row r="1881" spans="1:9" x14ac:dyDescent="0.3">
      <c r="A1881" s="2" t="s">
        <v>95</v>
      </c>
      <c r="B1881" s="3">
        <v>44378.5</v>
      </c>
      <c r="C1881" s="1" t="str">
        <f t="shared" si="31"/>
        <v>21183</v>
      </c>
      <c r="D1881" t="s">
        <v>33</v>
      </c>
      <c r="E1881" s="2" t="s">
        <v>39</v>
      </c>
      <c r="F1881" s="2" t="str">
        <f>_xlfn.XLOOKUP(Table1_1[[#This Row],[CAS_rn]],[1]analyte_order!$C:$C,[1]analyte_order!$B:$B)</f>
        <v>PFMPA</v>
      </c>
      <c r="G1881" t="s">
        <v>148</v>
      </c>
      <c r="H1881" s="2">
        <f>_xlfn.XLOOKUP(Table1_1[[#This Row],[CAS_rn]],[1]analyte_order!$C:$C,[1]analyte_order!$E:$E)</f>
        <v>49</v>
      </c>
      <c r="I1881">
        <v>0.1</v>
      </c>
    </row>
    <row r="1882" spans="1:9" x14ac:dyDescent="0.3">
      <c r="A1882" s="2" t="s">
        <v>96</v>
      </c>
      <c r="B1882" s="3">
        <v>44378.5</v>
      </c>
      <c r="C1882" s="1" t="str">
        <f t="shared" si="31"/>
        <v>21183</v>
      </c>
      <c r="D1882" t="s">
        <v>29</v>
      </c>
      <c r="E1882" s="2" t="s">
        <v>39</v>
      </c>
      <c r="F1882" s="2" t="str">
        <f>_xlfn.XLOOKUP(Table1_1[[#This Row],[CAS_rn]],[1]analyte_order!$C:$C,[1]analyte_order!$B:$B)</f>
        <v>PFBA</v>
      </c>
      <c r="G1882" t="s">
        <v>109</v>
      </c>
      <c r="H1882" s="2">
        <f>_xlfn.XLOOKUP(Table1_1[[#This Row],[CAS_rn]],[1]analyte_order!$C:$C,[1]analyte_order!$E:$E)</f>
        <v>1</v>
      </c>
      <c r="I1882">
        <v>0.2</v>
      </c>
    </row>
    <row r="1883" spans="1:9" x14ac:dyDescent="0.3">
      <c r="A1883" s="2" t="s">
        <v>96</v>
      </c>
      <c r="B1883" s="3">
        <v>44378.5</v>
      </c>
      <c r="C1883" s="1" t="str">
        <f t="shared" si="31"/>
        <v>21183</v>
      </c>
      <c r="D1883" t="s">
        <v>29</v>
      </c>
      <c r="E1883" s="2" t="s">
        <v>39</v>
      </c>
      <c r="F1883" s="2" t="str">
        <f>_xlfn.XLOOKUP(Table1_1[[#This Row],[CAS_rn]],[1]analyte_order!$C:$C,[1]analyte_order!$B:$B)</f>
        <v>PFPeA</v>
      </c>
      <c r="G1883" t="s">
        <v>110</v>
      </c>
      <c r="H1883" s="2">
        <f>_xlfn.XLOOKUP(Table1_1[[#This Row],[CAS_rn]],[1]analyte_order!$C:$C,[1]analyte_order!$E:$E)</f>
        <v>2</v>
      </c>
      <c r="I1883">
        <v>0.1</v>
      </c>
    </row>
    <row r="1884" spans="1:9" x14ac:dyDescent="0.3">
      <c r="A1884" s="2" t="s">
        <v>96</v>
      </c>
      <c r="B1884" s="3">
        <v>44378.5</v>
      </c>
      <c r="C1884" s="1" t="str">
        <f t="shared" si="31"/>
        <v>21183</v>
      </c>
      <c r="D1884" t="s">
        <v>29</v>
      </c>
      <c r="E1884" s="2" t="s">
        <v>39</v>
      </c>
      <c r="F1884" s="2" t="str">
        <f>_xlfn.XLOOKUP(Table1_1[[#This Row],[CAS_rn]],[1]analyte_order!$C:$C,[1]analyte_order!$B:$B)</f>
        <v>PFHxA</v>
      </c>
      <c r="G1884" t="s">
        <v>111</v>
      </c>
      <c r="H1884" s="2">
        <f>_xlfn.XLOOKUP(Table1_1[[#This Row],[CAS_rn]],[1]analyte_order!$C:$C,[1]analyte_order!$E:$E)</f>
        <v>3</v>
      </c>
      <c r="I1884">
        <v>0.21</v>
      </c>
    </row>
    <row r="1885" spans="1:9" x14ac:dyDescent="0.3">
      <c r="A1885" s="2" t="s">
        <v>96</v>
      </c>
      <c r="B1885" s="3">
        <v>44378.5</v>
      </c>
      <c r="C1885" s="1" t="str">
        <f t="shared" si="31"/>
        <v>21183</v>
      </c>
      <c r="D1885" t="s">
        <v>29</v>
      </c>
      <c r="E1885" s="2" t="s">
        <v>39</v>
      </c>
      <c r="F1885" s="2" t="str">
        <f>_xlfn.XLOOKUP(Table1_1[[#This Row],[CAS_rn]],[1]analyte_order!$C:$C,[1]analyte_order!$B:$B)</f>
        <v>PFHpA</v>
      </c>
      <c r="G1885" t="s">
        <v>112</v>
      </c>
      <c r="H1885" s="2">
        <f>_xlfn.XLOOKUP(Table1_1[[#This Row],[CAS_rn]],[1]analyte_order!$C:$C,[1]analyte_order!$E:$E)</f>
        <v>4</v>
      </c>
      <c r="I1885">
        <v>0.09</v>
      </c>
    </row>
    <row r="1886" spans="1:9" x14ac:dyDescent="0.3">
      <c r="A1886" s="2" t="s">
        <v>96</v>
      </c>
      <c r="B1886" s="3">
        <v>44378.5</v>
      </c>
      <c r="C1886" s="1" t="str">
        <f t="shared" si="31"/>
        <v>21183</v>
      </c>
      <c r="D1886" t="s">
        <v>29</v>
      </c>
      <c r="E1886" s="2" t="s">
        <v>39</v>
      </c>
      <c r="F1886" s="2" t="str">
        <f>_xlfn.XLOOKUP(Table1_1[[#This Row],[CAS_rn]],[1]analyte_order!$C:$C,[1]analyte_order!$B:$B)</f>
        <v>PFOA</v>
      </c>
      <c r="G1886" t="s">
        <v>113</v>
      </c>
      <c r="H1886" s="2">
        <f>_xlfn.XLOOKUP(Table1_1[[#This Row],[CAS_rn]],[1]analyte_order!$C:$C,[1]analyte_order!$E:$E)</f>
        <v>5</v>
      </c>
      <c r="I1886">
        <v>0.34</v>
      </c>
    </row>
    <row r="1887" spans="1:9" x14ac:dyDescent="0.3">
      <c r="A1887" s="2" t="s">
        <v>96</v>
      </c>
      <c r="B1887" s="3">
        <v>44378.5</v>
      </c>
      <c r="C1887" s="1" t="str">
        <f t="shared" si="31"/>
        <v>21183</v>
      </c>
      <c r="D1887" t="s">
        <v>29</v>
      </c>
      <c r="E1887" s="2" t="s">
        <v>39</v>
      </c>
      <c r="F1887" s="2" t="str">
        <f>_xlfn.XLOOKUP(Table1_1[[#This Row],[CAS_rn]],[1]analyte_order!$C:$C,[1]analyte_order!$B:$B)</f>
        <v>PFNA</v>
      </c>
      <c r="G1887" t="s">
        <v>114</v>
      </c>
      <c r="H1887" s="2">
        <f>_xlfn.XLOOKUP(Table1_1[[#This Row],[CAS_rn]],[1]analyte_order!$C:$C,[1]analyte_order!$E:$E)</f>
        <v>6</v>
      </c>
      <c r="I1887">
        <v>0.05</v>
      </c>
    </row>
    <row r="1888" spans="1:9" x14ac:dyDescent="0.3">
      <c r="A1888" s="2" t="s">
        <v>96</v>
      </c>
      <c r="B1888" s="3">
        <v>44378.5</v>
      </c>
      <c r="C1888" s="1" t="str">
        <f t="shared" si="31"/>
        <v>21183</v>
      </c>
      <c r="D1888" t="s">
        <v>29</v>
      </c>
      <c r="E1888" s="2" t="s">
        <v>39</v>
      </c>
      <c r="F1888" s="2" t="str">
        <f>_xlfn.XLOOKUP(Table1_1[[#This Row],[CAS_rn]],[1]analyte_order!$C:$C,[1]analyte_order!$B:$B)</f>
        <v>PFDA</v>
      </c>
      <c r="G1888" t="s">
        <v>115</v>
      </c>
      <c r="H1888" s="2">
        <f>_xlfn.XLOOKUP(Table1_1[[#This Row],[CAS_rn]],[1]analyte_order!$C:$C,[1]analyte_order!$E:$E)</f>
        <v>7</v>
      </c>
      <c r="I1888">
        <v>0.05</v>
      </c>
    </row>
    <row r="1889" spans="1:9" x14ac:dyDescent="0.3">
      <c r="A1889" s="2" t="s">
        <v>96</v>
      </c>
      <c r="B1889" s="3">
        <v>44378.5</v>
      </c>
      <c r="C1889" s="1" t="str">
        <f t="shared" si="31"/>
        <v>21183</v>
      </c>
      <c r="D1889" t="s">
        <v>29</v>
      </c>
      <c r="E1889" s="2" t="s">
        <v>39</v>
      </c>
      <c r="F1889" s="2" t="str">
        <f>_xlfn.XLOOKUP(Table1_1[[#This Row],[CAS_rn]],[1]analyte_order!$C:$C,[1]analyte_order!$B:$B)</f>
        <v>PFUnA</v>
      </c>
      <c r="G1889" t="s">
        <v>116</v>
      </c>
      <c r="H1889" s="2">
        <f>_xlfn.XLOOKUP(Table1_1[[#This Row],[CAS_rn]],[1]analyte_order!$C:$C,[1]analyte_order!$E:$E)</f>
        <v>8</v>
      </c>
      <c r="I1889">
        <v>0.05</v>
      </c>
    </row>
    <row r="1890" spans="1:9" x14ac:dyDescent="0.3">
      <c r="A1890" s="2" t="s">
        <v>96</v>
      </c>
      <c r="B1890" s="3">
        <v>44378.5</v>
      </c>
      <c r="C1890" s="1" t="str">
        <f t="shared" si="31"/>
        <v>21183</v>
      </c>
      <c r="D1890" t="s">
        <v>29</v>
      </c>
      <c r="E1890" s="2" t="s">
        <v>39</v>
      </c>
      <c r="F1890" s="2" t="str">
        <f>_xlfn.XLOOKUP(Table1_1[[#This Row],[CAS_rn]],[1]analyte_order!$C:$C,[1]analyte_order!$B:$B)</f>
        <v>PFDoA</v>
      </c>
      <c r="G1890" t="s">
        <v>117</v>
      </c>
      <c r="H1890" s="2">
        <f>_xlfn.XLOOKUP(Table1_1[[#This Row],[CAS_rn]],[1]analyte_order!$C:$C,[1]analyte_order!$E:$E)</f>
        <v>9</v>
      </c>
      <c r="I1890">
        <v>0.05</v>
      </c>
    </row>
    <row r="1891" spans="1:9" x14ac:dyDescent="0.3">
      <c r="A1891" s="2" t="s">
        <v>96</v>
      </c>
      <c r="B1891" s="3">
        <v>44378.5</v>
      </c>
      <c r="C1891" s="1" t="str">
        <f t="shared" si="31"/>
        <v>21183</v>
      </c>
      <c r="D1891" t="s">
        <v>29</v>
      </c>
      <c r="E1891" s="2" t="s">
        <v>39</v>
      </c>
      <c r="F1891" s="2" t="str">
        <f>_xlfn.XLOOKUP(Table1_1[[#This Row],[CAS_rn]],[1]analyte_order!$C:$C,[1]analyte_order!$B:$B)</f>
        <v>PFTrDA</v>
      </c>
      <c r="G1891" t="s">
        <v>118</v>
      </c>
      <c r="H1891" s="2">
        <f>_xlfn.XLOOKUP(Table1_1[[#This Row],[CAS_rn]],[1]analyte_order!$C:$C,[1]analyte_order!$E:$E)</f>
        <v>10</v>
      </c>
      <c r="I1891">
        <v>0.05</v>
      </c>
    </row>
    <row r="1892" spans="1:9" x14ac:dyDescent="0.3">
      <c r="A1892" s="2" t="s">
        <v>96</v>
      </c>
      <c r="B1892" s="3">
        <v>44378.5</v>
      </c>
      <c r="C1892" s="1" t="str">
        <f t="shared" si="31"/>
        <v>21183</v>
      </c>
      <c r="D1892" t="s">
        <v>29</v>
      </c>
      <c r="E1892" s="2" t="s">
        <v>39</v>
      </c>
      <c r="F1892" s="2" t="str">
        <f>_xlfn.XLOOKUP(Table1_1[[#This Row],[CAS_rn]],[1]analyte_order!$C:$C,[1]analyte_order!$B:$B)</f>
        <v>PFTeDA</v>
      </c>
      <c r="G1892" t="s">
        <v>119</v>
      </c>
      <c r="H1892" s="2">
        <f>_xlfn.XLOOKUP(Table1_1[[#This Row],[CAS_rn]],[1]analyte_order!$C:$C,[1]analyte_order!$E:$E)</f>
        <v>11</v>
      </c>
      <c r="I1892">
        <v>0.05</v>
      </c>
    </row>
    <row r="1893" spans="1:9" x14ac:dyDescent="0.3">
      <c r="A1893" s="2" t="s">
        <v>96</v>
      </c>
      <c r="B1893" s="3">
        <v>44378.5</v>
      </c>
      <c r="C1893" s="1" t="str">
        <f t="shared" si="31"/>
        <v>21183</v>
      </c>
      <c r="D1893" t="s">
        <v>29</v>
      </c>
      <c r="E1893" s="2" t="s">
        <v>39</v>
      </c>
      <c r="F1893" s="2" t="str">
        <f>_xlfn.XLOOKUP(Table1_1[[#This Row],[CAS_rn]],[1]analyte_order!$C:$C,[1]analyte_order!$B:$B)</f>
        <v>PFBS</v>
      </c>
      <c r="G1893" t="s">
        <v>120</v>
      </c>
      <c r="H1893" s="2">
        <f>_xlfn.XLOOKUP(Table1_1[[#This Row],[CAS_rn]],[1]analyte_order!$C:$C,[1]analyte_order!$E:$E)</f>
        <v>14</v>
      </c>
      <c r="I1893">
        <v>0.05</v>
      </c>
    </row>
    <row r="1894" spans="1:9" x14ac:dyDescent="0.3">
      <c r="A1894" s="2" t="s">
        <v>96</v>
      </c>
      <c r="B1894" s="3">
        <v>44378.5</v>
      </c>
      <c r="C1894" s="1" t="str">
        <f t="shared" si="31"/>
        <v>21183</v>
      </c>
      <c r="D1894" t="s">
        <v>29</v>
      </c>
      <c r="E1894" s="2" t="s">
        <v>39</v>
      </c>
      <c r="F1894" s="2" t="str">
        <f>_xlfn.XLOOKUP(Table1_1[[#This Row],[CAS_rn]],[1]analyte_order!$C:$C,[1]analyte_order!$B:$B)</f>
        <v>PFPeS</v>
      </c>
      <c r="G1894" t="s">
        <v>121</v>
      </c>
      <c r="H1894" s="2">
        <f>_xlfn.XLOOKUP(Table1_1[[#This Row],[CAS_rn]],[1]analyte_order!$C:$C,[1]analyte_order!$E:$E)</f>
        <v>15</v>
      </c>
      <c r="I1894">
        <v>0.05</v>
      </c>
    </row>
    <row r="1895" spans="1:9" x14ac:dyDescent="0.3">
      <c r="A1895" s="2" t="s">
        <v>96</v>
      </c>
      <c r="B1895" s="3">
        <v>44378.5</v>
      </c>
      <c r="C1895" s="1" t="str">
        <f t="shared" si="31"/>
        <v>21183</v>
      </c>
      <c r="D1895" t="s">
        <v>29</v>
      </c>
      <c r="E1895" s="2" t="s">
        <v>39</v>
      </c>
      <c r="F1895" s="2" t="str">
        <f>_xlfn.XLOOKUP(Table1_1[[#This Row],[CAS_rn]],[1]analyte_order!$C:$C,[1]analyte_order!$B:$B)</f>
        <v>PFHxS</v>
      </c>
      <c r="G1895" t="s">
        <v>122</v>
      </c>
      <c r="H1895" s="2">
        <f>_xlfn.XLOOKUP(Table1_1[[#This Row],[CAS_rn]],[1]analyte_order!$C:$C,[1]analyte_order!$E:$E)</f>
        <v>16</v>
      </c>
      <c r="I1895">
        <v>0.62</v>
      </c>
    </row>
    <row r="1896" spans="1:9" x14ac:dyDescent="0.3">
      <c r="A1896" s="2" t="s">
        <v>96</v>
      </c>
      <c r="B1896" s="3">
        <v>44378.5</v>
      </c>
      <c r="C1896" s="1" t="str">
        <f t="shared" si="31"/>
        <v>21183</v>
      </c>
      <c r="D1896" t="s">
        <v>29</v>
      </c>
      <c r="E1896" s="2" t="s">
        <v>39</v>
      </c>
      <c r="F1896" s="2" t="str">
        <f>_xlfn.XLOOKUP(Table1_1[[#This Row],[CAS_rn]],[1]analyte_order!$C:$C,[1]analyte_order!$B:$B)</f>
        <v>PFHpS</v>
      </c>
      <c r="G1896" t="s">
        <v>123</v>
      </c>
      <c r="H1896" s="2">
        <f>_xlfn.XLOOKUP(Table1_1[[#This Row],[CAS_rn]],[1]analyte_order!$C:$C,[1]analyte_order!$E:$E)</f>
        <v>17</v>
      </c>
      <c r="I1896">
        <v>0.05</v>
      </c>
    </row>
    <row r="1897" spans="1:9" x14ac:dyDescent="0.3">
      <c r="A1897" s="2" t="s">
        <v>96</v>
      </c>
      <c r="B1897" s="3">
        <v>44378.5</v>
      </c>
      <c r="C1897" s="1" t="str">
        <f t="shared" si="31"/>
        <v>21183</v>
      </c>
      <c r="D1897" t="s">
        <v>29</v>
      </c>
      <c r="E1897" s="2" t="s">
        <v>39</v>
      </c>
      <c r="F1897" s="2" t="str">
        <f>_xlfn.XLOOKUP(Table1_1[[#This Row],[CAS_rn]],[1]analyte_order!$C:$C,[1]analyte_order!$B:$B)</f>
        <v>PFOS</v>
      </c>
      <c r="G1897" t="s">
        <v>124</v>
      </c>
      <c r="H1897" s="2">
        <f>_xlfn.XLOOKUP(Table1_1[[#This Row],[CAS_rn]],[1]analyte_order!$C:$C,[1]analyte_order!$E:$E)</f>
        <v>18</v>
      </c>
      <c r="I1897">
        <v>1.3</v>
      </c>
    </row>
    <row r="1898" spans="1:9" x14ac:dyDescent="0.3">
      <c r="A1898" s="2" t="s">
        <v>96</v>
      </c>
      <c r="B1898" s="3">
        <v>44378.5</v>
      </c>
      <c r="C1898" s="1" t="str">
        <f t="shared" si="31"/>
        <v>21183</v>
      </c>
      <c r="D1898" t="s">
        <v>29</v>
      </c>
      <c r="E1898" s="2" t="s">
        <v>39</v>
      </c>
      <c r="F1898" s="2" t="str">
        <f>_xlfn.XLOOKUP(Table1_1[[#This Row],[CAS_rn]],[1]analyte_order!$C:$C,[1]analyte_order!$B:$B)</f>
        <v>PFNS</v>
      </c>
      <c r="G1898" t="s">
        <v>125</v>
      </c>
      <c r="H1898" s="2">
        <f>_xlfn.XLOOKUP(Table1_1[[#This Row],[CAS_rn]],[1]analyte_order!$C:$C,[1]analyte_order!$E:$E)</f>
        <v>19</v>
      </c>
      <c r="I1898">
        <v>0.05</v>
      </c>
    </row>
    <row r="1899" spans="1:9" x14ac:dyDescent="0.3">
      <c r="A1899" s="2" t="s">
        <v>96</v>
      </c>
      <c r="B1899" s="3">
        <v>44378.5</v>
      </c>
      <c r="C1899" s="1" t="str">
        <f t="shared" si="31"/>
        <v>21183</v>
      </c>
      <c r="D1899" t="s">
        <v>29</v>
      </c>
      <c r="E1899" s="2" t="s">
        <v>39</v>
      </c>
      <c r="F1899" s="2" t="str">
        <f>_xlfn.XLOOKUP(Table1_1[[#This Row],[CAS_rn]],[1]analyte_order!$C:$C,[1]analyte_order!$B:$B)</f>
        <v>PFDoS</v>
      </c>
      <c r="G1899" t="s">
        <v>126</v>
      </c>
      <c r="H1899" s="2">
        <f>_xlfn.XLOOKUP(Table1_1[[#This Row],[CAS_rn]],[1]analyte_order!$C:$C,[1]analyte_order!$E:$E)</f>
        <v>21</v>
      </c>
      <c r="I1899">
        <v>0.05</v>
      </c>
    </row>
    <row r="1900" spans="1:9" x14ac:dyDescent="0.3">
      <c r="A1900" s="2" t="s">
        <v>96</v>
      </c>
      <c r="B1900" s="3">
        <v>44378.5</v>
      </c>
      <c r="C1900" s="1" t="str">
        <f t="shared" si="31"/>
        <v>21183</v>
      </c>
      <c r="D1900" t="s">
        <v>29</v>
      </c>
      <c r="E1900" s="2" t="s">
        <v>39</v>
      </c>
      <c r="F1900" s="2" t="str">
        <f>_xlfn.XLOOKUP(Table1_1[[#This Row],[CAS_rn]],[1]analyte_order!$C:$C,[1]analyte_order!$B:$B)</f>
        <v>4:2 FTS</v>
      </c>
      <c r="G1900" t="s">
        <v>127</v>
      </c>
      <c r="H1900" s="2">
        <f>_xlfn.XLOOKUP(Table1_1[[#This Row],[CAS_rn]],[1]analyte_order!$C:$C,[1]analyte_order!$E:$E)</f>
        <v>22</v>
      </c>
      <c r="I1900">
        <v>0.2</v>
      </c>
    </row>
    <row r="1901" spans="1:9" x14ac:dyDescent="0.3">
      <c r="A1901" s="2" t="s">
        <v>96</v>
      </c>
      <c r="B1901" s="3">
        <v>44378.5</v>
      </c>
      <c r="C1901" s="1" t="str">
        <f t="shared" si="31"/>
        <v>21183</v>
      </c>
      <c r="D1901" t="s">
        <v>29</v>
      </c>
      <c r="E1901" s="2" t="s">
        <v>39</v>
      </c>
      <c r="F1901" s="2" t="str">
        <f>_xlfn.XLOOKUP(Table1_1[[#This Row],[CAS_rn]],[1]analyte_order!$C:$C,[1]analyte_order!$B:$B)</f>
        <v>6:2 FTS</v>
      </c>
      <c r="G1901" t="s">
        <v>128</v>
      </c>
      <c r="H1901" s="2">
        <f>_xlfn.XLOOKUP(Table1_1[[#This Row],[CAS_rn]],[1]analyte_order!$C:$C,[1]analyte_order!$E:$E)</f>
        <v>23</v>
      </c>
      <c r="I1901">
        <v>0.4</v>
      </c>
    </row>
    <row r="1902" spans="1:9" x14ac:dyDescent="0.3">
      <c r="A1902" s="2" t="s">
        <v>96</v>
      </c>
      <c r="B1902" s="3">
        <v>44378.5</v>
      </c>
      <c r="C1902" s="1" t="str">
        <f t="shared" si="31"/>
        <v>21183</v>
      </c>
      <c r="D1902" t="s">
        <v>29</v>
      </c>
      <c r="E1902" s="2" t="s">
        <v>39</v>
      </c>
      <c r="F1902" s="2" t="str">
        <f>_xlfn.XLOOKUP(Table1_1[[#This Row],[CAS_rn]],[1]analyte_order!$C:$C,[1]analyte_order!$B:$B)</f>
        <v>8:2 FTS</v>
      </c>
      <c r="G1902" t="s">
        <v>129</v>
      </c>
      <c r="H1902" s="2">
        <f>_xlfn.XLOOKUP(Table1_1[[#This Row],[CAS_rn]],[1]analyte_order!$C:$C,[1]analyte_order!$E:$E)</f>
        <v>24</v>
      </c>
      <c r="I1902">
        <v>0.4</v>
      </c>
    </row>
    <row r="1903" spans="1:9" x14ac:dyDescent="0.3">
      <c r="A1903" s="2" t="s">
        <v>96</v>
      </c>
      <c r="B1903" s="3">
        <v>44378.5</v>
      </c>
      <c r="C1903" s="1" t="str">
        <f t="shared" si="31"/>
        <v>21183</v>
      </c>
      <c r="D1903" t="s">
        <v>29</v>
      </c>
      <c r="E1903" s="2" t="s">
        <v>39</v>
      </c>
      <c r="F1903" s="2" t="str">
        <f>_xlfn.XLOOKUP(Table1_1[[#This Row],[CAS_rn]],[1]analyte_order!$C:$C,[1]analyte_order!$B:$B)</f>
        <v>FOSA</v>
      </c>
      <c r="G1903" t="s">
        <v>130</v>
      </c>
      <c r="H1903" s="2">
        <f>_xlfn.XLOOKUP(Table1_1[[#This Row],[CAS_rn]],[1]analyte_order!$C:$C,[1]analyte_order!$E:$E)</f>
        <v>28</v>
      </c>
      <c r="I1903">
        <v>0.09</v>
      </c>
    </row>
    <row r="1904" spans="1:9" x14ac:dyDescent="0.3">
      <c r="A1904" s="2" t="s">
        <v>96</v>
      </c>
      <c r="B1904" s="3">
        <v>44378.5</v>
      </c>
      <c r="C1904" s="1" t="str">
        <f t="shared" si="31"/>
        <v>21183</v>
      </c>
      <c r="D1904" t="s">
        <v>29</v>
      </c>
      <c r="E1904" s="2" t="s">
        <v>39</v>
      </c>
      <c r="F1904" s="2" t="str">
        <f>_xlfn.XLOOKUP(Table1_1[[#This Row],[CAS_rn]],[1]analyte_order!$C:$C,[1]analyte_order!$B:$B)</f>
        <v>N-MeFOSA</v>
      </c>
      <c r="G1904" t="s">
        <v>131</v>
      </c>
      <c r="H1904" s="2">
        <f>_xlfn.XLOOKUP(Table1_1[[#This Row],[CAS_rn]],[1]analyte_order!$C:$C,[1]analyte_order!$E:$E)</f>
        <v>30</v>
      </c>
      <c r="I1904">
        <v>0.05</v>
      </c>
    </row>
    <row r="1905" spans="1:9" x14ac:dyDescent="0.3">
      <c r="A1905" s="2" t="s">
        <v>96</v>
      </c>
      <c r="B1905" s="3">
        <v>44378.5</v>
      </c>
      <c r="C1905" s="1" t="str">
        <f t="shared" si="31"/>
        <v>21183</v>
      </c>
      <c r="D1905" t="s">
        <v>29</v>
      </c>
      <c r="E1905" s="2" t="s">
        <v>39</v>
      </c>
      <c r="F1905" s="2" t="str">
        <f>_xlfn.XLOOKUP(Table1_1[[#This Row],[CAS_rn]],[1]analyte_order!$C:$C,[1]analyte_order!$B:$B)</f>
        <v>N-MeFOSAA</v>
      </c>
      <c r="G1905" t="s">
        <v>132</v>
      </c>
      <c r="H1905" s="2">
        <f>_xlfn.XLOOKUP(Table1_1[[#This Row],[CAS_rn]],[1]analyte_order!$C:$C,[1]analyte_order!$E:$E)</f>
        <v>26</v>
      </c>
      <c r="I1905">
        <v>0.05</v>
      </c>
    </row>
    <row r="1906" spans="1:9" x14ac:dyDescent="0.3">
      <c r="A1906" s="2" t="s">
        <v>96</v>
      </c>
      <c r="B1906" s="3">
        <v>44378.5</v>
      </c>
      <c r="C1906" s="1" t="str">
        <f t="shared" si="31"/>
        <v>21183</v>
      </c>
      <c r="D1906" t="s">
        <v>29</v>
      </c>
      <c r="E1906" s="2" t="s">
        <v>39</v>
      </c>
      <c r="F1906" s="2" t="str">
        <f>_xlfn.XLOOKUP(Table1_1[[#This Row],[CAS_rn]],[1]analyte_order!$C:$C,[1]analyte_order!$B:$B)</f>
        <v>N-EtFOSA</v>
      </c>
      <c r="G1906" t="s">
        <v>133</v>
      </c>
      <c r="H1906" s="2">
        <f>_xlfn.XLOOKUP(Table1_1[[#This Row],[CAS_rn]],[1]analyte_order!$C:$C,[1]analyte_order!$E:$E)</f>
        <v>31</v>
      </c>
      <c r="I1906">
        <v>0.05</v>
      </c>
    </row>
    <row r="1907" spans="1:9" x14ac:dyDescent="0.3">
      <c r="A1907" s="2" t="s">
        <v>96</v>
      </c>
      <c r="B1907" s="3">
        <v>44378.5</v>
      </c>
      <c r="C1907" s="1" t="str">
        <f t="shared" si="31"/>
        <v>21183</v>
      </c>
      <c r="D1907" t="s">
        <v>29</v>
      </c>
      <c r="E1907" s="2" t="s">
        <v>39</v>
      </c>
      <c r="F1907" s="2" t="str">
        <f>_xlfn.XLOOKUP(Table1_1[[#This Row],[CAS_rn]],[1]analyte_order!$C:$C,[1]analyte_order!$B:$B)</f>
        <v>N-EtFOSAA</v>
      </c>
      <c r="G1907" t="s">
        <v>134</v>
      </c>
      <c r="H1907" s="2">
        <f>_xlfn.XLOOKUP(Table1_1[[#This Row],[CAS_rn]],[1]analyte_order!$C:$C,[1]analyte_order!$E:$E)</f>
        <v>27</v>
      </c>
      <c r="I1907">
        <v>0.05</v>
      </c>
    </row>
    <row r="1908" spans="1:9" x14ac:dyDescent="0.3">
      <c r="A1908" s="2" t="s">
        <v>96</v>
      </c>
      <c r="B1908" s="3">
        <v>44378.5</v>
      </c>
      <c r="C1908" s="1" t="str">
        <f t="shared" si="31"/>
        <v>21183</v>
      </c>
      <c r="D1908" t="s">
        <v>29</v>
      </c>
      <c r="E1908" s="2" t="s">
        <v>39</v>
      </c>
      <c r="F1908" s="2" t="str">
        <f>_xlfn.XLOOKUP(Table1_1[[#This Row],[CAS_rn]],[1]analyte_order!$C:$C,[1]analyte_order!$B:$B)</f>
        <v>N-MeFOSE</v>
      </c>
      <c r="G1908" t="s">
        <v>135</v>
      </c>
      <c r="H1908" s="2">
        <f>_xlfn.XLOOKUP(Table1_1[[#This Row],[CAS_rn]],[1]analyte_order!$C:$C,[1]analyte_order!$E:$E)</f>
        <v>32</v>
      </c>
      <c r="I1908">
        <v>0.5</v>
      </c>
    </row>
    <row r="1909" spans="1:9" x14ac:dyDescent="0.3">
      <c r="A1909" s="2" t="s">
        <v>96</v>
      </c>
      <c r="B1909" s="3">
        <v>44378.5</v>
      </c>
      <c r="C1909" s="1" t="str">
        <f t="shared" si="31"/>
        <v>21183</v>
      </c>
      <c r="D1909" t="s">
        <v>29</v>
      </c>
      <c r="E1909" s="2" t="s">
        <v>39</v>
      </c>
      <c r="F1909" s="2" t="str">
        <f>_xlfn.XLOOKUP(Table1_1[[#This Row],[CAS_rn]],[1]analyte_order!$C:$C,[1]analyte_order!$B:$B)</f>
        <v>N-EtFOSE</v>
      </c>
      <c r="G1909" t="s">
        <v>136</v>
      </c>
      <c r="H1909" s="2">
        <f>_xlfn.XLOOKUP(Table1_1[[#This Row],[CAS_rn]],[1]analyte_order!$C:$C,[1]analyte_order!$E:$E)</f>
        <v>33</v>
      </c>
      <c r="I1909">
        <v>0.5</v>
      </c>
    </row>
    <row r="1910" spans="1:9" x14ac:dyDescent="0.3">
      <c r="A1910" s="2" t="s">
        <v>96</v>
      </c>
      <c r="B1910" s="3">
        <v>44378.5</v>
      </c>
      <c r="C1910" s="1" t="str">
        <f t="shared" si="31"/>
        <v>21183</v>
      </c>
      <c r="D1910" t="s">
        <v>29</v>
      </c>
      <c r="E1910" s="2" t="s">
        <v>39</v>
      </c>
      <c r="F1910" s="2" t="str">
        <f>_xlfn.XLOOKUP(Table1_1[[#This Row],[CAS_rn]],[1]analyte_order!$C:$C,[1]analyte_order!$B:$B)</f>
        <v>HFPO-DA</v>
      </c>
      <c r="G1910" t="s">
        <v>137</v>
      </c>
      <c r="H1910" s="2">
        <f>_xlfn.XLOOKUP(Table1_1[[#This Row],[CAS_rn]],[1]analyte_order!$C:$C,[1]analyte_order!$E:$E)</f>
        <v>34</v>
      </c>
      <c r="I1910">
        <v>0.3</v>
      </c>
    </row>
    <row r="1911" spans="1:9" x14ac:dyDescent="0.3">
      <c r="A1911" s="2" t="s">
        <v>96</v>
      </c>
      <c r="B1911" s="3">
        <v>44378.5</v>
      </c>
      <c r="C1911" s="1" t="str">
        <f t="shared" si="31"/>
        <v>21183</v>
      </c>
      <c r="D1911" t="s">
        <v>29</v>
      </c>
      <c r="E1911" s="2" t="s">
        <v>39</v>
      </c>
      <c r="F1911" s="2" t="str">
        <f>_xlfn.XLOOKUP(Table1_1[[#This Row],[CAS_rn]],[1]analyte_order!$C:$C,[1]analyte_order!$B:$B)</f>
        <v>ADONA</v>
      </c>
      <c r="G1911" t="s">
        <v>138</v>
      </c>
      <c r="H1911" s="2">
        <f>_xlfn.XLOOKUP(Table1_1[[#This Row],[CAS_rn]],[1]analyte_order!$C:$C,[1]analyte_order!$E:$E)</f>
        <v>35</v>
      </c>
      <c r="I1911">
        <v>0.2</v>
      </c>
    </row>
    <row r="1912" spans="1:9" x14ac:dyDescent="0.3">
      <c r="A1912" s="2" t="s">
        <v>96</v>
      </c>
      <c r="B1912" s="3">
        <v>44378.5</v>
      </c>
      <c r="C1912" s="1" t="str">
        <f t="shared" si="31"/>
        <v>21183</v>
      </c>
      <c r="D1912" t="s">
        <v>29</v>
      </c>
      <c r="E1912" s="2" t="s">
        <v>39</v>
      </c>
      <c r="F1912" s="2" t="str">
        <f>_xlfn.XLOOKUP(Table1_1[[#This Row],[CAS_rn]],[1]analyte_order!$C:$C,[1]analyte_order!$B:$B)</f>
        <v>PFMBA</v>
      </c>
      <c r="G1912" t="s">
        <v>139</v>
      </c>
      <c r="H1912" s="2">
        <f>_xlfn.XLOOKUP(Table1_1[[#This Row],[CAS_rn]],[1]analyte_order!$C:$C,[1]analyte_order!$E:$E)</f>
        <v>48</v>
      </c>
      <c r="I1912">
        <v>0.1</v>
      </c>
    </row>
    <row r="1913" spans="1:9" x14ac:dyDescent="0.3">
      <c r="A1913" s="2" t="s">
        <v>96</v>
      </c>
      <c r="B1913" s="3">
        <v>44378.5</v>
      </c>
      <c r="C1913" s="1" t="str">
        <f t="shared" si="31"/>
        <v>21183</v>
      </c>
      <c r="D1913" t="s">
        <v>29</v>
      </c>
      <c r="E1913" s="2" t="s">
        <v>39</v>
      </c>
      <c r="F1913" s="2" t="str">
        <f>_xlfn.XLOOKUP(Table1_1[[#This Row],[CAS_rn]],[1]analyte_order!$C:$C,[1]analyte_order!$B:$B)</f>
        <v>NFDHA</v>
      </c>
      <c r="G1913" t="s">
        <v>140</v>
      </c>
      <c r="H1913" s="2">
        <f>_xlfn.XLOOKUP(Table1_1[[#This Row],[CAS_rn]],[1]analyte_order!$C:$C,[1]analyte_order!$E:$E)</f>
        <v>50</v>
      </c>
      <c r="I1913">
        <v>0.1</v>
      </c>
    </row>
    <row r="1914" spans="1:9" x14ac:dyDescent="0.3">
      <c r="A1914" s="2" t="s">
        <v>96</v>
      </c>
      <c r="B1914" s="3">
        <v>44378.5</v>
      </c>
      <c r="C1914" s="1" t="str">
        <f t="shared" si="31"/>
        <v>21183</v>
      </c>
      <c r="D1914" t="s">
        <v>29</v>
      </c>
      <c r="E1914" s="2" t="s">
        <v>39</v>
      </c>
      <c r="F1914" s="2" t="str">
        <f>_xlfn.XLOOKUP(Table1_1[[#This Row],[CAS_rn]],[1]analyte_order!$C:$C,[1]analyte_order!$B:$B)</f>
        <v>9Cl-PF3ONS</v>
      </c>
      <c r="G1914" t="s">
        <v>141</v>
      </c>
      <c r="H1914" s="2">
        <f>_xlfn.XLOOKUP(Table1_1[[#This Row],[CAS_rn]],[1]analyte_order!$C:$C,[1]analyte_order!$E:$E)</f>
        <v>36</v>
      </c>
      <c r="I1914">
        <v>0.2</v>
      </c>
    </row>
    <row r="1915" spans="1:9" x14ac:dyDescent="0.3">
      <c r="A1915" s="2" t="s">
        <v>96</v>
      </c>
      <c r="B1915" s="3">
        <v>44378.5</v>
      </c>
      <c r="C1915" s="1" t="str">
        <f t="shared" si="31"/>
        <v>21183</v>
      </c>
      <c r="D1915" t="s">
        <v>29</v>
      </c>
      <c r="E1915" s="2" t="s">
        <v>39</v>
      </c>
      <c r="F1915" s="2" t="str">
        <f>_xlfn.XLOOKUP(Table1_1[[#This Row],[CAS_rn]],[1]analyte_order!$C:$C,[1]analyte_order!$B:$B)</f>
        <v>11Cl-PF3OUdS</v>
      </c>
      <c r="G1915" t="s">
        <v>142</v>
      </c>
      <c r="H1915" s="2">
        <f>_xlfn.XLOOKUP(Table1_1[[#This Row],[CAS_rn]],[1]analyte_order!$C:$C,[1]analyte_order!$E:$E)</f>
        <v>37</v>
      </c>
      <c r="I1915">
        <v>0.2</v>
      </c>
    </row>
    <row r="1916" spans="1:9" x14ac:dyDescent="0.3">
      <c r="A1916" s="2" t="s">
        <v>96</v>
      </c>
      <c r="B1916" s="3">
        <v>44378.5</v>
      </c>
      <c r="C1916" s="1" t="str">
        <f t="shared" si="31"/>
        <v>21183</v>
      </c>
      <c r="D1916" t="s">
        <v>29</v>
      </c>
      <c r="E1916" s="2" t="s">
        <v>39</v>
      </c>
      <c r="F1916" s="2" t="str">
        <f>_xlfn.XLOOKUP(Table1_1[[#This Row],[CAS_rn]],[1]analyte_order!$C:$C,[1]analyte_order!$B:$B)</f>
        <v>PFEESA</v>
      </c>
      <c r="G1916" t="s">
        <v>143</v>
      </c>
      <c r="H1916" s="2">
        <f>_xlfn.XLOOKUP(Table1_1[[#This Row],[CAS_rn]],[1]analyte_order!$C:$C,[1]analyte_order!$E:$E)</f>
        <v>47</v>
      </c>
      <c r="I1916">
        <v>0.1</v>
      </c>
    </row>
    <row r="1917" spans="1:9" x14ac:dyDescent="0.3">
      <c r="A1917" s="2" t="s">
        <v>96</v>
      </c>
      <c r="B1917" s="3">
        <v>44378.5</v>
      </c>
      <c r="C1917" s="1" t="str">
        <f t="shared" si="31"/>
        <v>21183</v>
      </c>
      <c r="D1917" t="s">
        <v>29</v>
      </c>
      <c r="E1917" s="2" t="s">
        <v>39</v>
      </c>
      <c r="F1917" s="2" t="str">
        <f>_xlfn.XLOOKUP(Table1_1[[#This Row],[CAS_rn]],[1]analyte_order!$C:$C,[1]analyte_order!$B:$B)</f>
        <v>3:3 FTCA</v>
      </c>
      <c r="G1917" t="s">
        <v>144</v>
      </c>
      <c r="H1917" s="2">
        <f>_xlfn.XLOOKUP(Table1_1[[#This Row],[CAS_rn]],[1]analyte_order!$C:$C,[1]analyte_order!$E:$E)</f>
        <v>38</v>
      </c>
      <c r="I1917">
        <v>0.25</v>
      </c>
    </row>
    <row r="1918" spans="1:9" x14ac:dyDescent="0.3">
      <c r="A1918" s="2" t="s">
        <v>96</v>
      </c>
      <c r="B1918" s="3">
        <v>44378.5</v>
      </c>
      <c r="C1918" s="1" t="str">
        <f t="shared" si="31"/>
        <v>21183</v>
      </c>
      <c r="D1918" t="s">
        <v>29</v>
      </c>
      <c r="E1918" s="2" t="s">
        <v>39</v>
      </c>
      <c r="F1918" s="2" t="str">
        <f>_xlfn.XLOOKUP(Table1_1[[#This Row],[CAS_rn]],[1]analyte_order!$C:$C,[1]analyte_order!$B:$B)</f>
        <v>5:3 FTCA</v>
      </c>
      <c r="G1918" t="s">
        <v>145</v>
      </c>
      <c r="H1918" s="2">
        <f>_xlfn.XLOOKUP(Table1_1[[#This Row],[CAS_rn]],[1]analyte_order!$C:$C,[1]analyte_order!$E:$E)</f>
        <v>39</v>
      </c>
      <c r="I1918">
        <v>1.25</v>
      </c>
    </row>
    <row r="1919" spans="1:9" x14ac:dyDescent="0.3">
      <c r="A1919" s="2" t="s">
        <v>96</v>
      </c>
      <c r="B1919" s="3">
        <v>44378.5</v>
      </c>
      <c r="C1919" s="1" t="str">
        <f t="shared" si="31"/>
        <v>21183</v>
      </c>
      <c r="D1919" t="s">
        <v>29</v>
      </c>
      <c r="E1919" s="2" t="s">
        <v>39</v>
      </c>
      <c r="F1919" s="2" t="str">
        <f>_xlfn.XLOOKUP(Table1_1[[#This Row],[CAS_rn]],[1]analyte_order!$C:$C,[1]analyte_order!$B:$B)</f>
        <v>7:3 FTCA</v>
      </c>
      <c r="G1919" t="s">
        <v>146</v>
      </c>
      <c r="H1919" s="2">
        <f>_xlfn.XLOOKUP(Table1_1[[#This Row],[CAS_rn]],[1]analyte_order!$C:$C,[1]analyte_order!$E:$E)</f>
        <v>40</v>
      </c>
      <c r="I1919">
        <v>1.25</v>
      </c>
    </row>
    <row r="1920" spans="1:9" x14ac:dyDescent="0.3">
      <c r="A1920" s="2" t="s">
        <v>96</v>
      </c>
      <c r="B1920" s="3">
        <v>44378.5</v>
      </c>
      <c r="C1920" s="1" t="str">
        <f t="shared" si="31"/>
        <v>21183</v>
      </c>
      <c r="D1920" t="s">
        <v>29</v>
      </c>
      <c r="E1920" s="2" t="s">
        <v>39</v>
      </c>
      <c r="F1920" s="2" t="str">
        <f>_xlfn.XLOOKUP(Table1_1[[#This Row],[CAS_rn]],[1]analyte_order!$C:$C,[1]analyte_order!$B:$B)</f>
        <v>PFDS</v>
      </c>
      <c r="G1920" t="s">
        <v>147</v>
      </c>
      <c r="H1920" s="2">
        <f>_xlfn.XLOOKUP(Table1_1[[#This Row],[CAS_rn]],[1]analyte_order!$C:$C,[1]analyte_order!$E:$E)</f>
        <v>20</v>
      </c>
      <c r="I1920">
        <v>0.05</v>
      </c>
    </row>
    <row r="1921" spans="1:9" x14ac:dyDescent="0.3">
      <c r="A1921" s="2" t="s">
        <v>96</v>
      </c>
      <c r="B1921" s="3">
        <v>44378.5</v>
      </c>
      <c r="C1921" s="1" t="str">
        <f t="shared" si="31"/>
        <v>21183</v>
      </c>
      <c r="D1921" t="s">
        <v>29</v>
      </c>
      <c r="E1921" s="2" t="s">
        <v>39</v>
      </c>
      <c r="F1921" s="2" t="str">
        <f>_xlfn.XLOOKUP(Table1_1[[#This Row],[CAS_rn]],[1]analyte_order!$C:$C,[1]analyte_order!$B:$B)</f>
        <v>PFMPA</v>
      </c>
      <c r="G1921" t="s">
        <v>148</v>
      </c>
      <c r="H1921" s="2">
        <f>_xlfn.XLOOKUP(Table1_1[[#This Row],[CAS_rn]],[1]analyte_order!$C:$C,[1]analyte_order!$E:$E)</f>
        <v>49</v>
      </c>
      <c r="I1921">
        <v>0.1</v>
      </c>
    </row>
    <row r="1922" spans="1:9" x14ac:dyDescent="0.3">
      <c r="A1922" s="2" t="s">
        <v>97</v>
      </c>
      <c r="B1922" s="3">
        <v>44384.5</v>
      </c>
      <c r="C1922" s="1" t="str">
        <f t="shared" si="31"/>
        <v>21189</v>
      </c>
      <c r="D1922" t="s">
        <v>26</v>
      </c>
      <c r="E1922" s="2" t="s">
        <v>39</v>
      </c>
      <c r="F1922" s="2" t="str">
        <f>_xlfn.XLOOKUP(Table1_1[[#This Row],[CAS_rn]],[1]analyte_order!$C:$C,[1]analyte_order!$B:$B)</f>
        <v>PFBA</v>
      </c>
      <c r="G1922" t="s">
        <v>109</v>
      </c>
      <c r="H1922" s="2">
        <f>_xlfn.XLOOKUP(Table1_1[[#This Row],[CAS_rn]],[1]analyte_order!$C:$C,[1]analyte_order!$E:$E)</f>
        <v>1</v>
      </c>
      <c r="I1922">
        <v>0.2</v>
      </c>
    </row>
    <row r="1923" spans="1:9" x14ac:dyDescent="0.3">
      <c r="A1923" s="2" t="s">
        <v>97</v>
      </c>
      <c r="B1923" s="3">
        <v>44384.5</v>
      </c>
      <c r="C1923" s="1" t="str">
        <f t="shared" si="31"/>
        <v>21189</v>
      </c>
      <c r="D1923" t="s">
        <v>26</v>
      </c>
      <c r="E1923" s="2" t="s">
        <v>39</v>
      </c>
      <c r="F1923" s="2" t="str">
        <f>_xlfn.XLOOKUP(Table1_1[[#This Row],[CAS_rn]],[1]analyte_order!$C:$C,[1]analyte_order!$B:$B)</f>
        <v>PFPeA</v>
      </c>
      <c r="G1923" t="s">
        <v>110</v>
      </c>
      <c r="H1923" s="2">
        <f>_xlfn.XLOOKUP(Table1_1[[#This Row],[CAS_rn]],[1]analyte_order!$C:$C,[1]analyte_order!$E:$E)</f>
        <v>2</v>
      </c>
      <c r="I1923">
        <v>0.1</v>
      </c>
    </row>
    <row r="1924" spans="1:9" x14ac:dyDescent="0.3">
      <c r="A1924" s="2" t="s">
        <v>97</v>
      </c>
      <c r="B1924" s="3">
        <v>44384.5</v>
      </c>
      <c r="C1924" s="1" t="str">
        <f t="shared" si="31"/>
        <v>21189</v>
      </c>
      <c r="D1924" t="s">
        <v>26</v>
      </c>
      <c r="E1924" s="2" t="s">
        <v>39</v>
      </c>
      <c r="F1924" s="2" t="str">
        <f>_xlfn.XLOOKUP(Table1_1[[#This Row],[CAS_rn]],[1]analyte_order!$C:$C,[1]analyte_order!$B:$B)</f>
        <v>PFHxA</v>
      </c>
      <c r="G1924" t="s">
        <v>111</v>
      </c>
      <c r="H1924" s="2">
        <f>_xlfn.XLOOKUP(Table1_1[[#This Row],[CAS_rn]],[1]analyte_order!$C:$C,[1]analyte_order!$E:$E)</f>
        <v>3</v>
      </c>
      <c r="I1924">
        <v>0.25</v>
      </c>
    </row>
    <row r="1925" spans="1:9" x14ac:dyDescent="0.3">
      <c r="A1925" s="2" t="s">
        <v>97</v>
      </c>
      <c r="B1925" s="3">
        <v>44384.5</v>
      </c>
      <c r="C1925" s="1" t="str">
        <f t="shared" si="31"/>
        <v>21189</v>
      </c>
      <c r="D1925" t="s">
        <v>26</v>
      </c>
      <c r="E1925" s="2" t="s">
        <v>39</v>
      </c>
      <c r="F1925" s="2" t="str">
        <f>_xlfn.XLOOKUP(Table1_1[[#This Row],[CAS_rn]],[1]analyte_order!$C:$C,[1]analyte_order!$B:$B)</f>
        <v>PFHpA</v>
      </c>
      <c r="G1925" t="s">
        <v>112</v>
      </c>
      <c r="H1925" s="2">
        <f>_xlfn.XLOOKUP(Table1_1[[#This Row],[CAS_rn]],[1]analyte_order!$C:$C,[1]analyte_order!$E:$E)</f>
        <v>4</v>
      </c>
      <c r="I1925">
        <v>0.09</v>
      </c>
    </row>
    <row r="1926" spans="1:9" x14ac:dyDescent="0.3">
      <c r="A1926" s="2" t="s">
        <v>97</v>
      </c>
      <c r="B1926" s="3">
        <v>44384.5</v>
      </c>
      <c r="C1926" s="1" t="str">
        <f t="shared" si="31"/>
        <v>21189</v>
      </c>
      <c r="D1926" t="s">
        <v>26</v>
      </c>
      <c r="E1926" s="2" t="s">
        <v>39</v>
      </c>
      <c r="F1926" s="2" t="str">
        <f>_xlfn.XLOOKUP(Table1_1[[#This Row],[CAS_rn]],[1]analyte_order!$C:$C,[1]analyte_order!$B:$B)</f>
        <v>PFOA</v>
      </c>
      <c r="G1926" t="s">
        <v>113</v>
      </c>
      <c r="H1926" s="2">
        <f>_xlfn.XLOOKUP(Table1_1[[#This Row],[CAS_rn]],[1]analyte_order!$C:$C,[1]analyte_order!$E:$E)</f>
        <v>5</v>
      </c>
      <c r="I1926">
        <v>0.37</v>
      </c>
    </row>
    <row r="1927" spans="1:9" x14ac:dyDescent="0.3">
      <c r="A1927" s="2" t="s">
        <v>97</v>
      </c>
      <c r="B1927" s="3">
        <v>44384.5</v>
      </c>
      <c r="C1927" s="1" t="str">
        <f t="shared" si="31"/>
        <v>21189</v>
      </c>
      <c r="D1927" t="s">
        <v>26</v>
      </c>
      <c r="E1927" s="2" t="s">
        <v>39</v>
      </c>
      <c r="F1927" s="2" t="str">
        <f>_xlfn.XLOOKUP(Table1_1[[#This Row],[CAS_rn]],[1]analyte_order!$C:$C,[1]analyte_order!$B:$B)</f>
        <v>PFNA</v>
      </c>
      <c r="G1927" t="s">
        <v>114</v>
      </c>
      <c r="H1927" s="2">
        <f>_xlfn.XLOOKUP(Table1_1[[#This Row],[CAS_rn]],[1]analyte_order!$C:$C,[1]analyte_order!$E:$E)</f>
        <v>6</v>
      </c>
      <c r="I1927">
        <v>4.9500000000000002E-2</v>
      </c>
    </row>
    <row r="1928" spans="1:9" x14ac:dyDescent="0.3">
      <c r="A1928" s="2" t="s">
        <v>97</v>
      </c>
      <c r="B1928" s="3">
        <v>44384.5</v>
      </c>
      <c r="C1928" s="1" t="str">
        <f t="shared" si="31"/>
        <v>21189</v>
      </c>
      <c r="D1928" t="s">
        <v>26</v>
      </c>
      <c r="E1928" s="2" t="s">
        <v>39</v>
      </c>
      <c r="F1928" s="2" t="str">
        <f>_xlfn.XLOOKUP(Table1_1[[#This Row],[CAS_rn]],[1]analyte_order!$C:$C,[1]analyte_order!$B:$B)</f>
        <v>PFDA</v>
      </c>
      <c r="G1928" t="s">
        <v>115</v>
      </c>
      <c r="H1928" s="2">
        <f>_xlfn.XLOOKUP(Table1_1[[#This Row],[CAS_rn]],[1]analyte_order!$C:$C,[1]analyte_order!$E:$E)</f>
        <v>7</v>
      </c>
      <c r="I1928">
        <v>4.9500000000000002E-2</v>
      </c>
    </row>
    <row r="1929" spans="1:9" x14ac:dyDescent="0.3">
      <c r="A1929" s="2" t="s">
        <v>97</v>
      </c>
      <c r="B1929" s="3">
        <v>44384.5</v>
      </c>
      <c r="C1929" s="1" t="str">
        <f t="shared" si="31"/>
        <v>21189</v>
      </c>
      <c r="D1929" t="s">
        <v>26</v>
      </c>
      <c r="E1929" s="2" t="s">
        <v>39</v>
      </c>
      <c r="F1929" s="2" t="str">
        <f>_xlfn.XLOOKUP(Table1_1[[#This Row],[CAS_rn]],[1]analyte_order!$C:$C,[1]analyte_order!$B:$B)</f>
        <v>PFUnA</v>
      </c>
      <c r="G1929" t="s">
        <v>116</v>
      </c>
      <c r="H1929" s="2">
        <f>_xlfn.XLOOKUP(Table1_1[[#This Row],[CAS_rn]],[1]analyte_order!$C:$C,[1]analyte_order!$E:$E)</f>
        <v>8</v>
      </c>
      <c r="I1929">
        <v>4.9500000000000002E-2</v>
      </c>
    </row>
    <row r="1930" spans="1:9" x14ac:dyDescent="0.3">
      <c r="A1930" s="2" t="s">
        <v>97</v>
      </c>
      <c r="B1930" s="3">
        <v>44384.5</v>
      </c>
      <c r="C1930" s="1" t="str">
        <f t="shared" si="31"/>
        <v>21189</v>
      </c>
      <c r="D1930" t="s">
        <v>26</v>
      </c>
      <c r="E1930" s="2" t="s">
        <v>39</v>
      </c>
      <c r="F1930" s="2" t="str">
        <f>_xlfn.XLOOKUP(Table1_1[[#This Row],[CAS_rn]],[1]analyte_order!$C:$C,[1]analyte_order!$B:$B)</f>
        <v>PFDoA</v>
      </c>
      <c r="G1930" t="s">
        <v>117</v>
      </c>
      <c r="H1930" s="2">
        <f>_xlfn.XLOOKUP(Table1_1[[#This Row],[CAS_rn]],[1]analyte_order!$C:$C,[1]analyte_order!$E:$E)</f>
        <v>9</v>
      </c>
      <c r="I1930">
        <v>4.9500000000000002E-2</v>
      </c>
    </row>
    <row r="1931" spans="1:9" x14ac:dyDescent="0.3">
      <c r="A1931" s="2" t="s">
        <v>97</v>
      </c>
      <c r="B1931" s="3">
        <v>44384.5</v>
      </c>
      <c r="C1931" s="1" t="str">
        <f t="shared" ref="C1931:C1994" si="32">TEXT(B1931,"yy")&amp;TEXT((B1931-DATEVALUE("1/1/"&amp;TEXT(B1931,"yy"))+1),"000")</f>
        <v>21189</v>
      </c>
      <c r="D1931" t="s">
        <v>26</v>
      </c>
      <c r="E1931" s="2" t="s">
        <v>39</v>
      </c>
      <c r="F1931" s="2" t="str">
        <f>_xlfn.XLOOKUP(Table1_1[[#This Row],[CAS_rn]],[1]analyte_order!$C:$C,[1]analyte_order!$B:$B)</f>
        <v>PFTrDA</v>
      </c>
      <c r="G1931" t="s">
        <v>118</v>
      </c>
      <c r="H1931" s="2">
        <f>_xlfn.XLOOKUP(Table1_1[[#This Row],[CAS_rn]],[1]analyte_order!$C:$C,[1]analyte_order!$E:$E)</f>
        <v>10</v>
      </c>
      <c r="I1931">
        <v>4.9500000000000002E-2</v>
      </c>
    </row>
    <row r="1932" spans="1:9" x14ac:dyDescent="0.3">
      <c r="A1932" s="2" t="s">
        <v>97</v>
      </c>
      <c r="B1932" s="3">
        <v>44384.5</v>
      </c>
      <c r="C1932" s="1" t="str">
        <f t="shared" si="32"/>
        <v>21189</v>
      </c>
      <c r="D1932" t="s">
        <v>26</v>
      </c>
      <c r="E1932" s="2" t="s">
        <v>39</v>
      </c>
      <c r="F1932" s="2" t="str">
        <f>_xlfn.XLOOKUP(Table1_1[[#This Row],[CAS_rn]],[1]analyte_order!$C:$C,[1]analyte_order!$B:$B)</f>
        <v>PFTeDA</v>
      </c>
      <c r="G1932" t="s">
        <v>119</v>
      </c>
      <c r="H1932" s="2">
        <f>_xlfn.XLOOKUP(Table1_1[[#This Row],[CAS_rn]],[1]analyte_order!$C:$C,[1]analyte_order!$E:$E)</f>
        <v>11</v>
      </c>
      <c r="I1932">
        <v>4.9500000000000002E-2</v>
      </c>
    </row>
    <row r="1933" spans="1:9" x14ac:dyDescent="0.3">
      <c r="A1933" s="2" t="s">
        <v>97</v>
      </c>
      <c r="B1933" s="3">
        <v>44384.5</v>
      </c>
      <c r="C1933" s="1" t="str">
        <f t="shared" si="32"/>
        <v>21189</v>
      </c>
      <c r="D1933" t="s">
        <v>26</v>
      </c>
      <c r="E1933" s="2" t="s">
        <v>39</v>
      </c>
      <c r="F1933" s="2" t="str">
        <f>_xlfn.XLOOKUP(Table1_1[[#This Row],[CAS_rn]],[1]analyte_order!$C:$C,[1]analyte_order!$B:$B)</f>
        <v>PFBS</v>
      </c>
      <c r="G1933" t="s">
        <v>120</v>
      </c>
      <c r="H1933" s="2">
        <f>_xlfn.XLOOKUP(Table1_1[[#This Row],[CAS_rn]],[1]analyte_order!$C:$C,[1]analyte_order!$E:$E)</f>
        <v>14</v>
      </c>
      <c r="I1933">
        <v>4.9500000000000002E-2</v>
      </c>
    </row>
    <row r="1934" spans="1:9" x14ac:dyDescent="0.3">
      <c r="A1934" s="2" t="s">
        <v>97</v>
      </c>
      <c r="B1934" s="3">
        <v>44384.5</v>
      </c>
      <c r="C1934" s="1" t="str">
        <f t="shared" si="32"/>
        <v>21189</v>
      </c>
      <c r="D1934" t="s">
        <v>26</v>
      </c>
      <c r="E1934" s="2" t="s">
        <v>39</v>
      </c>
      <c r="F1934" s="2" t="str">
        <f>_xlfn.XLOOKUP(Table1_1[[#This Row],[CAS_rn]],[1]analyte_order!$C:$C,[1]analyte_order!$B:$B)</f>
        <v>PFPeS</v>
      </c>
      <c r="G1934" t="s">
        <v>121</v>
      </c>
      <c r="H1934" s="2">
        <f>_xlfn.XLOOKUP(Table1_1[[#This Row],[CAS_rn]],[1]analyte_order!$C:$C,[1]analyte_order!$E:$E)</f>
        <v>15</v>
      </c>
      <c r="I1934">
        <v>4.9500000000000002E-2</v>
      </c>
    </row>
    <row r="1935" spans="1:9" x14ac:dyDescent="0.3">
      <c r="A1935" s="2" t="s">
        <v>97</v>
      </c>
      <c r="B1935" s="3">
        <v>44384.5</v>
      </c>
      <c r="C1935" s="1" t="str">
        <f t="shared" si="32"/>
        <v>21189</v>
      </c>
      <c r="D1935" t="s">
        <v>26</v>
      </c>
      <c r="E1935" s="2" t="s">
        <v>39</v>
      </c>
      <c r="F1935" s="2" t="str">
        <f>_xlfn.XLOOKUP(Table1_1[[#This Row],[CAS_rn]],[1]analyte_order!$C:$C,[1]analyte_order!$B:$B)</f>
        <v>PFHxS</v>
      </c>
      <c r="G1935" t="s">
        <v>122</v>
      </c>
      <c r="H1935" s="2">
        <f>_xlfn.XLOOKUP(Table1_1[[#This Row],[CAS_rn]],[1]analyte_order!$C:$C,[1]analyte_order!$E:$E)</f>
        <v>16</v>
      </c>
      <c r="I1935">
        <v>0.37</v>
      </c>
    </row>
    <row r="1936" spans="1:9" x14ac:dyDescent="0.3">
      <c r="A1936" s="2" t="s">
        <v>97</v>
      </c>
      <c r="B1936" s="3">
        <v>44384.5</v>
      </c>
      <c r="C1936" s="1" t="str">
        <f t="shared" si="32"/>
        <v>21189</v>
      </c>
      <c r="D1936" t="s">
        <v>26</v>
      </c>
      <c r="E1936" s="2" t="s">
        <v>39</v>
      </c>
      <c r="F1936" s="2" t="str">
        <f>_xlfn.XLOOKUP(Table1_1[[#This Row],[CAS_rn]],[1]analyte_order!$C:$C,[1]analyte_order!$B:$B)</f>
        <v>PFHpS</v>
      </c>
      <c r="G1936" t="s">
        <v>123</v>
      </c>
      <c r="H1936" s="2">
        <f>_xlfn.XLOOKUP(Table1_1[[#This Row],[CAS_rn]],[1]analyte_order!$C:$C,[1]analyte_order!$E:$E)</f>
        <v>17</v>
      </c>
      <c r="I1936">
        <v>4.9500000000000002E-2</v>
      </c>
    </row>
    <row r="1937" spans="1:9" x14ac:dyDescent="0.3">
      <c r="A1937" s="2" t="s">
        <v>97</v>
      </c>
      <c r="B1937" s="3">
        <v>44384.5</v>
      </c>
      <c r="C1937" s="1" t="str">
        <f t="shared" si="32"/>
        <v>21189</v>
      </c>
      <c r="D1937" t="s">
        <v>26</v>
      </c>
      <c r="E1937" s="2" t="s">
        <v>39</v>
      </c>
      <c r="F1937" s="2" t="str">
        <f>_xlfn.XLOOKUP(Table1_1[[#This Row],[CAS_rn]],[1]analyte_order!$C:$C,[1]analyte_order!$B:$B)</f>
        <v>PFOS</v>
      </c>
      <c r="G1937" t="s">
        <v>124</v>
      </c>
      <c r="H1937" s="2">
        <f>_xlfn.XLOOKUP(Table1_1[[#This Row],[CAS_rn]],[1]analyte_order!$C:$C,[1]analyte_order!$E:$E)</f>
        <v>18</v>
      </c>
      <c r="I1937">
        <v>1.1000000000000001</v>
      </c>
    </row>
    <row r="1938" spans="1:9" x14ac:dyDescent="0.3">
      <c r="A1938" s="2" t="s">
        <v>97</v>
      </c>
      <c r="B1938" s="3">
        <v>44384.5</v>
      </c>
      <c r="C1938" s="1" t="str">
        <f t="shared" si="32"/>
        <v>21189</v>
      </c>
      <c r="D1938" t="s">
        <v>26</v>
      </c>
      <c r="E1938" s="2" t="s">
        <v>39</v>
      </c>
      <c r="F1938" s="2" t="str">
        <f>_xlfn.XLOOKUP(Table1_1[[#This Row],[CAS_rn]],[1]analyte_order!$C:$C,[1]analyte_order!$B:$B)</f>
        <v>PFNS</v>
      </c>
      <c r="G1938" t="s">
        <v>125</v>
      </c>
      <c r="H1938" s="2">
        <f>_xlfn.XLOOKUP(Table1_1[[#This Row],[CAS_rn]],[1]analyte_order!$C:$C,[1]analyte_order!$E:$E)</f>
        <v>19</v>
      </c>
      <c r="I1938">
        <v>4.9500000000000002E-2</v>
      </c>
    </row>
    <row r="1939" spans="1:9" x14ac:dyDescent="0.3">
      <c r="A1939" s="2" t="s">
        <v>97</v>
      </c>
      <c r="B1939" s="3">
        <v>44384.5</v>
      </c>
      <c r="C1939" s="1" t="str">
        <f t="shared" si="32"/>
        <v>21189</v>
      </c>
      <c r="D1939" t="s">
        <v>26</v>
      </c>
      <c r="E1939" s="2" t="s">
        <v>39</v>
      </c>
      <c r="F1939" s="2" t="str">
        <f>_xlfn.XLOOKUP(Table1_1[[#This Row],[CAS_rn]],[1]analyte_order!$C:$C,[1]analyte_order!$B:$B)</f>
        <v>PFDoS</v>
      </c>
      <c r="G1939" t="s">
        <v>126</v>
      </c>
      <c r="H1939" s="2">
        <f>_xlfn.XLOOKUP(Table1_1[[#This Row],[CAS_rn]],[1]analyte_order!$C:$C,[1]analyte_order!$E:$E)</f>
        <v>21</v>
      </c>
      <c r="I1939">
        <v>4.9500000000000002E-2</v>
      </c>
    </row>
    <row r="1940" spans="1:9" x14ac:dyDescent="0.3">
      <c r="A1940" s="2" t="s">
        <v>97</v>
      </c>
      <c r="B1940" s="3">
        <v>44384.5</v>
      </c>
      <c r="C1940" s="1" t="str">
        <f t="shared" si="32"/>
        <v>21189</v>
      </c>
      <c r="D1940" t="s">
        <v>26</v>
      </c>
      <c r="E1940" s="2" t="s">
        <v>39</v>
      </c>
      <c r="F1940" s="2" t="str">
        <f>_xlfn.XLOOKUP(Table1_1[[#This Row],[CAS_rn]],[1]analyte_order!$C:$C,[1]analyte_order!$B:$B)</f>
        <v>4:2 FTS</v>
      </c>
      <c r="G1940" t="s">
        <v>127</v>
      </c>
      <c r="H1940" s="2">
        <f>_xlfn.XLOOKUP(Table1_1[[#This Row],[CAS_rn]],[1]analyte_order!$C:$C,[1]analyte_order!$E:$E)</f>
        <v>22</v>
      </c>
      <c r="I1940">
        <v>0.2</v>
      </c>
    </row>
    <row r="1941" spans="1:9" x14ac:dyDescent="0.3">
      <c r="A1941" s="2" t="s">
        <v>97</v>
      </c>
      <c r="B1941" s="3">
        <v>44384.5</v>
      </c>
      <c r="C1941" s="1" t="str">
        <f t="shared" si="32"/>
        <v>21189</v>
      </c>
      <c r="D1941" t="s">
        <v>26</v>
      </c>
      <c r="E1941" s="2" t="s">
        <v>39</v>
      </c>
      <c r="F1941" s="2" t="str">
        <f>_xlfn.XLOOKUP(Table1_1[[#This Row],[CAS_rn]],[1]analyte_order!$C:$C,[1]analyte_order!$B:$B)</f>
        <v>6:2 FTS</v>
      </c>
      <c r="G1941" t="s">
        <v>128</v>
      </c>
      <c r="H1941" s="2">
        <f>_xlfn.XLOOKUP(Table1_1[[#This Row],[CAS_rn]],[1]analyte_order!$C:$C,[1]analyte_order!$E:$E)</f>
        <v>23</v>
      </c>
      <c r="I1941">
        <v>0.4</v>
      </c>
    </row>
    <row r="1942" spans="1:9" x14ac:dyDescent="0.3">
      <c r="A1942" s="2" t="s">
        <v>97</v>
      </c>
      <c r="B1942" s="3">
        <v>44384.5</v>
      </c>
      <c r="C1942" s="1" t="str">
        <f t="shared" si="32"/>
        <v>21189</v>
      </c>
      <c r="D1942" t="s">
        <v>26</v>
      </c>
      <c r="E1942" s="2" t="s">
        <v>39</v>
      </c>
      <c r="F1942" s="2" t="str">
        <f>_xlfn.XLOOKUP(Table1_1[[#This Row],[CAS_rn]],[1]analyte_order!$C:$C,[1]analyte_order!$B:$B)</f>
        <v>8:2 FTS</v>
      </c>
      <c r="G1942" t="s">
        <v>129</v>
      </c>
      <c r="H1942" s="2">
        <f>_xlfn.XLOOKUP(Table1_1[[#This Row],[CAS_rn]],[1]analyte_order!$C:$C,[1]analyte_order!$E:$E)</f>
        <v>24</v>
      </c>
      <c r="I1942">
        <v>0.4</v>
      </c>
    </row>
    <row r="1943" spans="1:9" x14ac:dyDescent="0.3">
      <c r="A1943" s="2" t="s">
        <v>97</v>
      </c>
      <c r="B1943" s="3">
        <v>44384.5</v>
      </c>
      <c r="C1943" s="1" t="str">
        <f t="shared" si="32"/>
        <v>21189</v>
      </c>
      <c r="D1943" t="s">
        <v>26</v>
      </c>
      <c r="E1943" s="2" t="s">
        <v>39</v>
      </c>
      <c r="F1943" s="2" t="str">
        <f>_xlfn.XLOOKUP(Table1_1[[#This Row],[CAS_rn]],[1]analyte_order!$C:$C,[1]analyte_order!$B:$B)</f>
        <v>FOSA</v>
      </c>
      <c r="G1943" t="s">
        <v>130</v>
      </c>
      <c r="H1943" s="2">
        <f>_xlfn.XLOOKUP(Table1_1[[#This Row],[CAS_rn]],[1]analyte_order!$C:$C,[1]analyte_order!$E:$E)</f>
        <v>28</v>
      </c>
      <c r="I1943">
        <v>0.09</v>
      </c>
    </row>
    <row r="1944" spans="1:9" x14ac:dyDescent="0.3">
      <c r="A1944" s="2" t="s">
        <v>97</v>
      </c>
      <c r="B1944" s="3">
        <v>44384.5</v>
      </c>
      <c r="C1944" s="1" t="str">
        <f t="shared" si="32"/>
        <v>21189</v>
      </c>
      <c r="D1944" t="s">
        <v>26</v>
      </c>
      <c r="E1944" s="2" t="s">
        <v>39</v>
      </c>
      <c r="F1944" s="2" t="str">
        <f>_xlfn.XLOOKUP(Table1_1[[#This Row],[CAS_rn]],[1]analyte_order!$C:$C,[1]analyte_order!$B:$B)</f>
        <v>N-MeFOSA</v>
      </c>
      <c r="G1944" t="s">
        <v>131</v>
      </c>
      <c r="H1944" s="2">
        <f>_xlfn.XLOOKUP(Table1_1[[#This Row],[CAS_rn]],[1]analyte_order!$C:$C,[1]analyte_order!$E:$E)</f>
        <v>30</v>
      </c>
      <c r="I1944">
        <v>4.9500000000000002E-2</v>
      </c>
    </row>
    <row r="1945" spans="1:9" x14ac:dyDescent="0.3">
      <c r="A1945" s="2" t="s">
        <v>97</v>
      </c>
      <c r="B1945" s="3">
        <v>44384.5</v>
      </c>
      <c r="C1945" s="1" t="str">
        <f t="shared" si="32"/>
        <v>21189</v>
      </c>
      <c r="D1945" t="s">
        <v>26</v>
      </c>
      <c r="E1945" s="2" t="s">
        <v>39</v>
      </c>
      <c r="F1945" s="2" t="str">
        <f>_xlfn.XLOOKUP(Table1_1[[#This Row],[CAS_rn]],[1]analyte_order!$C:$C,[1]analyte_order!$B:$B)</f>
        <v>N-MeFOSAA</v>
      </c>
      <c r="G1945" t="s">
        <v>132</v>
      </c>
      <c r="H1945" s="2">
        <f>_xlfn.XLOOKUP(Table1_1[[#This Row],[CAS_rn]],[1]analyte_order!$C:$C,[1]analyte_order!$E:$E)</f>
        <v>26</v>
      </c>
      <c r="I1945">
        <v>4.9500000000000002E-2</v>
      </c>
    </row>
    <row r="1946" spans="1:9" x14ac:dyDescent="0.3">
      <c r="A1946" s="2" t="s">
        <v>97</v>
      </c>
      <c r="B1946" s="3">
        <v>44384.5</v>
      </c>
      <c r="C1946" s="1" t="str">
        <f t="shared" si="32"/>
        <v>21189</v>
      </c>
      <c r="D1946" t="s">
        <v>26</v>
      </c>
      <c r="E1946" s="2" t="s">
        <v>39</v>
      </c>
      <c r="F1946" s="2" t="str">
        <f>_xlfn.XLOOKUP(Table1_1[[#This Row],[CAS_rn]],[1]analyte_order!$C:$C,[1]analyte_order!$B:$B)</f>
        <v>N-EtFOSA</v>
      </c>
      <c r="G1946" t="s">
        <v>133</v>
      </c>
      <c r="H1946" s="2">
        <f>_xlfn.XLOOKUP(Table1_1[[#This Row],[CAS_rn]],[1]analyte_order!$C:$C,[1]analyte_order!$E:$E)</f>
        <v>31</v>
      </c>
      <c r="I1946">
        <v>4.9500000000000002E-2</v>
      </c>
    </row>
    <row r="1947" spans="1:9" x14ac:dyDescent="0.3">
      <c r="A1947" s="2" t="s">
        <v>97</v>
      </c>
      <c r="B1947" s="3">
        <v>44384.5</v>
      </c>
      <c r="C1947" s="1" t="str">
        <f t="shared" si="32"/>
        <v>21189</v>
      </c>
      <c r="D1947" t="s">
        <v>26</v>
      </c>
      <c r="E1947" s="2" t="s">
        <v>39</v>
      </c>
      <c r="F1947" s="2" t="str">
        <f>_xlfn.XLOOKUP(Table1_1[[#This Row],[CAS_rn]],[1]analyte_order!$C:$C,[1]analyte_order!$B:$B)</f>
        <v>N-EtFOSAA</v>
      </c>
      <c r="G1947" t="s">
        <v>134</v>
      </c>
      <c r="H1947" s="2">
        <f>_xlfn.XLOOKUP(Table1_1[[#This Row],[CAS_rn]],[1]analyte_order!$C:$C,[1]analyte_order!$E:$E)</f>
        <v>27</v>
      </c>
      <c r="I1947">
        <v>4.9500000000000002E-2</v>
      </c>
    </row>
    <row r="1948" spans="1:9" x14ac:dyDescent="0.3">
      <c r="A1948" s="2" t="s">
        <v>97</v>
      </c>
      <c r="B1948" s="3">
        <v>44384.5</v>
      </c>
      <c r="C1948" s="1" t="str">
        <f t="shared" si="32"/>
        <v>21189</v>
      </c>
      <c r="D1948" t="s">
        <v>26</v>
      </c>
      <c r="E1948" s="2" t="s">
        <v>39</v>
      </c>
      <c r="F1948" s="2" t="str">
        <f>_xlfn.XLOOKUP(Table1_1[[#This Row],[CAS_rn]],[1]analyte_order!$C:$C,[1]analyte_order!$B:$B)</f>
        <v>N-MeFOSE</v>
      </c>
      <c r="G1948" t="s">
        <v>135</v>
      </c>
      <c r="H1948" s="2">
        <f>_xlfn.XLOOKUP(Table1_1[[#This Row],[CAS_rn]],[1]analyte_order!$C:$C,[1]analyte_order!$E:$E)</f>
        <v>32</v>
      </c>
      <c r="I1948">
        <v>0.495</v>
      </c>
    </row>
    <row r="1949" spans="1:9" x14ac:dyDescent="0.3">
      <c r="A1949" s="2" t="s">
        <v>97</v>
      </c>
      <c r="B1949" s="3">
        <v>44384.5</v>
      </c>
      <c r="C1949" s="1" t="str">
        <f t="shared" si="32"/>
        <v>21189</v>
      </c>
      <c r="D1949" t="s">
        <v>26</v>
      </c>
      <c r="E1949" s="2" t="s">
        <v>39</v>
      </c>
      <c r="F1949" s="2" t="str">
        <f>_xlfn.XLOOKUP(Table1_1[[#This Row],[CAS_rn]],[1]analyte_order!$C:$C,[1]analyte_order!$B:$B)</f>
        <v>N-EtFOSE</v>
      </c>
      <c r="G1949" t="s">
        <v>136</v>
      </c>
      <c r="H1949" s="2">
        <f>_xlfn.XLOOKUP(Table1_1[[#This Row],[CAS_rn]],[1]analyte_order!$C:$C,[1]analyte_order!$E:$E)</f>
        <v>33</v>
      </c>
      <c r="I1949">
        <v>0.495</v>
      </c>
    </row>
    <row r="1950" spans="1:9" x14ac:dyDescent="0.3">
      <c r="A1950" s="2" t="s">
        <v>97</v>
      </c>
      <c r="B1950" s="3">
        <v>44384.5</v>
      </c>
      <c r="C1950" s="1" t="str">
        <f t="shared" si="32"/>
        <v>21189</v>
      </c>
      <c r="D1950" t="s">
        <v>26</v>
      </c>
      <c r="E1950" s="2" t="s">
        <v>39</v>
      </c>
      <c r="F1950" s="2" t="str">
        <f>_xlfn.XLOOKUP(Table1_1[[#This Row],[CAS_rn]],[1]analyte_order!$C:$C,[1]analyte_order!$B:$B)</f>
        <v>HFPO-DA</v>
      </c>
      <c r="G1950" t="s">
        <v>137</v>
      </c>
      <c r="H1950" s="2">
        <f>_xlfn.XLOOKUP(Table1_1[[#This Row],[CAS_rn]],[1]analyte_order!$C:$C,[1]analyte_order!$E:$E)</f>
        <v>34</v>
      </c>
      <c r="I1950">
        <v>0.3</v>
      </c>
    </row>
    <row r="1951" spans="1:9" x14ac:dyDescent="0.3">
      <c r="A1951" s="2" t="s">
        <v>97</v>
      </c>
      <c r="B1951" s="3">
        <v>44384.5</v>
      </c>
      <c r="C1951" s="1" t="str">
        <f t="shared" si="32"/>
        <v>21189</v>
      </c>
      <c r="D1951" t="s">
        <v>26</v>
      </c>
      <c r="E1951" s="2" t="s">
        <v>39</v>
      </c>
      <c r="F1951" s="2" t="str">
        <f>_xlfn.XLOOKUP(Table1_1[[#This Row],[CAS_rn]],[1]analyte_order!$C:$C,[1]analyte_order!$B:$B)</f>
        <v>ADONA</v>
      </c>
      <c r="G1951" t="s">
        <v>138</v>
      </c>
      <c r="H1951" s="2">
        <f>_xlfn.XLOOKUP(Table1_1[[#This Row],[CAS_rn]],[1]analyte_order!$C:$C,[1]analyte_order!$E:$E)</f>
        <v>35</v>
      </c>
      <c r="I1951">
        <v>0.2</v>
      </c>
    </row>
    <row r="1952" spans="1:9" x14ac:dyDescent="0.3">
      <c r="A1952" s="2" t="s">
        <v>97</v>
      </c>
      <c r="B1952" s="3">
        <v>44384.5</v>
      </c>
      <c r="C1952" s="1" t="str">
        <f t="shared" si="32"/>
        <v>21189</v>
      </c>
      <c r="D1952" t="s">
        <v>26</v>
      </c>
      <c r="E1952" s="2" t="s">
        <v>39</v>
      </c>
      <c r="F1952" s="2" t="str">
        <f>_xlfn.XLOOKUP(Table1_1[[#This Row],[CAS_rn]],[1]analyte_order!$C:$C,[1]analyte_order!$B:$B)</f>
        <v>PFMBA</v>
      </c>
      <c r="G1952" t="s">
        <v>139</v>
      </c>
      <c r="H1952" s="2">
        <f>_xlfn.XLOOKUP(Table1_1[[#This Row],[CAS_rn]],[1]analyte_order!$C:$C,[1]analyte_order!$E:$E)</f>
        <v>48</v>
      </c>
      <c r="I1952">
        <v>0.1</v>
      </c>
    </row>
    <row r="1953" spans="1:9" x14ac:dyDescent="0.3">
      <c r="A1953" s="2" t="s">
        <v>97</v>
      </c>
      <c r="B1953" s="3">
        <v>44384.5</v>
      </c>
      <c r="C1953" s="1" t="str">
        <f t="shared" si="32"/>
        <v>21189</v>
      </c>
      <c r="D1953" t="s">
        <v>26</v>
      </c>
      <c r="E1953" s="2" t="s">
        <v>39</v>
      </c>
      <c r="F1953" s="2" t="str">
        <f>_xlfn.XLOOKUP(Table1_1[[#This Row],[CAS_rn]],[1]analyte_order!$C:$C,[1]analyte_order!$B:$B)</f>
        <v>NFDHA</v>
      </c>
      <c r="G1953" t="s">
        <v>140</v>
      </c>
      <c r="H1953" s="2">
        <f>_xlfn.XLOOKUP(Table1_1[[#This Row],[CAS_rn]],[1]analyte_order!$C:$C,[1]analyte_order!$E:$E)</f>
        <v>50</v>
      </c>
      <c r="I1953">
        <v>0.1</v>
      </c>
    </row>
    <row r="1954" spans="1:9" x14ac:dyDescent="0.3">
      <c r="A1954" s="2" t="s">
        <v>97</v>
      </c>
      <c r="B1954" s="3">
        <v>44384.5</v>
      </c>
      <c r="C1954" s="1" t="str">
        <f t="shared" si="32"/>
        <v>21189</v>
      </c>
      <c r="D1954" t="s">
        <v>26</v>
      </c>
      <c r="E1954" s="2" t="s">
        <v>39</v>
      </c>
      <c r="F1954" s="2" t="str">
        <f>_xlfn.XLOOKUP(Table1_1[[#This Row],[CAS_rn]],[1]analyte_order!$C:$C,[1]analyte_order!$B:$B)</f>
        <v>9Cl-PF3ONS</v>
      </c>
      <c r="G1954" t="s">
        <v>141</v>
      </c>
      <c r="H1954" s="2">
        <f>_xlfn.XLOOKUP(Table1_1[[#This Row],[CAS_rn]],[1]analyte_order!$C:$C,[1]analyte_order!$E:$E)</f>
        <v>36</v>
      </c>
      <c r="I1954">
        <v>0.2</v>
      </c>
    </row>
    <row r="1955" spans="1:9" x14ac:dyDescent="0.3">
      <c r="A1955" s="2" t="s">
        <v>97</v>
      </c>
      <c r="B1955" s="3">
        <v>44384.5</v>
      </c>
      <c r="C1955" s="1" t="str">
        <f t="shared" si="32"/>
        <v>21189</v>
      </c>
      <c r="D1955" t="s">
        <v>26</v>
      </c>
      <c r="E1955" s="2" t="s">
        <v>39</v>
      </c>
      <c r="F1955" s="2" t="str">
        <f>_xlfn.XLOOKUP(Table1_1[[#This Row],[CAS_rn]],[1]analyte_order!$C:$C,[1]analyte_order!$B:$B)</f>
        <v>11Cl-PF3OUdS</v>
      </c>
      <c r="G1955" t="s">
        <v>142</v>
      </c>
      <c r="H1955" s="2">
        <f>_xlfn.XLOOKUP(Table1_1[[#This Row],[CAS_rn]],[1]analyte_order!$C:$C,[1]analyte_order!$E:$E)</f>
        <v>37</v>
      </c>
      <c r="I1955">
        <v>0.2</v>
      </c>
    </row>
    <row r="1956" spans="1:9" x14ac:dyDescent="0.3">
      <c r="A1956" s="2" t="s">
        <v>97</v>
      </c>
      <c r="B1956" s="3">
        <v>44384.5</v>
      </c>
      <c r="C1956" s="1" t="str">
        <f t="shared" si="32"/>
        <v>21189</v>
      </c>
      <c r="D1956" t="s">
        <v>26</v>
      </c>
      <c r="E1956" s="2" t="s">
        <v>39</v>
      </c>
      <c r="F1956" s="2" t="str">
        <f>_xlfn.XLOOKUP(Table1_1[[#This Row],[CAS_rn]],[1]analyte_order!$C:$C,[1]analyte_order!$B:$B)</f>
        <v>PFEESA</v>
      </c>
      <c r="G1956" t="s">
        <v>143</v>
      </c>
      <c r="H1956" s="2">
        <f>_xlfn.XLOOKUP(Table1_1[[#This Row],[CAS_rn]],[1]analyte_order!$C:$C,[1]analyte_order!$E:$E)</f>
        <v>47</v>
      </c>
      <c r="I1956">
        <v>0.1</v>
      </c>
    </row>
    <row r="1957" spans="1:9" x14ac:dyDescent="0.3">
      <c r="A1957" s="2" t="s">
        <v>97</v>
      </c>
      <c r="B1957" s="3">
        <v>44384.5</v>
      </c>
      <c r="C1957" s="1" t="str">
        <f t="shared" si="32"/>
        <v>21189</v>
      </c>
      <c r="D1957" t="s">
        <v>26</v>
      </c>
      <c r="E1957" s="2" t="s">
        <v>39</v>
      </c>
      <c r="F1957" s="2" t="str">
        <f>_xlfn.XLOOKUP(Table1_1[[#This Row],[CAS_rn]],[1]analyte_order!$C:$C,[1]analyte_order!$B:$B)</f>
        <v>3:3 FTCA</v>
      </c>
      <c r="G1957" t="s">
        <v>144</v>
      </c>
      <c r="H1957" s="2">
        <f>_xlfn.XLOOKUP(Table1_1[[#This Row],[CAS_rn]],[1]analyte_order!$C:$C,[1]analyte_order!$E:$E)</f>
        <v>38</v>
      </c>
      <c r="I1957">
        <v>0.25</v>
      </c>
    </row>
    <row r="1958" spans="1:9" x14ac:dyDescent="0.3">
      <c r="A1958" s="2" t="s">
        <v>97</v>
      </c>
      <c r="B1958" s="3">
        <v>44384.5</v>
      </c>
      <c r="C1958" s="1" t="str">
        <f t="shared" si="32"/>
        <v>21189</v>
      </c>
      <c r="D1958" t="s">
        <v>26</v>
      </c>
      <c r="E1958" s="2" t="s">
        <v>39</v>
      </c>
      <c r="F1958" s="2" t="str">
        <f>_xlfn.XLOOKUP(Table1_1[[#This Row],[CAS_rn]],[1]analyte_order!$C:$C,[1]analyte_order!$B:$B)</f>
        <v>5:3 FTCA</v>
      </c>
      <c r="G1958" t="s">
        <v>145</v>
      </c>
      <c r="H1958" s="2">
        <f>_xlfn.XLOOKUP(Table1_1[[#This Row],[CAS_rn]],[1]analyte_order!$C:$C,[1]analyte_order!$E:$E)</f>
        <v>39</v>
      </c>
      <c r="I1958">
        <v>1.25</v>
      </c>
    </row>
    <row r="1959" spans="1:9" x14ac:dyDescent="0.3">
      <c r="A1959" s="2" t="s">
        <v>97</v>
      </c>
      <c r="B1959" s="3">
        <v>44384.5</v>
      </c>
      <c r="C1959" s="1" t="str">
        <f t="shared" si="32"/>
        <v>21189</v>
      </c>
      <c r="D1959" t="s">
        <v>26</v>
      </c>
      <c r="E1959" s="2" t="s">
        <v>39</v>
      </c>
      <c r="F1959" s="2" t="str">
        <f>_xlfn.XLOOKUP(Table1_1[[#This Row],[CAS_rn]],[1]analyte_order!$C:$C,[1]analyte_order!$B:$B)</f>
        <v>7:3 FTCA</v>
      </c>
      <c r="G1959" t="s">
        <v>146</v>
      </c>
      <c r="H1959" s="2">
        <f>_xlfn.XLOOKUP(Table1_1[[#This Row],[CAS_rn]],[1]analyte_order!$C:$C,[1]analyte_order!$E:$E)</f>
        <v>40</v>
      </c>
      <c r="I1959">
        <v>1.25</v>
      </c>
    </row>
    <row r="1960" spans="1:9" x14ac:dyDescent="0.3">
      <c r="A1960" s="2" t="s">
        <v>97</v>
      </c>
      <c r="B1960" s="3">
        <v>44384.5</v>
      </c>
      <c r="C1960" s="1" t="str">
        <f t="shared" si="32"/>
        <v>21189</v>
      </c>
      <c r="D1960" t="s">
        <v>26</v>
      </c>
      <c r="E1960" s="2" t="s">
        <v>39</v>
      </c>
      <c r="F1960" s="2" t="str">
        <f>_xlfn.XLOOKUP(Table1_1[[#This Row],[CAS_rn]],[1]analyte_order!$C:$C,[1]analyte_order!$B:$B)</f>
        <v>PFDS</v>
      </c>
      <c r="G1960" t="s">
        <v>147</v>
      </c>
      <c r="H1960" s="2">
        <f>_xlfn.XLOOKUP(Table1_1[[#This Row],[CAS_rn]],[1]analyte_order!$C:$C,[1]analyte_order!$E:$E)</f>
        <v>20</v>
      </c>
      <c r="I1960">
        <v>4.9500000000000002E-2</v>
      </c>
    </row>
    <row r="1961" spans="1:9" x14ac:dyDescent="0.3">
      <c r="A1961" s="2" t="s">
        <v>97</v>
      </c>
      <c r="B1961" s="3">
        <v>44384.5</v>
      </c>
      <c r="C1961" s="1" t="str">
        <f t="shared" si="32"/>
        <v>21189</v>
      </c>
      <c r="D1961" t="s">
        <v>26</v>
      </c>
      <c r="E1961" s="2" t="s">
        <v>39</v>
      </c>
      <c r="F1961" s="2" t="str">
        <f>_xlfn.XLOOKUP(Table1_1[[#This Row],[CAS_rn]],[1]analyte_order!$C:$C,[1]analyte_order!$B:$B)</f>
        <v>PFMPA</v>
      </c>
      <c r="G1961" t="s">
        <v>148</v>
      </c>
      <c r="H1961" s="2">
        <f>_xlfn.XLOOKUP(Table1_1[[#This Row],[CAS_rn]],[1]analyte_order!$C:$C,[1]analyte_order!$E:$E)</f>
        <v>49</v>
      </c>
      <c r="I1961">
        <v>0.1</v>
      </c>
    </row>
    <row r="1962" spans="1:9" x14ac:dyDescent="0.3">
      <c r="A1962" s="2" t="s">
        <v>98</v>
      </c>
      <c r="B1962" s="3">
        <v>44384.5</v>
      </c>
      <c r="C1962" s="1" t="str">
        <f t="shared" si="32"/>
        <v>21189</v>
      </c>
      <c r="D1962" t="s">
        <v>31</v>
      </c>
      <c r="E1962" s="2" t="s">
        <v>39</v>
      </c>
      <c r="F1962" s="2" t="str">
        <f>_xlfn.XLOOKUP(Table1_1[[#This Row],[CAS_rn]],[1]analyte_order!$C:$C,[1]analyte_order!$B:$B)</f>
        <v>PFBA</v>
      </c>
      <c r="G1962" t="s">
        <v>109</v>
      </c>
      <c r="H1962" s="2">
        <f>_xlfn.XLOOKUP(Table1_1[[#This Row],[CAS_rn]],[1]analyte_order!$C:$C,[1]analyte_order!$E:$E)</f>
        <v>1</v>
      </c>
      <c r="I1962">
        <v>0.2</v>
      </c>
    </row>
    <row r="1963" spans="1:9" x14ac:dyDescent="0.3">
      <c r="A1963" s="2" t="s">
        <v>98</v>
      </c>
      <c r="B1963" s="3">
        <v>44384.5</v>
      </c>
      <c r="C1963" s="1" t="str">
        <f t="shared" si="32"/>
        <v>21189</v>
      </c>
      <c r="D1963" t="s">
        <v>31</v>
      </c>
      <c r="E1963" s="2" t="s">
        <v>39</v>
      </c>
      <c r="F1963" s="2" t="str">
        <f>_xlfn.XLOOKUP(Table1_1[[#This Row],[CAS_rn]],[1]analyte_order!$C:$C,[1]analyte_order!$B:$B)</f>
        <v>PFPeA</v>
      </c>
      <c r="G1963" t="s">
        <v>110</v>
      </c>
      <c r="H1963" s="2">
        <f>_xlfn.XLOOKUP(Table1_1[[#This Row],[CAS_rn]],[1]analyte_order!$C:$C,[1]analyte_order!$E:$E)</f>
        <v>2</v>
      </c>
      <c r="I1963">
        <v>0.1</v>
      </c>
    </row>
    <row r="1964" spans="1:9" x14ac:dyDescent="0.3">
      <c r="A1964" s="2" t="s">
        <v>98</v>
      </c>
      <c r="B1964" s="3">
        <v>44384.5</v>
      </c>
      <c r="C1964" s="1" t="str">
        <f t="shared" si="32"/>
        <v>21189</v>
      </c>
      <c r="D1964" t="s">
        <v>31</v>
      </c>
      <c r="E1964" s="2" t="s">
        <v>39</v>
      </c>
      <c r="F1964" s="2" t="str">
        <f>_xlfn.XLOOKUP(Table1_1[[#This Row],[CAS_rn]],[1]analyte_order!$C:$C,[1]analyte_order!$B:$B)</f>
        <v>PFHxA</v>
      </c>
      <c r="G1964" t="s">
        <v>111</v>
      </c>
      <c r="H1964" s="2">
        <f>_xlfn.XLOOKUP(Table1_1[[#This Row],[CAS_rn]],[1]analyte_order!$C:$C,[1]analyte_order!$E:$E)</f>
        <v>3</v>
      </c>
      <c r="I1964">
        <v>0.19</v>
      </c>
    </row>
    <row r="1965" spans="1:9" x14ac:dyDescent="0.3">
      <c r="A1965" s="2" t="s">
        <v>98</v>
      </c>
      <c r="B1965" s="3">
        <v>44384.5</v>
      </c>
      <c r="C1965" s="1" t="str">
        <f t="shared" si="32"/>
        <v>21189</v>
      </c>
      <c r="D1965" t="s">
        <v>31</v>
      </c>
      <c r="E1965" s="2" t="s">
        <v>39</v>
      </c>
      <c r="F1965" s="2" t="str">
        <f>_xlfn.XLOOKUP(Table1_1[[#This Row],[CAS_rn]],[1]analyte_order!$C:$C,[1]analyte_order!$B:$B)</f>
        <v>PFHpA</v>
      </c>
      <c r="G1965" t="s">
        <v>112</v>
      </c>
      <c r="H1965" s="2">
        <f>_xlfn.XLOOKUP(Table1_1[[#This Row],[CAS_rn]],[1]analyte_order!$C:$C,[1]analyte_order!$E:$E)</f>
        <v>4</v>
      </c>
      <c r="I1965">
        <v>0.09</v>
      </c>
    </row>
    <row r="1966" spans="1:9" x14ac:dyDescent="0.3">
      <c r="A1966" s="2" t="s">
        <v>98</v>
      </c>
      <c r="B1966" s="3">
        <v>44384.5</v>
      </c>
      <c r="C1966" s="1" t="str">
        <f t="shared" si="32"/>
        <v>21189</v>
      </c>
      <c r="D1966" t="s">
        <v>31</v>
      </c>
      <c r="E1966" s="2" t="s">
        <v>39</v>
      </c>
      <c r="F1966" s="2" t="str">
        <f>_xlfn.XLOOKUP(Table1_1[[#This Row],[CAS_rn]],[1]analyte_order!$C:$C,[1]analyte_order!$B:$B)</f>
        <v>PFOA</v>
      </c>
      <c r="G1966" t="s">
        <v>113</v>
      </c>
      <c r="H1966" s="2">
        <f>_xlfn.XLOOKUP(Table1_1[[#This Row],[CAS_rn]],[1]analyte_order!$C:$C,[1]analyte_order!$E:$E)</f>
        <v>5</v>
      </c>
      <c r="I1966">
        <v>0.28999999999999998</v>
      </c>
    </row>
    <row r="1967" spans="1:9" x14ac:dyDescent="0.3">
      <c r="A1967" s="2" t="s">
        <v>98</v>
      </c>
      <c r="B1967" s="3">
        <v>44384.5</v>
      </c>
      <c r="C1967" s="1" t="str">
        <f t="shared" si="32"/>
        <v>21189</v>
      </c>
      <c r="D1967" t="s">
        <v>31</v>
      </c>
      <c r="E1967" s="2" t="s">
        <v>39</v>
      </c>
      <c r="F1967" s="2" t="str">
        <f>_xlfn.XLOOKUP(Table1_1[[#This Row],[CAS_rn]],[1]analyte_order!$C:$C,[1]analyte_order!$B:$B)</f>
        <v>PFNA</v>
      </c>
      <c r="G1967" t="s">
        <v>114</v>
      </c>
      <c r="H1967" s="2">
        <f>_xlfn.XLOOKUP(Table1_1[[#This Row],[CAS_rn]],[1]analyte_order!$C:$C,[1]analyte_order!$E:$E)</f>
        <v>6</v>
      </c>
      <c r="I1967">
        <v>4.9500000000000002E-2</v>
      </c>
    </row>
    <row r="1968" spans="1:9" x14ac:dyDescent="0.3">
      <c r="A1968" s="2" t="s">
        <v>98</v>
      </c>
      <c r="B1968" s="3">
        <v>44384.5</v>
      </c>
      <c r="C1968" s="1" t="str">
        <f t="shared" si="32"/>
        <v>21189</v>
      </c>
      <c r="D1968" t="s">
        <v>31</v>
      </c>
      <c r="E1968" s="2" t="s">
        <v>39</v>
      </c>
      <c r="F1968" s="2" t="str">
        <f>_xlfn.XLOOKUP(Table1_1[[#This Row],[CAS_rn]],[1]analyte_order!$C:$C,[1]analyte_order!$B:$B)</f>
        <v>PFDA</v>
      </c>
      <c r="G1968" t="s">
        <v>115</v>
      </c>
      <c r="H1968" s="2">
        <f>_xlfn.XLOOKUP(Table1_1[[#This Row],[CAS_rn]],[1]analyte_order!$C:$C,[1]analyte_order!$E:$E)</f>
        <v>7</v>
      </c>
      <c r="I1968">
        <v>4.9500000000000002E-2</v>
      </c>
    </row>
    <row r="1969" spans="1:9" x14ac:dyDescent="0.3">
      <c r="A1969" s="2" t="s">
        <v>98</v>
      </c>
      <c r="B1969" s="3">
        <v>44384.5</v>
      </c>
      <c r="C1969" s="1" t="str">
        <f t="shared" si="32"/>
        <v>21189</v>
      </c>
      <c r="D1969" t="s">
        <v>31</v>
      </c>
      <c r="E1969" s="2" t="s">
        <v>39</v>
      </c>
      <c r="F1969" s="2" t="str">
        <f>_xlfn.XLOOKUP(Table1_1[[#This Row],[CAS_rn]],[1]analyte_order!$C:$C,[1]analyte_order!$B:$B)</f>
        <v>PFUnA</v>
      </c>
      <c r="G1969" t="s">
        <v>116</v>
      </c>
      <c r="H1969" s="2">
        <f>_xlfn.XLOOKUP(Table1_1[[#This Row],[CAS_rn]],[1]analyte_order!$C:$C,[1]analyte_order!$E:$E)</f>
        <v>8</v>
      </c>
      <c r="I1969">
        <v>4.9500000000000002E-2</v>
      </c>
    </row>
    <row r="1970" spans="1:9" x14ac:dyDescent="0.3">
      <c r="A1970" s="2" t="s">
        <v>98</v>
      </c>
      <c r="B1970" s="3">
        <v>44384.5</v>
      </c>
      <c r="C1970" s="1" t="str">
        <f t="shared" si="32"/>
        <v>21189</v>
      </c>
      <c r="D1970" t="s">
        <v>31</v>
      </c>
      <c r="E1970" s="2" t="s">
        <v>39</v>
      </c>
      <c r="F1970" s="2" t="str">
        <f>_xlfn.XLOOKUP(Table1_1[[#This Row],[CAS_rn]],[1]analyte_order!$C:$C,[1]analyte_order!$B:$B)</f>
        <v>PFDoA</v>
      </c>
      <c r="G1970" t="s">
        <v>117</v>
      </c>
      <c r="H1970" s="2">
        <f>_xlfn.XLOOKUP(Table1_1[[#This Row],[CAS_rn]],[1]analyte_order!$C:$C,[1]analyte_order!$E:$E)</f>
        <v>9</v>
      </c>
      <c r="I1970">
        <v>0.08</v>
      </c>
    </row>
    <row r="1971" spans="1:9" x14ac:dyDescent="0.3">
      <c r="A1971" s="2" t="s">
        <v>98</v>
      </c>
      <c r="B1971" s="3">
        <v>44384.5</v>
      </c>
      <c r="C1971" s="1" t="str">
        <f t="shared" si="32"/>
        <v>21189</v>
      </c>
      <c r="D1971" t="s">
        <v>31</v>
      </c>
      <c r="E1971" s="2" t="s">
        <v>39</v>
      </c>
      <c r="F1971" s="2" t="str">
        <f>_xlfn.XLOOKUP(Table1_1[[#This Row],[CAS_rn]],[1]analyte_order!$C:$C,[1]analyte_order!$B:$B)</f>
        <v>PFTrDA</v>
      </c>
      <c r="G1971" t="s">
        <v>118</v>
      </c>
      <c r="H1971" s="2">
        <f>_xlfn.XLOOKUP(Table1_1[[#This Row],[CAS_rn]],[1]analyte_order!$C:$C,[1]analyte_order!$E:$E)</f>
        <v>10</v>
      </c>
      <c r="I1971">
        <v>4.9500000000000002E-2</v>
      </c>
    </row>
    <row r="1972" spans="1:9" x14ac:dyDescent="0.3">
      <c r="A1972" s="2" t="s">
        <v>98</v>
      </c>
      <c r="B1972" s="3">
        <v>44384.5</v>
      </c>
      <c r="C1972" s="1" t="str">
        <f t="shared" si="32"/>
        <v>21189</v>
      </c>
      <c r="D1972" t="s">
        <v>31</v>
      </c>
      <c r="E1972" s="2" t="s">
        <v>39</v>
      </c>
      <c r="F1972" s="2" t="str">
        <f>_xlfn.XLOOKUP(Table1_1[[#This Row],[CAS_rn]],[1]analyte_order!$C:$C,[1]analyte_order!$B:$B)</f>
        <v>PFTeDA</v>
      </c>
      <c r="G1972" t="s">
        <v>119</v>
      </c>
      <c r="H1972" s="2">
        <f>_xlfn.XLOOKUP(Table1_1[[#This Row],[CAS_rn]],[1]analyte_order!$C:$C,[1]analyte_order!$E:$E)</f>
        <v>11</v>
      </c>
      <c r="I1972">
        <v>5.2999999999999999E-2</v>
      </c>
    </row>
    <row r="1973" spans="1:9" x14ac:dyDescent="0.3">
      <c r="A1973" s="2" t="s">
        <v>98</v>
      </c>
      <c r="B1973" s="3">
        <v>44384.5</v>
      </c>
      <c r="C1973" s="1" t="str">
        <f t="shared" si="32"/>
        <v>21189</v>
      </c>
      <c r="D1973" t="s">
        <v>31</v>
      </c>
      <c r="E1973" s="2" t="s">
        <v>39</v>
      </c>
      <c r="F1973" s="2" t="str">
        <f>_xlfn.XLOOKUP(Table1_1[[#This Row],[CAS_rn]],[1]analyte_order!$C:$C,[1]analyte_order!$B:$B)</f>
        <v>PFBS</v>
      </c>
      <c r="G1973" t="s">
        <v>120</v>
      </c>
      <c r="H1973" s="2">
        <f>_xlfn.XLOOKUP(Table1_1[[#This Row],[CAS_rn]],[1]analyte_order!$C:$C,[1]analyte_order!$E:$E)</f>
        <v>14</v>
      </c>
      <c r="I1973">
        <v>4.9500000000000002E-2</v>
      </c>
    </row>
    <row r="1974" spans="1:9" x14ac:dyDescent="0.3">
      <c r="A1974" s="2" t="s">
        <v>98</v>
      </c>
      <c r="B1974" s="3">
        <v>44384.5</v>
      </c>
      <c r="C1974" s="1" t="str">
        <f t="shared" si="32"/>
        <v>21189</v>
      </c>
      <c r="D1974" t="s">
        <v>31</v>
      </c>
      <c r="E1974" s="2" t="s">
        <v>39</v>
      </c>
      <c r="F1974" s="2" t="str">
        <f>_xlfn.XLOOKUP(Table1_1[[#This Row],[CAS_rn]],[1]analyte_order!$C:$C,[1]analyte_order!$B:$B)</f>
        <v>PFPeS</v>
      </c>
      <c r="G1974" t="s">
        <v>121</v>
      </c>
      <c r="H1974" s="2">
        <f>_xlfn.XLOOKUP(Table1_1[[#This Row],[CAS_rn]],[1]analyte_order!$C:$C,[1]analyte_order!$E:$E)</f>
        <v>15</v>
      </c>
      <c r="I1974">
        <v>4.9500000000000002E-2</v>
      </c>
    </row>
    <row r="1975" spans="1:9" x14ac:dyDescent="0.3">
      <c r="A1975" s="2" t="s">
        <v>98</v>
      </c>
      <c r="B1975" s="3">
        <v>44384.5</v>
      </c>
      <c r="C1975" s="1" t="str">
        <f t="shared" si="32"/>
        <v>21189</v>
      </c>
      <c r="D1975" t="s">
        <v>31</v>
      </c>
      <c r="E1975" s="2" t="s">
        <v>39</v>
      </c>
      <c r="F1975" s="2" t="str">
        <f>_xlfn.XLOOKUP(Table1_1[[#This Row],[CAS_rn]],[1]analyte_order!$C:$C,[1]analyte_order!$B:$B)</f>
        <v>PFHxS</v>
      </c>
      <c r="G1975" t="s">
        <v>122</v>
      </c>
      <c r="H1975" s="2">
        <f>_xlfn.XLOOKUP(Table1_1[[#This Row],[CAS_rn]],[1]analyte_order!$C:$C,[1]analyte_order!$E:$E)</f>
        <v>16</v>
      </c>
      <c r="I1975">
        <v>0.56999999999999995</v>
      </c>
    </row>
    <row r="1976" spans="1:9" x14ac:dyDescent="0.3">
      <c r="A1976" s="2" t="s">
        <v>98</v>
      </c>
      <c r="B1976" s="3">
        <v>44384.5</v>
      </c>
      <c r="C1976" s="1" t="str">
        <f t="shared" si="32"/>
        <v>21189</v>
      </c>
      <c r="D1976" t="s">
        <v>31</v>
      </c>
      <c r="E1976" s="2" t="s">
        <v>39</v>
      </c>
      <c r="F1976" s="2" t="str">
        <f>_xlfn.XLOOKUP(Table1_1[[#This Row],[CAS_rn]],[1]analyte_order!$C:$C,[1]analyte_order!$B:$B)</f>
        <v>PFHpS</v>
      </c>
      <c r="G1976" t="s">
        <v>123</v>
      </c>
      <c r="H1976" s="2">
        <f>_xlfn.XLOOKUP(Table1_1[[#This Row],[CAS_rn]],[1]analyte_order!$C:$C,[1]analyte_order!$E:$E)</f>
        <v>17</v>
      </c>
      <c r="I1976">
        <v>4.9500000000000002E-2</v>
      </c>
    </row>
    <row r="1977" spans="1:9" x14ac:dyDescent="0.3">
      <c r="A1977" s="2" t="s">
        <v>98</v>
      </c>
      <c r="B1977" s="3">
        <v>44384.5</v>
      </c>
      <c r="C1977" s="1" t="str">
        <f t="shared" si="32"/>
        <v>21189</v>
      </c>
      <c r="D1977" t="s">
        <v>31</v>
      </c>
      <c r="E1977" s="2" t="s">
        <v>39</v>
      </c>
      <c r="F1977" s="2" t="str">
        <f>_xlfn.XLOOKUP(Table1_1[[#This Row],[CAS_rn]],[1]analyte_order!$C:$C,[1]analyte_order!$B:$B)</f>
        <v>PFOS</v>
      </c>
      <c r="G1977" t="s">
        <v>124</v>
      </c>
      <c r="H1977" s="2">
        <f>_xlfn.XLOOKUP(Table1_1[[#This Row],[CAS_rn]],[1]analyte_order!$C:$C,[1]analyte_order!$E:$E)</f>
        <v>18</v>
      </c>
      <c r="I1977">
        <v>4.0999999999999996</v>
      </c>
    </row>
    <row r="1978" spans="1:9" x14ac:dyDescent="0.3">
      <c r="A1978" s="2" t="s">
        <v>98</v>
      </c>
      <c r="B1978" s="3">
        <v>44384.5</v>
      </c>
      <c r="C1978" s="1" t="str">
        <f t="shared" si="32"/>
        <v>21189</v>
      </c>
      <c r="D1978" t="s">
        <v>31</v>
      </c>
      <c r="E1978" s="2" t="s">
        <v>39</v>
      </c>
      <c r="F1978" s="2" t="str">
        <f>_xlfn.XLOOKUP(Table1_1[[#This Row],[CAS_rn]],[1]analyte_order!$C:$C,[1]analyte_order!$B:$B)</f>
        <v>PFNS</v>
      </c>
      <c r="G1978" t="s">
        <v>125</v>
      </c>
      <c r="H1978" s="2">
        <f>_xlfn.XLOOKUP(Table1_1[[#This Row],[CAS_rn]],[1]analyte_order!$C:$C,[1]analyte_order!$E:$E)</f>
        <v>19</v>
      </c>
      <c r="I1978">
        <v>4.9500000000000002E-2</v>
      </c>
    </row>
    <row r="1979" spans="1:9" x14ac:dyDescent="0.3">
      <c r="A1979" s="2" t="s">
        <v>98</v>
      </c>
      <c r="B1979" s="3">
        <v>44384.5</v>
      </c>
      <c r="C1979" s="1" t="str">
        <f t="shared" si="32"/>
        <v>21189</v>
      </c>
      <c r="D1979" t="s">
        <v>31</v>
      </c>
      <c r="E1979" s="2" t="s">
        <v>39</v>
      </c>
      <c r="F1979" s="2" t="str">
        <f>_xlfn.XLOOKUP(Table1_1[[#This Row],[CAS_rn]],[1]analyte_order!$C:$C,[1]analyte_order!$B:$B)</f>
        <v>PFDoS</v>
      </c>
      <c r="G1979" t="s">
        <v>126</v>
      </c>
      <c r="H1979" s="2">
        <f>_xlfn.XLOOKUP(Table1_1[[#This Row],[CAS_rn]],[1]analyte_order!$C:$C,[1]analyte_order!$E:$E)</f>
        <v>21</v>
      </c>
      <c r="I1979">
        <v>4.9500000000000002E-2</v>
      </c>
    </row>
    <row r="1980" spans="1:9" x14ac:dyDescent="0.3">
      <c r="A1980" s="2" t="s">
        <v>98</v>
      </c>
      <c r="B1980" s="3">
        <v>44384.5</v>
      </c>
      <c r="C1980" s="1" t="str">
        <f t="shared" si="32"/>
        <v>21189</v>
      </c>
      <c r="D1980" t="s">
        <v>31</v>
      </c>
      <c r="E1980" s="2" t="s">
        <v>39</v>
      </c>
      <c r="F1980" s="2" t="str">
        <f>_xlfn.XLOOKUP(Table1_1[[#This Row],[CAS_rn]],[1]analyte_order!$C:$C,[1]analyte_order!$B:$B)</f>
        <v>4:2 FTS</v>
      </c>
      <c r="G1980" t="s">
        <v>127</v>
      </c>
      <c r="H1980" s="2">
        <f>_xlfn.XLOOKUP(Table1_1[[#This Row],[CAS_rn]],[1]analyte_order!$C:$C,[1]analyte_order!$E:$E)</f>
        <v>22</v>
      </c>
      <c r="I1980">
        <v>0.2</v>
      </c>
    </row>
    <row r="1981" spans="1:9" x14ac:dyDescent="0.3">
      <c r="A1981" s="2" t="s">
        <v>98</v>
      </c>
      <c r="B1981" s="3">
        <v>44384.5</v>
      </c>
      <c r="C1981" s="1" t="str">
        <f t="shared" si="32"/>
        <v>21189</v>
      </c>
      <c r="D1981" t="s">
        <v>31</v>
      </c>
      <c r="E1981" s="2" t="s">
        <v>39</v>
      </c>
      <c r="F1981" s="2" t="str">
        <f>_xlfn.XLOOKUP(Table1_1[[#This Row],[CAS_rn]],[1]analyte_order!$C:$C,[1]analyte_order!$B:$B)</f>
        <v>6:2 FTS</v>
      </c>
      <c r="G1981" t="s">
        <v>128</v>
      </c>
      <c r="H1981" s="2">
        <f>_xlfn.XLOOKUP(Table1_1[[#This Row],[CAS_rn]],[1]analyte_order!$C:$C,[1]analyte_order!$E:$E)</f>
        <v>23</v>
      </c>
      <c r="I1981">
        <v>0.39500000000000002</v>
      </c>
    </row>
    <row r="1982" spans="1:9" x14ac:dyDescent="0.3">
      <c r="A1982" s="2" t="s">
        <v>98</v>
      </c>
      <c r="B1982" s="3">
        <v>44384.5</v>
      </c>
      <c r="C1982" s="1" t="str">
        <f t="shared" si="32"/>
        <v>21189</v>
      </c>
      <c r="D1982" t="s">
        <v>31</v>
      </c>
      <c r="E1982" s="2" t="s">
        <v>39</v>
      </c>
      <c r="F1982" s="2" t="str">
        <f>_xlfn.XLOOKUP(Table1_1[[#This Row],[CAS_rn]],[1]analyte_order!$C:$C,[1]analyte_order!$B:$B)</f>
        <v>8:2 FTS</v>
      </c>
      <c r="G1982" t="s">
        <v>129</v>
      </c>
      <c r="H1982" s="2">
        <f>_xlfn.XLOOKUP(Table1_1[[#This Row],[CAS_rn]],[1]analyte_order!$C:$C,[1]analyte_order!$E:$E)</f>
        <v>24</v>
      </c>
      <c r="I1982">
        <v>0.39500000000000002</v>
      </c>
    </row>
    <row r="1983" spans="1:9" x14ac:dyDescent="0.3">
      <c r="A1983" s="2" t="s">
        <v>98</v>
      </c>
      <c r="B1983" s="3">
        <v>44384.5</v>
      </c>
      <c r="C1983" s="1" t="str">
        <f t="shared" si="32"/>
        <v>21189</v>
      </c>
      <c r="D1983" t="s">
        <v>31</v>
      </c>
      <c r="E1983" s="2" t="s">
        <v>39</v>
      </c>
      <c r="F1983" s="2" t="str">
        <f>_xlfn.XLOOKUP(Table1_1[[#This Row],[CAS_rn]],[1]analyte_order!$C:$C,[1]analyte_order!$B:$B)</f>
        <v>FOSA</v>
      </c>
      <c r="G1983" t="s">
        <v>130</v>
      </c>
      <c r="H1983" s="2">
        <f>_xlfn.XLOOKUP(Table1_1[[#This Row],[CAS_rn]],[1]analyte_order!$C:$C,[1]analyte_order!$E:$E)</f>
        <v>28</v>
      </c>
      <c r="I1983">
        <v>0.22</v>
      </c>
    </row>
    <row r="1984" spans="1:9" x14ac:dyDescent="0.3">
      <c r="A1984" s="2" t="s">
        <v>98</v>
      </c>
      <c r="B1984" s="3">
        <v>44384.5</v>
      </c>
      <c r="C1984" s="1" t="str">
        <f t="shared" si="32"/>
        <v>21189</v>
      </c>
      <c r="D1984" t="s">
        <v>31</v>
      </c>
      <c r="E1984" s="2" t="s">
        <v>39</v>
      </c>
      <c r="F1984" s="2" t="str">
        <f>_xlfn.XLOOKUP(Table1_1[[#This Row],[CAS_rn]],[1]analyte_order!$C:$C,[1]analyte_order!$B:$B)</f>
        <v>N-MeFOSA</v>
      </c>
      <c r="G1984" t="s">
        <v>131</v>
      </c>
      <c r="H1984" s="2">
        <f>_xlfn.XLOOKUP(Table1_1[[#This Row],[CAS_rn]],[1]analyte_order!$C:$C,[1]analyte_order!$E:$E)</f>
        <v>30</v>
      </c>
      <c r="I1984">
        <v>4.9500000000000002E-2</v>
      </c>
    </row>
    <row r="1985" spans="1:9" x14ac:dyDescent="0.3">
      <c r="A1985" s="2" t="s">
        <v>98</v>
      </c>
      <c r="B1985" s="3">
        <v>44384.5</v>
      </c>
      <c r="C1985" s="1" t="str">
        <f t="shared" si="32"/>
        <v>21189</v>
      </c>
      <c r="D1985" t="s">
        <v>31</v>
      </c>
      <c r="E1985" s="2" t="s">
        <v>39</v>
      </c>
      <c r="F1985" s="2" t="str">
        <f>_xlfn.XLOOKUP(Table1_1[[#This Row],[CAS_rn]],[1]analyte_order!$C:$C,[1]analyte_order!$B:$B)</f>
        <v>N-MeFOSAA</v>
      </c>
      <c r="G1985" t="s">
        <v>132</v>
      </c>
      <c r="H1985" s="2">
        <f>_xlfn.XLOOKUP(Table1_1[[#This Row],[CAS_rn]],[1]analyte_order!$C:$C,[1]analyte_order!$E:$E)</f>
        <v>26</v>
      </c>
      <c r="I1985">
        <v>4.9500000000000002E-2</v>
      </c>
    </row>
    <row r="1986" spans="1:9" x14ac:dyDescent="0.3">
      <c r="A1986" s="2" t="s">
        <v>98</v>
      </c>
      <c r="B1986" s="3">
        <v>44384.5</v>
      </c>
      <c r="C1986" s="1" t="str">
        <f t="shared" si="32"/>
        <v>21189</v>
      </c>
      <c r="D1986" t="s">
        <v>31</v>
      </c>
      <c r="E1986" s="2" t="s">
        <v>39</v>
      </c>
      <c r="F1986" s="2" t="str">
        <f>_xlfn.XLOOKUP(Table1_1[[#This Row],[CAS_rn]],[1]analyte_order!$C:$C,[1]analyte_order!$B:$B)</f>
        <v>N-EtFOSA</v>
      </c>
      <c r="G1986" t="s">
        <v>133</v>
      </c>
      <c r="H1986" s="2">
        <f>_xlfn.XLOOKUP(Table1_1[[#This Row],[CAS_rn]],[1]analyte_order!$C:$C,[1]analyte_order!$E:$E)</f>
        <v>31</v>
      </c>
      <c r="I1986">
        <v>4.9500000000000002E-2</v>
      </c>
    </row>
    <row r="1987" spans="1:9" x14ac:dyDescent="0.3">
      <c r="A1987" s="2" t="s">
        <v>98</v>
      </c>
      <c r="B1987" s="3">
        <v>44384.5</v>
      </c>
      <c r="C1987" s="1" t="str">
        <f t="shared" si="32"/>
        <v>21189</v>
      </c>
      <c r="D1987" t="s">
        <v>31</v>
      </c>
      <c r="E1987" s="2" t="s">
        <v>39</v>
      </c>
      <c r="F1987" s="2" t="str">
        <f>_xlfn.XLOOKUP(Table1_1[[#This Row],[CAS_rn]],[1]analyte_order!$C:$C,[1]analyte_order!$B:$B)</f>
        <v>N-EtFOSAA</v>
      </c>
      <c r="G1987" t="s">
        <v>134</v>
      </c>
      <c r="H1987" s="2">
        <f>_xlfn.XLOOKUP(Table1_1[[#This Row],[CAS_rn]],[1]analyte_order!$C:$C,[1]analyte_order!$E:$E)</f>
        <v>27</v>
      </c>
      <c r="I1987">
        <v>4.9500000000000002E-2</v>
      </c>
    </row>
    <row r="1988" spans="1:9" x14ac:dyDescent="0.3">
      <c r="A1988" s="2" t="s">
        <v>98</v>
      </c>
      <c r="B1988" s="3">
        <v>44384.5</v>
      </c>
      <c r="C1988" s="1" t="str">
        <f t="shared" si="32"/>
        <v>21189</v>
      </c>
      <c r="D1988" t="s">
        <v>31</v>
      </c>
      <c r="E1988" s="2" t="s">
        <v>39</v>
      </c>
      <c r="F1988" s="2" t="str">
        <f>_xlfn.XLOOKUP(Table1_1[[#This Row],[CAS_rn]],[1]analyte_order!$C:$C,[1]analyte_order!$B:$B)</f>
        <v>N-MeFOSE</v>
      </c>
      <c r="G1988" t="s">
        <v>135</v>
      </c>
      <c r="H1988" s="2">
        <f>_xlfn.XLOOKUP(Table1_1[[#This Row],[CAS_rn]],[1]analyte_order!$C:$C,[1]analyte_order!$E:$E)</f>
        <v>32</v>
      </c>
      <c r="I1988">
        <v>0.495</v>
      </c>
    </row>
    <row r="1989" spans="1:9" x14ac:dyDescent="0.3">
      <c r="A1989" s="2" t="s">
        <v>98</v>
      </c>
      <c r="B1989" s="3">
        <v>44384.5</v>
      </c>
      <c r="C1989" s="1" t="str">
        <f t="shared" si="32"/>
        <v>21189</v>
      </c>
      <c r="D1989" t="s">
        <v>31</v>
      </c>
      <c r="E1989" s="2" t="s">
        <v>39</v>
      </c>
      <c r="F1989" s="2" t="str">
        <f>_xlfn.XLOOKUP(Table1_1[[#This Row],[CAS_rn]],[1]analyte_order!$C:$C,[1]analyte_order!$B:$B)</f>
        <v>N-EtFOSE</v>
      </c>
      <c r="G1989" t="s">
        <v>136</v>
      </c>
      <c r="H1989" s="2">
        <f>_xlfn.XLOOKUP(Table1_1[[#This Row],[CAS_rn]],[1]analyte_order!$C:$C,[1]analyte_order!$E:$E)</f>
        <v>33</v>
      </c>
      <c r="I1989">
        <v>0.495</v>
      </c>
    </row>
    <row r="1990" spans="1:9" x14ac:dyDescent="0.3">
      <c r="A1990" s="2" t="s">
        <v>98</v>
      </c>
      <c r="B1990" s="3">
        <v>44384.5</v>
      </c>
      <c r="C1990" s="1" t="str">
        <f t="shared" si="32"/>
        <v>21189</v>
      </c>
      <c r="D1990" t="s">
        <v>31</v>
      </c>
      <c r="E1990" s="2" t="s">
        <v>39</v>
      </c>
      <c r="F1990" s="2" t="str">
        <f>_xlfn.XLOOKUP(Table1_1[[#This Row],[CAS_rn]],[1]analyte_order!$C:$C,[1]analyte_order!$B:$B)</f>
        <v>HFPO-DA</v>
      </c>
      <c r="G1990" t="s">
        <v>137</v>
      </c>
      <c r="H1990" s="2">
        <f>_xlfn.XLOOKUP(Table1_1[[#This Row],[CAS_rn]],[1]analyte_order!$C:$C,[1]analyte_order!$E:$E)</f>
        <v>34</v>
      </c>
      <c r="I1990">
        <v>0.3</v>
      </c>
    </row>
    <row r="1991" spans="1:9" x14ac:dyDescent="0.3">
      <c r="A1991" s="2" t="s">
        <v>98</v>
      </c>
      <c r="B1991" s="3">
        <v>44384.5</v>
      </c>
      <c r="C1991" s="1" t="str">
        <f t="shared" si="32"/>
        <v>21189</v>
      </c>
      <c r="D1991" t="s">
        <v>31</v>
      </c>
      <c r="E1991" s="2" t="s">
        <v>39</v>
      </c>
      <c r="F1991" s="2" t="str">
        <f>_xlfn.XLOOKUP(Table1_1[[#This Row],[CAS_rn]],[1]analyte_order!$C:$C,[1]analyte_order!$B:$B)</f>
        <v>ADONA</v>
      </c>
      <c r="G1991" t="s">
        <v>138</v>
      </c>
      <c r="H1991" s="2">
        <f>_xlfn.XLOOKUP(Table1_1[[#This Row],[CAS_rn]],[1]analyte_order!$C:$C,[1]analyte_order!$E:$E)</f>
        <v>35</v>
      </c>
      <c r="I1991">
        <v>0.2</v>
      </c>
    </row>
    <row r="1992" spans="1:9" x14ac:dyDescent="0.3">
      <c r="A1992" s="2" t="s">
        <v>98</v>
      </c>
      <c r="B1992" s="3">
        <v>44384.5</v>
      </c>
      <c r="C1992" s="1" t="str">
        <f t="shared" si="32"/>
        <v>21189</v>
      </c>
      <c r="D1992" t="s">
        <v>31</v>
      </c>
      <c r="E1992" s="2" t="s">
        <v>39</v>
      </c>
      <c r="F1992" s="2" t="str">
        <f>_xlfn.XLOOKUP(Table1_1[[#This Row],[CAS_rn]],[1]analyte_order!$C:$C,[1]analyte_order!$B:$B)</f>
        <v>PFMBA</v>
      </c>
      <c r="G1992" t="s">
        <v>139</v>
      </c>
      <c r="H1992" s="2">
        <f>_xlfn.XLOOKUP(Table1_1[[#This Row],[CAS_rn]],[1]analyte_order!$C:$C,[1]analyte_order!$E:$E)</f>
        <v>48</v>
      </c>
      <c r="I1992">
        <v>0.1</v>
      </c>
    </row>
    <row r="1993" spans="1:9" x14ac:dyDescent="0.3">
      <c r="A1993" s="2" t="s">
        <v>98</v>
      </c>
      <c r="B1993" s="3">
        <v>44384.5</v>
      </c>
      <c r="C1993" s="1" t="str">
        <f t="shared" si="32"/>
        <v>21189</v>
      </c>
      <c r="D1993" t="s">
        <v>31</v>
      </c>
      <c r="E1993" s="2" t="s">
        <v>39</v>
      </c>
      <c r="F1993" s="2" t="str">
        <f>_xlfn.XLOOKUP(Table1_1[[#This Row],[CAS_rn]],[1]analyte_order!$C:$C,[1]analyte_order!$B:$B)</f>
        <v>NFDHA</v>
      </c>
      <c r="G1993" t="s">
        <v>140</v>
      </c>
      <c r="H1993" s="2">
        <f>_xlfn.XLOOKUP(Table1_1[[#This Row],[CAS_rn]],[1]analyte_order!$C:$C,[1]analyte_order!$E:$E)</f>
        <v>50</v>
      </c>
      <c r="I1993">
        <v>0.1</v>
      </c>
    </row>
    <row r="1994" spans="1:9" x14ac:dyDescent="0.3">
      <c r="A1994" s="2" t="s">
        <v>98</v>
      </c>
      <c r="B1994" s="3">
        <v>44384.5</v>
      </c>
      <c r="C1994" s="1" t="str">
        <f t="shared" si="32"/>
        <v>21189</v>
      </c>
      <c r="D1994" t="s">
        <v>31</v>
      </c>
      <c r="E1994" s="2" t="s">
        <v>39</v>
      </c>
      <c r="F1994" s="2" t="str">
        <f>_xlfn.XLOOKUP(Table1_1[[#This Row],[CAS_rn]],[1]analyte_order!$C:$C,[1]analyte_order!$B:$B)</f>
        <v>9Cl-PF3ONS</v>
      </c>
      <c r="G1994" t="s">
        <v>141</v>
      </c>
      <c r="H1994" s="2">
        <f>_xlfn.XLOOKUP(Table1_1[[#This Row],[CAS_rn]],[1]analyte_order!$C:$C,[1]analyte_order!$E:$E)</f>
        <v>36</v>
      </c>
      <c r="I1994">
        <v>0.2</v>
      </c>
    </row>
    <row r="1995" spans="1:9" x14ac:dyDescent="0.3">
      <c r="A1995" s="2" t="s">
        <v>98</v>
      </c>
      <c r="B1995" s="3">
        <v>44384.5</v>
      </c>
      <c r="C1995" s="1" t="str">
        <f t="shared" ref="C1995:C2058" si="33">TEXT(B1995,"yy")&amp;TEXT((B1995-DATEVALUE("1/1/"&amp;TEXT(B1995,"yy"))+1),"000")</f>
        <v>21189</v>
      </c>
      <c r="D1995" t="s">
        <v>31</v>
      </c>
      <c r="E1995" s="2" t="s">
        <v>39</v>
      </c>
      <c r="F1995" s="2" t="str">
        <f>_xlfn.XLOOKUP(Table1_1[[#This Row],[CAS_rn]],[1]analyte_order!$C:$C,[1]analyte_order!$B:$B)</f>
        <v>11Cl-PF3OUdS</v>
      </c>
      <c r="G1995" t="s">
        <v>142</v>
      </c>
      <c r="H1995" s="2">
        <f>_xlfn.XLOOKUP(Table1_1[[#This Row],[CAS_rn]],[1]analyte_order!$C:$C,[1]analyte_order!$E:$E)</f>
        <v>37</v>
      </c>
      <c r="I1995">
        <v>0.2</v>
      </c>
    </row>
    <row r="1996" spans="1:9" x14ac:dyDescent="0.3">
      <c r="A1996" s="2" t="s">
        <v>98</v>
      </c>
      <c r="B1996" s="3">
        <v>44384.5</v>
      </c>
      <c r="C1996" s="1" t="str">
        <f t="shared" si="33"/>
        <v>21189</v>
      </c>
      <c r="D1996" t="s">
        <v>31</v>
      </c>
      <c r="E1996" s="2" t="s">
        <v>39</v>
      </c>
      <c r="F1996" s="2" t="str">
        <f>_xlfn.XLOOKUP(Table1_1[[#This Row],[CAS_rn]],[1]analyte_order!$C:$C,[1]analyte_order!$B:$B)</f>
        <v>PFEESA</v>
      </c>
      <c r="G1996" t="s">
        <v>143</v>
      </c>
      <c r="H1996" s="2">
        <f>_xlfn.XLOOKUP(Table1_1[[#This Row],[CAS_rn]],[1]analyte_order!$C:$C,[1]analyte_order!$E:$E)</f>
        <v>47</v>
      </c>
      <c r="I1996">
        <v>0.1</v>
      </c>
    </row>
    <row r="1997" spans="1:9" x14ac:dyDescent="0.3">
      <c r="A1997" s="2" t="s">
        <v>98</v>
      </c>
      <c r="B1997" s="3">
        <v>44384.5</v>
      </c>
      <c r="C1997" s="1" t="str">
        <f t="shared" si="33"/>
        <v>21189</v>
      </c>
      <c r="D1997" t="s">
        <v>31</v>
      </c>
      <c r="E1997" s="2" t="s">
        <v>39</v>
      </c>
      <c r="F1997" s="2" t="str">
        <f>_xlfn.XLOOKUP(Table1_1[[#This Row],[CAS_rn]],[1]analyte_order!$C:$C,[1]analyte_order!$B:$B)</f>
        <v>3:3 FTCA</v>
      </c>
      <c r="G1997" t="s">
        <v>144</v>
      </c>
      <c r="H1997" s="2">
        <f>_xlfn.XLOOKUP(Table1_1[[#This Row],[CAS_rn]],[1]analyte_order!$C:$C,[1]analyte_order!$E:$E)</f>
        <v>38</v>
      </c>
      <c r="I1997">
        <v>0.25</v>
      </c>
    </row>
    <row r="1998" spans="1:9" x14ac:dyDescent="0.3">
      <c r="A1998" s="2" t="s">
        <v>98</v>
      </c>
      <c r="B1998" s="3">
        <v>44384.5</v>
      </c>
      <c r="C1998" s="1" t="str">
        <f t="shared" si="33"/>
        <v>21189</v>
      </c>
      <c r="D1998" t="s">
        <v>31</v>
      </c>
      <c r="E1998" s="2" t="s">
        <v>39</v>
      </c>
      <c r="F1998" s="2" t="str">
        <f>_xlfn.XLOOKUP(Table1_1[[#This Row],[CAS_rn]],[1]analyte_order!$C:$C,[1]analyte_order!$B:$B)</f>
        <v>5:3 FTCA</v>
      </c>
      <c r="G1998" t="s">
        <v>145</v>
      </c>
      <c r="H1998" s="2">
        <f>_xlfn.XLOOKUP(Table1_1[[#This Row],[CAS_rn]],[1]analyte_order!$C:$C,[1]analyte_order!$E:$E)</f>
        <v>39</v>
      </c>
      <c r="I1998">
        <v>1.25</v>
      </c>
    </row>
    <row r="1999" spans="1:9" x14ac:dyDescent="0.3">
      <c r="A1999" s="2" t="s">
        <v>98</v>
      </c>
      <c r="B1999" s="3">
        <v>44384.5</v>
      </c>
      <c r="C1999" s="1" t="str">
        <f t="shared" si="33"/>
        <v>21189</v>
      </c>
      <c r="D1999" t="s">
        <v>31</v>
      </c>
      <c r="E1999" s="2" t="s">
        <v>39</v>
      </c>
      <c r="F1999" s="2" t="str">
        <f>_xlfn.XLOOKUP(Table1_1[[#This Row],[CAS_rn]],[1]analyte_order!$C:$C,[1]analyte_order!$B:$B)</f>
        <v>7:3 FTCA</v>
      </c>
      <c r="G1999" t="s">
        <v>146</v>
      </c>
      <c r="H1999" s="2">
        <f>_xlfn.XLOOKUP(Table1_1[[#This Row],[CAS_rn]],[1]analyte_order!$C:$C,[1]analyte_order!$E:$E)</f>
        <v>40</v>
      </c>
      <c r="I1999">
        <v>1.25</v>
      </c>
    </row>
    <row r="2000" spans="1:9" x14ac:dyDescent="0.3">
      <c r="A2000" s="2" t="s">
        <v>98</v>
      </c>
      <c r="B2000" s="3">
        <v>44384.5</v>
      </c>
      <c r="C2000" s="1" t="str">
        <f t="shared" si="33"/>
        <v>21189</v>
      </c>
      <c r="D2000" t="s">
        <v>31</v>
      </c>
      <c r="E2000" s="2" t="s">
        <v>39</v>
      </c>
      <c r="F2000" s="2" t="str">
        <f>_xlfn.XLOOKUP(Table1_1[[#This Row],[CAS_rn]],[1]analyte_order!$C:$C,[1]analyte_order!$B:$B)</f>
        <v>PFDS</v>
      </c>
      <c r="G2000" t="s">
        <v>147</v>
      </c>
      <c r="H2000" s="2">
        <f>_xlfn.XLOOKUP(Table1_1[[#This Row],[CAS_rn]],[1]analyte_order!$C:$C,[1]analyte_order!$E:$E)</f>
        <v>20</v>
      </c>
      <c r="I2000">
        <v>5.3999999999999999E-2</v>
      </c>
    </row>
    <row r="2001" spans="1:9" x14ac:dyDescent="0.3">
      <c r="A2001" s="2" t="s">
        <v>98</v>
      </c>
      <c r="B2001" s="3">
        <v>44384.5</v>
      </c>
      <c r="C2001" s="1" t="str">
        <f t="shared" si="33"/>
        <v>21189</v>
      </c>
      <c r="D2001" t="s">
        <v>31</v>
      </c>
      <c r="E2001" s="2" t="s">
        <v>39</v>
      </c>
      <c r="F2001" s="2" t="str">
        <f>_xlfn.XLOOKUP(Table1_1[[#This Row],[CAS_rn]],[1]analyte_order!$C:$C,[1]analyte_order!$B:$B)</f>
        <v>PFMPA</v>
      </c>
      <c r="G2001" t="s">
        <v>148</v>
      </c>
      <c r="H2001" s="2">
        <f>_xlfn.XLOOKUP(Table1_1[[#This Row],[CAS_rn]],[1]analyte_order!$C:$C,[1]analyte_order!$E:$E)</f>
        <v>49</v>
      </c>
      <c r="I2001">
        <v>0.1</v>
      </c>
    </row>
    <row r="2002" spans="1:9" x14ac:dyDescent="0.3">
      <c r="A2002" s="2" t="s">
        <v>99</v>
      </c>
      <c r="B2002" s="3">
        <v>44384.5</v>
      </c>
      <c r="C2002" s="1" t="str">
        <f t="shared" si="33"/>
        <v>21189</v>
      </c>
      <c r="D2002" t="s">
        <v>33</v>
      </c>
      <c r="E2002" s="2" t="s">
        <v>39</v>
      </c>
      <c r="F2002" s="2" t="str">
        <f>_xlfn.XLOOKUP(Table1_1[[#This Row],[CAS_rn]],[1]analyte_order!$C:$C,[1]analyte_order!$B:$B)</f>
        <v>PFBA</v>
      </c>
      <c r="G2002" t="s">
        <v>109</v>
      </c>
      <c r="H2002" s="2">
        <f>_xlfn.XLOOKUP(Table1_1[[#This Row],[CAS_rn]],[1]analyte_order!$C:$C,[1]analyte_order!$E:$E)</f>
        <v>1</v>
      </c>
      <c r="I2002">
        <v>0.19500000000000001</v>
      </c>
    </row>
    <row r="2003" spans="1:9" x14ac:dyDescent="0.3">
      <c r="A2003" s="2" t="s">
        <v>99</v>
      </c>
      <c r="B2003" s="3">
        <v>44384.5</v>
      </c>
      <c r="C2003" s="1" t="str">
        <f t="shared" si="33"/>
        <v>21189</v>
      </c>
      <c r="D2003" t="s">
        <v>33</v>
      </c>
      <c r="E2003" s="2" t="s">
        <v>39</v>
      </c>
      <c r="F2003" s="2" t="str">
        <f>_xlfn.XLOOKUP(Table1_1[[#This Row],[CAS_rn]],[1]analyte_order!$C:$C,[1]analyte_order!$B:$B)</f>
        <v>PFPeA</v>
      </c>
      <c r="G2003" t="s">
        <v>110</v>
      </c>
      <c r="H2003" s="2">
        <f>_xlfn.XLOOKUP(Table1_1[[#This Row],[CAS_rn]],[1]analyte_order!$C:$C,[1]analyte_order!$E:$E)</f>
        <v>2</v>
      </c>
      <c r="I2003">
        <v>0.1</v>
      </c>
    </row>
    <row r="2004" spans="1:9" x14ac:dyDescent="0.3">
      <c r="A2004" s="2" t="s">
        <v>99</v>
      </c>
      <c r="B2004" s="3">
        <v>44384.5</v>
      </c>
      <c r="C2004" s="1" t="str">
        <f t="shared" si="33"/>
        <v>21189</v>
      </c>
      <c r="D2004" t="s">
        <v>33</v>
      </c>
      <c r="E2004" s="2" t="s">
        <v>39</v>
      </c>
      <c r="F2004" s="2" t="str">
        <f>_xlfn.XLOOKUP(Table1_1[[#This Row],[CAS_rn]],[1]analyte_order!$C:$C,[1]analyte_order!$B:$B)</f>
        <v>PFHxA</v>
      </c>
      <c r="G2004" t="s">
        <v>111</v>
      </c>
      <c r="H2004" s="2">
        <f>_xlfn.XLOOKUP(Table1_1[[#This Row],[CAS_rn]],[1]analyte_order!$C:$C,[1]analyte_order!$E:$E)</f>
        <v>3</v>
      </c>
      <c r="I2004">
        <v>0.09</v>
      </c>
    </row>
    <row r="2005" spans="1:9" x14ac:dyDescent="0.3">
      <c r="A2005" s="2" t="s">
        <v>99</v>
      </c>
      <c r="B2005" s="3">
        <v>44384.5</v>
      </c>
      <c r="C2005" s="1" t="str">
        <f t="shared" si="33"/>
        <v>21189</v>
      </c>
      <c r="D2005" t="s">
        <v>33</v>
      </c>
      <c r="E2005" s="2" t="s">
        <v>39</v>
      </c>
      <c r="F2005" s="2" t="str">
        <f>_xlfn.XLOOKUP(Table1_1[[#This Row],[CAS_rn]],[1]analyte_order!$C:$C,[1]analyte_order!$B:$B)</f>
        <v>PFHpA</v>
      </c>
      <c r="G2005" t="s">
        <v>112</v>
      </c>
      <c r="H2005" s="2">
        <f>_xlfn.XLOOKUP(Table1_1[[#This Row],[CAS_rn]],[1]analyte_order!$C:$C,[1]analyte_order!$E:$E)</f>
        <v>4</v>
      </c>
      <c r="I2005">
        <v>0.09</v>
      </c>
    </row>
    <row r="2006" spans="1:9" x14ac:dyDescent="0.3">
      <c r="A2006" s="2" t="s">
        <v>99</v>
      </c>
      <c r="B2006" s="3">
        <v>44384.5</v>
      </c>
      <c r="C2006" s="1" t="str">
        <f t="shared" si="33"/>
        <v>21189</v>
      </c>
      <c r="D2006" t="s">
        <v>33</v>
      </c>
      <c r="E2006" s="2" t="s">
        <v>39</v>
      </c>
      <c r="F2006" s="2" t="str">
        <f>_xlfn.XLOOKUP(Table1_1[[#This Row],[CAS_rn]],[1]analyte_order!$C:$C,[1]analyte_order!$B:$B)</f>
        <v>PFOA</v>
      </c>
      <c r="G2006" t="s">
        <v>113</v>
      </c>
      <c r="H2006" s="2">
        <f>_xlfn.XLOOKUP(Table1_1[[#This Row],[CAS_rn]],[1]analyte_order!$C:$C,[1]analyte_order!$E:$E)</f>
        <v>5</v>
      </c>
      <c r="I2006">
        <v>0.16</v>
      </c>
    </row>
    <row r="2007" spans="1:9" x14ac:dyDescent="0.3">
      <c r="A2007" s="2" t="s">
        <v>99</v>
      </c>
      <c r="B2007" s="3">
        <v>44384.5</v>
      </c>
      <c r="C2007" s="1" t="str">
        <f t="shared" si="33"/>
        <v>21189</v>
      </c>
      <c r="D2007" t="s">
        <v>33</v>
      </c>
      <c r="E2007" s="2" t="s">
        <v>39</v>
      </c>
      <c r="F2007" s="2" t="str">
        <f>_xlfn.XLOOKUP(Table1_1[[#This Row],[CAS_rn]],[1]analyte_order!$C:$C,[1]analyte_order!$B:$B)</f>
        <v>PFNA</v>
      </c>
      <c r="G2007" t="s">
        <v>114</v>
      </c>
      <c r="H2007" s="2">
        <f>_xlfn.XLOOKUP(Table1_1[[#This Row],[CAS_rn]],[1]analyte_order!$C:$C,[1]analyte_order!$E:$E)</f>
        <v>6</v>
      </c>
      <c r="I2007">
        <v>4.9500000000000002E-2</v>
      </c>
    </row>
    <row r="2008" spans="1:9" x14ac:dyDescent="0.3">
      <c r="A2008" s="2" t="s">
        <v>99</v>
      </c>
      <c r="B2008" s="3">
        <v>44384.5</v>
      </c>
      <c r="C2008" s="1" t="str">
        <f t="shared" si="33"/>
        <v>21189</v>
      </c>
      <c r="D2008" t="s">
        <v>33</v>
      </c>
      <c r="E2008" s="2" t="s">
        <v>39</v>
      </c>
      <c r="F2008" s="2" t="str">
        <f>_xlfn.XLOOKUP(Table1_1[[#This Row],[CAS_rn]],[1]analyte_order!$C:$C,[1]analyte_order!$B:$B)</f>
        <v>PFDA</v>
      </c>
      <c r="G2008" t="s">
        <v>115</v>
      </c>
      <c r="H2008" s="2">
        <f>_xlfn.XLOOKUP(Table1_1[[#This Row],[CAS_rn]],[1]analyte_order!$C:$C,[1]analyte_order!$E:$E)</f>
        <v>7</v>
      </c>
      <c r="I2008">
        <v>4.9500000000000002E-2</v>
      </c>
    </row>
    <row r="2009" spans="1:9" x14ac:dyDescent="0.3">
      <c r="A2009" s="2" t="s">
        <v>99</v>
      </c>
      <c r="B2009" s="3">
        <v>44384.5</v>
      </c>
      <c r="C2009" s="1" t="str">
        <f t="shared" si="33"/>
        <v>21189</v>
      </c>
      <c r="D2009" t="s">
        <v>33</v>
      </c>
      <c r="E2009" s="2" t="s">
        <v>39</v>
      </c>
      <c r="F2009" s="2" t="str">
        <f>_xlfn.XLOOKUP(Table1_1[[#This Row],[CAS_rn]],[1]analyte_order!$C:$C,[1]analyte_order!$B:$B)</f>
        <v>PFUnA</v>
      </c>
      <c r="G2009" t="s">
        <v>116</v>
      </c>
      <c r="H2009" s="2">
        <f>_xlfn.XLOOKUP(Table1_1[[#This Row],[CAS_rn]],[1]analyte_order!$C:$C,[1]analyte_order!$E:$E)</f>
        <v>8</v>
      </c>
      <c r="I2009">
        <v>4.9500000000000002E-2</v>
      </c>
    </row>
    <row r="2010" spans="1:9" x14ac:dyDescent="0.3">
      <c r="A2010" s="2" t="s">
        <v>99</v>
      </c>
      <c r="B2010" s="3">
        <v>44384.5</v>
      </c>
      <c r="C2010" s="1" t="str">
        <f t="shared" si="33"/>
        <v>21189</v>
      </c>
      <c r="D2010" t="s">
        <v>33</v>
      </c>
      <c r="E2010" s="2" t="s">
        <v>39</v>
      </c>
      <c r="F2010" s="2" t="str">
        <f>_xlfn.XLOOKUP(Table1_1[[#This Row],[CAS_rn]],[1]analyte_order!$C:$C,[1]analyte_order!$B:$B)</f>
        <v>PFDoA</v>
      </c>
      <c r="G2010" t="s">
        <v>117</v>
      </c>
      <c r="H2010" s="2">
        <f>_xlfn.XLOOKUP(Table1_1[[#This Row],[CAS_rn]],[1]analyte_order!$C:$C,[1]analyte_order!$E:$E)</f>
        <v>9</v>
      </c>
      <c r="I2010">
        <v>4.9500000000000002E-2</v>
      </c>
    </row>
    <row r="2011" spans="1:9" x14ac:dyDescent="0.3">
      <c r="A2011" s="2" t="s">
        <v>99</v>
      </c>
      <c r="B2011" s="3">
        <v>44384.5</v>
      </c>
      <c r="C2011" s="1" t="str">
        <f t="shared" si="33"/>
        <v>21189</v>
      </c>
      <c r="D2011" t="s">
        <v>33</v>
      </c>
      <c r="E2011" s="2" t="s">
        <v>39</v>
      </c>
      <c r="F2011" s="2" t="str">
        <f>_xlfn.XLOOKUP(Table1_1[[#This Row],[CAS_rn]],[1]analyte_order!$C:$C,[1]analyte_order!$B:$B)</f>
        <v>PFTrDA</v>
      </c>
      <c r="G2011" t="s">
        <v>118</v>
      </c>
      <c r="H2011" s="2">
        <f>_xlfn.XLOOKUP(Table1_1[[#This Row],[CAS_rn]],[1]analyte_order!$C:$C,[1]analyte_order!$E:$E)</f>
        <v>10</v>
      </c>
      <c r="I2011">
        <v>4.9500000000000002E-2</v>
      </c>
    </row>
    <row r="2012" spans="1:9" x14ac:dyDescent="0.3">
      <c r="A2012" s="2" t="s">
        <v>99</v>
      </c>
      <c r="B2012" s="3">
        <v>44384.5</v>
      </c>
      <c r="C2012" s="1" t="str">
        <f t="shared" si="33"/>
        <v>21189</v>
      </c>
      <c r="D2012" t="s">
        <v>33</v>
      </c>
      <c r="E2012" s="2" t="s">
        <v>39</v>
      </c>
      <c r="F2012" s="2" t="str">
        <f>_xlfn.XLOOKUP(Table1_1[[#This Row],[CAS_rn]],[1]analyte_order!$C:$C,[1]analyte_order!$B:$B)</f>
        <v>PFTeDA</v>
      </c>
      <c r="G2012" t="s">
        <v>119</v>
      </c>
      <c r="H2012" s="2">
        <f>_xlfn.XLOOKUP(Table1_1[[#This Row],[CAS_rn]],[1]analyte_order!$C:$C,[1]analyte_order!$E:$E)</f>
        <v>11</v>
      </c>
      <c r="I2012">
        <v>4.9500000000000002E-2</v>
      </c>
    </row>
    <row r="2013" spans="1:9" x14ac:dyDescent="0.3">
      <c r="A2013" s="2" t="s">
        <v>99</v>
      </c>
      <c r="B2013" s="3">
        <v>44384.5</v>
      </c>
      <c r="C2013" s="1" t="str">
        <f t="shared" si="33"/>
        <v>21189</v>
      </c>
      <c r="D2013" t="s">
        <v>33</v>
      </c>
      <c r="E2013" s="2" t="s">
        <v>39</v>
      </c>
      <c r="F2013" s="2" t="str">
        <f>_xlfn.XLOOKUP(Table1_1[[#This Row],[CAS_rn]],[1]analyte_order!$C:$C,[1]analyte_order!$B:$B)</f>
        <v>PFBS</v>
      </c>
      <c r="G2013" t="s">
        <v>120</v>
      </c>
      <c r="H2013" s="2">
        <f>_xlfn.XLOOKUP(Table1_1[[#This Row],[CAS_rn]],[1]analyte_order!$C:$C,[1]analyte_order!$E:$E)</f>
        <v>14</v>
      </c>
      <c r="I2013">
        <v>4.9500000000000002E-2</v>
      </c>
    </row>
    <row r="2014" spans="1:9" x14ac:dyDescent="0.3">
      <c r="A2014" s="2" t="s">
        <v>99</v>
      </c>
      <c r="B2014" s="3">
        <v>44384.5</v>
      </c>
      <c r="C2014" s="1" t="str">
        <f t="shared" si="33"/>
        <v>21189</v>
      </c>
      <c r="D2014" t="s">
        <v>33</v>
      </c>
      <c r="E2014" s="2" t="s">
        <v>39</v>
      </c>
      <c r="F2014" s="2" t="str">
        <f>_xlfn.XLOOKUP(Table1_1[[#This Row],[CAS_rn]],[1]analyte_order!$C:$C,[1]analyte_order!$B:$B)</f>
        <v>PFPeS</v>
      </c>
      <c r="G2014" t="s">
        <v>121</v>
      </c>
      <c r="H2014" s="2">
        <f>_xlfn.XLOOKUP(Table1_1[[#This Row],[CAS_rn]],[1]analyte_order!$C:$C,[1]analyte_order!$E:$E)</f>
        <v>15</v>
      </c>
      <c r="I2014">
        <v>4.9500000000000002E-2</v>
      </c>
    </row>
    <row r="2015" spans="1:9" x14ac:dyDescent="0.3">
      <c r="A2015" s="2" t="s">
        <v>99</v>
      </c>
      <c r="B2015" s="3">
        <v>44384.5</v>
      </c>
      <c r="C2015" s="1" t="str">
        <f t="shared" si="33"/>
        <v>21189</v>
      </c>
      <c r="D2015" t="s">
        <v>33</v>
      </c>
      <c r="E2015" s="2" t="s">
        <v>39</v>
      </c>
      <c r="F2015" s="2" t="str">
        <f>_xlfn.XLOOKUP(Table1_1[[#This Row],[CAS_rn]],[1]analyte_order!$C:$C,[1]analyte_order!$B:$B)</f>
        <v>PFHxS</v>
      </c>
      <c r="G2015" t="s">
        <v>122</v>
      </c>
      <c r="H2015" s="2">
        <f>_xlfn.XLOOKUP(Table1_1[[#This Row],[CAS_rn]],[1]analyte_order!$C:$C,[1]analyte_order!$E:$E)</f>
        <v>16</v>
      </c>
      <c r="I2015">
        <v>0.28000000000000003</v>
      </c>
    </row>
    <row r="2016" spans="1:9" x14ac:dyDescent="0.3">
      <c r="A2016" s="2" t="s">
        <v>99</v>
      </c>
      <c r="B2016" s="3">
        <v>44384.5</v>
      </c>
      <c r="C2016" s="1" t="str">
        <f t="shared" si="33"/>
        <v>21189</v>
      </c>
      <c r="D2016" t="s">
        <v>33</v>
      </c>
      <c r="E2016" s="2" t="s">
        <v>39</v>
      </c>
      <c r="F2016" s="2" t="str">
        <f>_xlfn.XLOOKUP(Table1_1[[#This Row],[CAS_rn]],[1]analyte_order!$C:$C,[1]analyte_order!$B:$B)</f>
        <v>PFHpS</v>
      </c>
      <c r="G2016" t="s">
        <v>123</v>
      </c>
      <c r="H2016" s="2">
        <f>_xlfn.XLOOKUP(Table1_1[[#This Row],[CAS_rn]],[1]analyte_order!$C:$C,[1]analyte_order!$E:$E)</f>
        <v>17</v>
      </c>
      <c r="I2016">
        <v>4.9500000000000002E-2</v>
      </c>
    </row>
    <row r="2017" spans="1:9" x14ac:dyDescent="0.3">
      <c r="A2017" s="2" t="s">
        <v>99</v>
      </c>
      <c r="B2017" s="3">
        <v>44384.5</v>
      </c>
      <c r="C2017" s="1" t="str">
        <f t="shared" si="33"/>
        <v>21189</v>
      </c>
      <c r="D2017" t="s">
        <v>33</v>
      </c>
      <c r="E2017" s="2" t="s">
        <v>39</v>
      </c>
      <c r="F2017" s="2" t="str">
        <f>_xlfn.XLOOKUP(Table1_1[[#This Row],[CAS_rn]],[1]analyte_order!$C:$C,[1]analyte_order!$B:$B)</f>
        <v>PFOS</v>
      </c>
      <c r="G2017" t="s">
        <v>124</v>
      </c>
      <c r="H2017" s="2">
        <f>_xlfn.XLOOKUP(Table1_1[[#This Row],[CAS_rn]],[1]analyte_order!$C:$C,[1]analyte_order!$E:$E)</f>
        <v>18</v>
      </c>
      <c r="I2017">
        <v>0.9</v>
      </c>
    </row>
    <row r="2018" spans="1:9" x14ac:dyDescent="0.3">
      <c r="A2018" s="2" t="s">
        <v>99</v>
      </c>
      <c r="B2018" s="3">
        <v>44384.5</v>
      </c>
      <c r="C2018" s="1" t="str">
        <f t="shared" si="33"/>
        <v>21189</v>
      </c>
      <c r="D2018" t="s">
        <v>33</v>
      </c>
      <c r="E2018" s="2" t="s">
        <v>39</v>
      </c>
      <c r="F2018" s="2" t="str">
        <f>_xlfn.XLOOKUP(Table1_1[[#This Row],[CAS_rn]],[1]analyte_order!$C:$C,[1]analyte_order!$B:$B)</f>
        <v>PFNS</v>
      </c>
      <c r="G2018" t="s">
        <v>125</v>
      </c>
      <c r="H2018" s="2">
        <f>_xlfn.XLOOKUP(Table1_1[[#This Row],[CAS_rn]],[1]analyte_order!$C:$C,[1]analyte_order!$E:$E)</f>
        <v>19</v>
      </c>
      <c r="I2018">
        <v>4.9500000000000002E-2</v>
      </c>
    </row>
    <row r="2019" spans="1:9" x14ac:dyDescent="0.3">
      <c r="A2019" s="2" t="s">
        <v>99</v>
      </c>
      <c r="B2019" s="3">
        <v>44384.5</v>
      </c>
      <c r="C2019" s="1" t="str">
        <f t="shared" si="33"/>
        <v>21189</v>
      </c>
      <c r="D2019" t="s">
        <v>33</v>
      </c>
      <c r="E2019" s="2" t="s">
        <v>39</v>
      </c>
      <c r="F2019" s="2" t="str">
        <f>_xlfn.XLOOKUP(Table1_1[[#This Row],[CAS_rn]],[1]analyte_order!$C:$C,[1]analyte_order!$B:$B)</f>
        <v>PFDoS</v>
      </c>
      <c r="G2019" t="s">
        <v>126</v>
      </c>
      <c r="H2019" s="2">
        <f>_xlfn.XLOOKUP(Table1_1[[#This Row],[CAS_rn]],[1]analyte_order!$C:$C,[1]analyte_order!$E:$E)</f>
        <v>21</v>
      </c>
      <c r="I2019">
        <v>4.9500000000000002E-2</v>
      </c>
    </row>
    <row r="2020" spans="1:9" x14ac:dyDescent="0.3">
      <c r="A2020" s="2" t="s">
        <v>99</v>
      </c>
      <c r="B2020" s="3">
        <v>44384.5</v>
      </c>
      <c r="C2020" s="1" t="str">
        <f t="shared" si="33"/>
        <v>21189</v>
      </c>
      <c r="D2020" t="s">
        <v>33</v>
      </c>
      <c r="E2020" s="2" t="s">
        <v>39</v>
      </c>
      <c r="F2020" s="2" t="str">
        <f>_xlfn.XLOOKUP(Table1_1[[#This Row],[CAS_rn]],[1]analyte_order!$C:$C,[1]analyte_order!$B:$B)</f>
        <v>4:2 FTS</v>
      </c>
      <c r="G2020" t="s">
        <v>127</v>
      </c>
      <c r="H2020" s="2">
        <f>_xlfn.XLOOKUP(Table1_1[[#This Row],[CAS_rn]],[1]analyte_order!$C:$C,[1]analyte_order!$E:$E)</f>
        <v>22</v>
      </c>
      <c r="I2020">
        <v>0.19500000000000001</v>
      </c>
    </row>
    <row r="2021" spans="1:9" x14ac:dyDescent="0.3">
      <c r="A2021" s="2" t="s">
        <v>99</v>
      </c>
      <c r="B2021" s="3">
        <v>44384.5</v>
      </c>
      <c r="C2021" s="1" t="str">
        <f t="shared" si="33"/>
        <v>21189</v>
      </c>
      <c r="D2021" t="s">
        <v>33</v>
      </c>
      <c r="E2021" s="2" t="s">
        <v>39</v>
      </c>
      <c r="F2021" s="2" t="str">
        <f>_xlfn.XLOOKUP(Table1_1[[#This Row],[CAS_rn]],[1]analyte_order!$C:$C,[1]analyte_order!$B:$B)</f>
        <v>6:2 FTS</v>
      </c>
      <c r="G2021" t="s">
        <v>128</v>
      </c>
      <c r="H2021" s="2">
        <f>_xlfn.XLOOKUP(Table1_1[[#This Row],[CAS_rn]],[1]analyte_order!$C:$C,[1]analyte_order!$E:$E)</f>
        <v>23</v>
      </c>
      <c r="I2021">
        <v>0.39500000000000002</v>
      </c>
    </row>
    <row r="2022" spans="1:9" x14ac:dyDescent="0.3">
      <c r="A2022" s="2" t="s">
        <v>99</v>
      </c>
      <c r="B2022" s="3">
        <v>44384.5</v>
      </c>
      <c r="C2022" s="1" t="str">
        <f t="shared" si="33"/>
        <v>21189</v>
      </c>
      <c r="D2022" t="s">
        <v>33</v>
      </c>
      <c r="E2022" s="2" t="s">
        <v>39</v>
      </c>
      <c r="F2022" s="2" t="str">
        <f>_xlfn.XLOOKUP(Table1_1[[#This Row],[CAS_rn]],[1]analyte_order!$C:$C,[1]analyte_order!$B:$B)</f>
        <v>8:2 FTS</v>
      </c>
      <c r="G2022" t="s">
        <v>129</v>
      </c>
      <c r="H2022" s="2">
        <f>_xlfn.XLOOKUP(Table1_1[[#This Row],[CAS_rn]],[1]analyte_order!$C:$C,[1]analyte_order!$E:$E)</f>
        <v>24</v>
      </c>
      <c r="I2022">
        <v>0.39500000000000002</v>
      </c>
    </row>
    <row r="2023" spans="1:9" x14ac:dyDescent="0.3">
      <c r="A2023" s="2" t="s">
        <v>99</v>
      </c>
      <c r="B2023" s="3">
        <v>44384.5</v>
      </c>
      <c r="C2023" s="1" t="str">
        <f t="shared" si="33"/>
        <v>21189</v>
      </c>
      <c r="D2023" t="s">
        <v>33</v>
      </c>
      <c r="E2023" s="2" t="s">
        <v>39</v>
      </c>
      <c r="F2023" s="2" t="str">
        <f>_xlfn.XLOOKUP(Table1_1[[#This Row],[CAS_rn]],[1]analyte_order!$C:$C,[1]analyte_order!$B:$B)</f>
        <v>FOSA</v>
      </c>
      <c r="G2023" t="s">
        <v>130</v>
      </c>
      <c r="H2023" s="2">
        <f>_xlfn.XLOOKUP(Table1_1[[#This Row],[CAS_rn]],[1]analyte_order!$C:$C,[1]analyte_order!$E:$E)</f>
        <v>28</v>
      </c>
      <c r="I2023">
        <v>0.09</v>
      </c>
    </row>
    <row r="2024" spans="1:9" x14ac:dyDescent="0.3">
      <c r="A2024" s="2" t="s">
        <v>99</v>
      </c>
      <c r="B2024" s="3">
        <v>44384.5</v>
      </c>
      <c r="C2024" s="1" t="str">
        <f t="shared" si="33"/>
        <v>21189</v>
      </c>
      <c r="D2024" t="s">
        <v>33</v>
      </c>
      <c r="E2024" s="2" t="s">
        <v>39</v>
      </c>
      <c r="F2024" s="2" t="str">
        <f>_xlfn.XLOOKUP(Table1_1[[#This Row],[CAS_rn]],[1]analyte_order!$C:$C,[1]analyte_order!$B:$B)</f>
        <v>N-MeFOSA</v>
      </c>
      <c r="G2024" t="s">
        <v>131</v>
      </c>
      <c r="H2024" s="2">
        <f>_xlfn.XLOOKUP(Table1_1[[#This Row],[CAS_rn]],[1]analyte_order!$C:$C,[1]analyte_order!$E:$E)</f>
        <v>30</v>
      </c>
      <c r="I2024">
        <v>4.9500000000000002E-2</v>
      </c>
    </row>
    <row r="2025" spans="1:9" x14ac:dyDescent="0.3">
      <c r="A2025" s="2" t="s">
        <v>99</v>
      </c>
      <c r="B2025" s="3">
        <v>44384.5</v>
      </c>
      <c r="C2025" s="1" t="str">
        <f t="shared" si="33"/>
        <v>21189</v>
      </c>
      <c r="D2025" t="s">
        <v>33</v>
      </c>
      <c r="E2025" s="2" t="s">
        <v>39</v>
      </c>
      <c r="F2025" s="2" t="str">
        <f>_xlfn.XLOOKUP(Table1_1[[#This Row],[CAS_rn]],[1]analyte_order!$C:$C,[1]analyte_order!$B:$B)</f>
        <v>N-MeFOSAA</v>
      </c>
      <c r="G2025" t="s">
        <v>132</v>
      </c>
      <c r="H2025" s="2">
        <f>_xlfn.XLOOKUP(Table1_1[[#This Row],[CAS_rn]],[1]analyte_order!$C:$C,[1]analyte_order!$E:$E)</f>
        <v>26</v>
      </c>
      <c r="I2025">
        <v>4.9500000000000002E-2</v>
      </c>
    </row>
    <row r="2026" spans="1:9" x14ac:dyDescent="0.3">
      <c r="A2026" s="2" t="s">
        <v>99</v>
      </c>
      <c r="B2026" s="3">
        <v>44384.5</v>
      </c>
      <c r="C2026" s="1" t="str">
        <f t="shared" si="33"/>
        <v>21189</v>
      </c>
      <c r="D2026" t="s">
        <v>33</v>
      </c>
      <c r="E2026" s="2" t="s">
        <v>39</v>
      </c>
      <c r="F2026" s="2" t="str">
        <f>_xlfn.XLOOKUP(Table1_1[[#This Row],[CAS_rn]],[1]analyte_order!$C:$C,[1]analyte_order!$B:$B)</f>
        <v>N-EtFOSA</v>
      </c>
      <c r="G2026" t="s">
        <v>133</v>
      </c>
      <c r="H2026" s="2">
        <f>_xlfn.XLOOKUP(Table1_1[[#This Row],[CAS_rn]],[1]analyte_order!$C:$C,[1]analyte_order!$E:$E)</f>
        <v>31</v>
      </c>
      <c r="I2026">
        <v>4.9500000000000002E-2</v>
      </c>
    </row>
    <row r="2027" spans="1:9" x14ac:dyDescent="0.3">
      <c r="A2027" s="2" t="s">
        <v>99</v>
      </c>
      <c r="B2027" s="3">
        <v>44384.5</v>
      </c>
      <c r="C2027" s="1" t="str">
        <f t="shared" si="33"/>
        <v>21189</v>
      </c>
      <c r="D2027" t="s">
        <v>33</v>
      </c>
      <c r="E2027" s="2" t="s">
        <v>39</v>
      </c>
      <c r="F2027" s="2" t="str">
        <f>_xlfn.XLOOKUP(Table1_1[[#This Row],[CAS_rn]],[1]analyte_order!$C:$C,[1]analyte_order!$B:$B)</f>
        <v>N-EtFOSAA</v>
      </c>
      <c r="G2027" t="s">
        <v>134</v>
      </c>
      <c r="H2027" s="2">
        <f>_xlfn.XLOOKUP(Table1_1[[#This Row],[CAS_rn]],[1]analyte_order!$C:$C,[1]analyte_order!$E:$E)</f>
        <v>27</v>
      </c>
      <c r="I2027">
        <v>4.9500000000000002E-2</v>
      </c>
    </row>
    <row r="2028" spans="1:9" x14ac:dyDescent="0.3">
      <c r="A2028" s="2" t="s">
        <v>99</v>
      </c>
      <c r="B2028" s="3">
        <v>44384.5</v>
      </c>
      <c r="C2028" s="1" t="str">
        <f t="shared" si="33"/>
        <v>21189</v>
      </c>
      <c r="D2028" t="s">
        <v>33</v>
      </c>
      <c r="E2028" s="2" t="s">
        <v>39</v>
      </c>
      <c r="F2028" s="2" t="str">
        <f>_xlfn.XLOOKUP(Table1_1[[#This Row],[CAS_rn]],[1]analyte_order!$C:$C,[1]analyte_order!$B:$B)</f>
        <v>N-MeFOSE</v>
      </c>
      <c r="G2028" t="s">
        <v>135</v>
      </c>
      <c r="H2028" s="2">
        <f>_xlfn.XLOOKUP(Table1_1[[#This Row],[CAS_rn]],[1]analyte_order!$C:$C,[1]analyte_order!$E:$E)</f>
        <v>32</v>
      </c>
      <c r="I2028">
        <v>0.495</v>
      </c>
    </row>
    <row r="2029" spans="1:9" x14ac:dyDescent="0.3">
      <c r="A2029" s="2" t="s">
        <v>99</v>
      </c>
      <c r="B2029" s="3">
        <v>44384.5</v>
      </c>
      <c r="C2029" s="1" t="str">
        <f t="shared" si="33"/>
        <v>21189</v>
      </c>
      <c r="D2029" t="s">
        <v>33</v>
      </c>
      <c r="E2029" s="2" t="s">
        <v>39</v>
      </c>
      <c r="F2029" s="2" t="str">
        <f>_xlfn.XLOOKUP(Table1_1[[#This Row],[CAS_rn]],[1]analyte_order!$C:$C,[1]analyte_order!$B:$B)</f>
        <v>N-EtFOSE</v>
      </c>
      <c r="G2029" t="s">
        <v>136</v>
      </c>
      <c r="H2029" s="2">
        <f>_xlfn.XLOOKUP(Table1_1[[#This Row],[CAS_rn]],[1]analyte_order!$C:$C,[1]analyte_order!$E:$E)</f>
        <v>33</v>
      </c>
      <c r="I2029">
        <v>0.495</v>
      </c>
    </row>
    <row r="2030" spans="1:9" x14ac:dyDescent="0.3">
      <c r="A2030" s="2" t="s">
        <v>99</v>
      </c>
      <c r="B2030" s="3">
        <v>44384.5</v>
      </c>
      <c r="C2030" s="1" t="str">
        <f t="shared" si="33"/>
        <v>21189</v>
      </c>
      <c r="D2030" t="s">
        <v>33</v>
      </c>
      <c r="E2030" s="2" t="s">
        <v>39</v>
      </c>
      <c r="F2030" s="2" t="str">
        <f>_xlfn.XLOOKUP(Table1_1[[#This Row],[CAS_rn]],[1]analyte_order!$C:$C,[1]analyte_order!$B:$B)</f>
        <v>HFPO-DA</v>
      </c>
      <c r="G2030" t="s">
        <v>137</v>
      </c>
      <c r="H2030" s="2">
        <f>_xlfn.XLOOKUP(Table1_1[[#This Row],[CAS_rn]],[1]analyte_order!$C:$C,[1]analyte_order!$E:$E)</f>
        <v>34</v>
      </c>
      <c r="I2030">
        <v>0.29499999999999998</v>
      </c>
    </row>
    <row r="2031" spans="1:9" x14ac:dyDescent="0.3">
      <c r="A2031" s="2" t="s">
        <v>99</v>
      </c>
      <c r="B2031" s="3">
        <v>44384.5</v>
      </c>
      <c r="C2031" s="1" t="str">
        <f t="shared" si="33"/>
        <v>21189</v>
      </c>
      <c r="D2031" t="s">
        <v>33</v>
      </c>
      <c r="E2031" s="2" t="s">
        <v>39</v>
      </c>
      <c r="F2031" s="2" t="str">
        <f>_xlfn.XLOOKUP(Table1_1[[#This Row],[CAS_rn]],[1]analyte_order!$C:$C,[1]analyte_order!$B:$B)</f>
        <v>ADONA</v>
      </c>
      <c r="G2031" t="s">
        <v>138</v>
      </c>
      <c r="H2031" s="2">
        <f>_xlfn.XLOOKUP(Table1_1[[#This Row],[CAS_rn]],[1]analyte_order!$C:$C,[1]analyte_order!$E:$E)</f>
        <v>35</v>
      </c>
      <c r="I2031">
        <v>0.19500000000000001</v>
      </c>
    </row>
    <row r="2032" spans="1:9" x14ac:dyDescent="0.3">
      <c r="A2032" s="2" t="s">
        <v>99</v>
      </c>
      <c r="B2032" s="3">
        <v>44384.5</v>
      </c>
      <c r="C2032" s="1" t="str">
        <f t="shared" si="33"/>
        <v>21189</v>
      </c>
      <c r="D2032" t="s">
        <v>33</v>
      </c>
      <c r="E2032" s="2" t="s">
        <v>39</v>
      </c>
      <c r="F2032" s="2" t="str">
        <f>_xlfn.XLOOKUP(Table1_1[[#This Row],[CAS_rn]],[1]analyte_order!$C:$C,[1]analyte_order!$B:$B)</f>
        <v>PFMBA</v>
      </c>
      <c r="G2032" t="s">
        <v>139</v>
      </c>
      <c r="H2032" s="2">
        <f>_xlfn.XLOOKUP(Table1_1[[#This Row],[CAS_rn]],[1]analyte_order!$C:$C,[1]analyte_order!$E:$E)</f>
        <v>48</v>
      </c>
      <c r="I2032">
        <v>0.1</v>
      </c>
    </row>
    <row r="2033" spans="1:9" x14ac:dyDescent="0.3">
      <c r="A2033" s="2" t="s">
        <v>99</v>
      </c>
      <c r="B2033" s="3">
        <v>44384.5</v>
      </c>
      <c r="C2033" s="1" t="str">
        <f t="shared" si="33"/>
        <v>21189</v>
      </c>
      <c r="D2033" t="s">
        <v>33</v>
      </c>
      <c r="E2033" s="2" t="s">
        <v>39</v>
      </c>
      <c r="F2033" s="2" t="str">
        <f>_xlfn.XLOOKUP(Table1_1[[#This Row],[CAS_rn]],[1]analyte_order!$C:$C,[1]analyte_order!$B:$B)</f>
        <v>NFDHA</v>
      </c>
      <c r="G2033" t="s">
        <v>140</v>
      </c>
      <c r="H2033" s="2">
        <f>_xlfn.XLOOKUP(Table1_1[[#This Row],[CAS_rn]],[1]analyte_order!$C:$C,[1]analyte_order!$E:$E)</f>
        <v>50</v>
      </c>
      <c r="I2033">
        <v>0.1</v>
      </c>
    </row>
    <row r="2034" spans="1:9" x14ac:dyDescent="0.3">
      <c r="A2034" s="2" t="s">
        <v>99</v>
      </c>
      <c r="B2034" s="3">
        <v>44384.5</v>
      </c>
      <c r="C2034" s="1" t="str">
        <f t="shared" si="33"/>
        <v>21189</v>
      </c>
      <c r="D2034" t="s">
        <v>33</v>
      </c>
      <c r="E2034" s="2" t="s">
        <v>39</v>
      </c>
      <c r="F2034" s="2" t="str">
        <f>_xlfn.XLOOKUP(Table1_1[[#This Row],[CAS_rn]],[1]analyte_order!$C:$C,[1]analyte_order!$B:$B)</f>
        <v>9Cl-PF3ONS</v>
      </c>
      <c r="G2034" t="s">
        <v>141</v>
      </c>
      <c r="H2034" s="2">
        <f>_xlfn.XLOOKUP(Table1_1[[#This Row],[CAS_rn]],[1]analyte_order!$C:$C,[1]analyte_order!$E:$E)</f>
        <v>36</v>
      </c>
      <c r="I2034">
        <v>0.19500000000000001</v>
      </c>
    </row>
    <row r="2035" spans="1:9" x14ac:dyDescent="0.3">
      <c r="A2035" s="2" t="s">
        <v>99</v>
      </c>
      <c r="B2035" s="3">
        <v>44384.5</v>
      </c>
      <c r="C2035" s="1" t="str">
        <f t="shared" si="33"/>
        <v>21189</v>
      </c>
      <c r="D2035" t="s">
        <v>33</v>
      </c>
      <c r="E2035" s="2" t="s">
        <v>39</v>
      </c>
      <c r="F2035" s="2" t="str">
        <f>_xlfn.XLOOKUP(Table1_1[[#This Row],[CAS_rn]],[1]analyte_order!$C:$C,[1]analyte_order!$B:$B)</f>
        <v>11Cl-PF3OUdS</v>
      </c>
      <c r="G2035" t="s">
        <v>142</v>
      </c>
      <c r="H2035" s="2">
        <f>_xlfn.XLOOKUP(Table1_1[[#This Row],[CAS_rn]],[1]analyte_order!$C:$C,[1]analyte_order!$E:$E)</f>
        <v>37</v>
      </c>
      <c r="I2035">
        <v>0.19500000000000001</v>
      </c>
    </row>
    <row r="2036" spans="1:9" x14ac:dyDescent="0.3">
      <c r="A2036" s="2" t="s">
        <v>99</v>
      </c>
      <c r="B2036" s="3">
        <v>44384.5</v>
      </c>
      <c r="C2036" s="1" t="str">
        <f t="shared" si="33"/>
        <v>21189</v>
      </c>
      <c r="D2036" t="s">
        <v>33</v>
      </c>
      <c r="E2036" s="2" t="s">
        <v>39</v>
      </c>
      <c r="F2036" s="2" t="str">
        <f>_xlfn.XLOOKUP(Table1_1[[#This Row],[CAS_rn]],[1]analyte_order!$C:$C,[1]analyte_order!$B:$B)</f>
        <v>PFEESA</v>
      </c>
      <c r="G2036" t="s">
        <v>143</v>
      </c>
      <c r="H2036" s="2">
        <f>_xlfn.XLOOKUP(Table1_1[[#This Row],[CAS_rn]],[1]analyte_order!$C:$C,[1]analyte_order!$E:$E)</f>
        <v>47</v>
      </c>
      <c r="I2036">
        <v>0.1</v>
      </c>
    </row>
    <row r="2037" spans="1:9" x14ac:dyDescent="0.3">
      <c r="A2037" s="2" t="s">
        <v>99</v>
      </c>
      <c r="B2037" s="3">
        <v>44384.5</v>
      </c>
      <c r="C2037" s="1" t="str">
        <f t="shared" si="33"/>
        <v>21189</v>
      </c>
      <c r="D2037" t="s">
        <v>33</v>
      </c>
      <c r="E2037" s="2" t="s">
        <v>39</v>
      </c>
      <c r="F2037" s="2" t="str">
        <f>_xlfn.XLOOKUP(Table1_1[[#This Row],[CAS_rn]],[1]analyte_order!$C:$C,[1]analyte_order!$B:$B)</f>
        <v>3:3 FTCA</v>
      </c>
      <c r="G2037" t="s">
        <v>144</v>
      </c>
      <c r="H2037" s="2">
        <f>_xlfn.XLOOKUP(Table1_1[[#This Row],[CAS_rn]],[1]analyte_order!$C:$C,[1]analyte_order!$E:$E)</f>
        <v>38</v>
      </c>
      <c r="I2037">
        <v>0.245</v>
      </c>
    </row>
    <row r="2038" spans="1:9" x14ac:dyDescent="0.3">
      <c r="A2038" s="2" t="s">
        <v>99</v>
      </c>
      <c r="B2038" s="3">
        <v>44384.5</v>
      </c>
      <c r="C2038" s="1" t="str">
        <f t="shared" si="33"/>
        <v>21189</v>
      </c>
      <c r="D2038" t="s">
        <v>33</v>
      </c>
      <c r="E2038" s="2" t="s">
        <v>39</v>
      </c>
      <c r="F2038" s="2" t="str">
        <f>_xlfn.XLOOKUP(Table1_1[[#This Row],[CAS_rn]],[1]analyte_order!$C:$C,[1]analyte_order!$B:$B)</f>
        <v>5:3 FTCA</v>
      </c>
      <c r="G2038" t="s">
        <v>145</v>
      </c>
      <c r="H2038" s="2">
        <f>_xlfn.XLOOKUP(Table1_1[[#This Row],[CAS_rn]],[1]analyte_order!$C:$C,[1]analyte_order!$E:$E)</f>
        <v>39</v>
      </c>
      <c r="I2038">
        <v>1.25</v>
      </c>
    </row>
    <row r="2039" spans="1:9" x14ac:dyDescent="0.3">
      <c r="A2039" s="2" t="s">
        <v>99</v>
      </c>
      <c r="B2039" s="3">
        <v>44384.5</v>
      </c>
      <c r="C2039" s="1" t="str">
        <f t="shared" si="33"/>
        <v>21189</v>
      </c>
      <c r="D2039" t="s">
        <v>33</v>
      </c>
      <c r="E2039" s="2" t="s">
        <v>39</v>
      </c>
      <c r="F2039" s="2" t="str">
        <f>_xlfn.XLOOKUP(Table1_1[[#This Row],[CAS_rn]],[1]analyte_order!$C:$C,[1]analyte_order!$B:$B)</f>
        <v>7:3 FTCA</v>
      </c>
      <c r="G2039" t="s">
        <v>146</v>
      </c>
      <c r="H2039" s="2">
        <f>_xlfn.XLOOKUP(Table1_1[[#This Row],[CAS_rn]],[1]analyte_order!$C:$C,[1]analyte_order!$E:$E)</f>
        <v>40</v>
      </c>
      <c r="I2039">
        <v>1.25</v>
      </c>
    </row>
    <row r="2040" spans="1:9" x14ac:dyDescent="0.3">
      <c r="A2040" s="2" t="s">
        <v>99</v>
      </c>
      <c r="B2040" s="3">
        <v>44384.5</v>
      </c>
      <c r="C2040" s="1" t="str">
        <f t="shared" si="33"/>
        <v>21189</v>
      </c>
      <c r="D2040" t="s">
        <v>33</v>
      </c>
      <c r="E2040" s="2" t="s">
        <v>39</v>
      </c>
      <c r="F2040" s="2" t="str">
        <f>_xlfn.XLOOKUP(Table1_1[[#This Row],[CAS_rn]],[1]analyte_order!$C:$C,[1]analyte_order!$B:$B)</f>
        <v>PFDS</v>
      </c>
      <c r="G2040" t="s">
        <v>147</v>
      </c>
      <c r="H2040" s="2">
        <f>_xlfn.XLOOKUP(Table1_1[[#This Row],[CAS_rn]],[1]analyte_order!$C:$C,[1]analyte_order!$E:$E)</f>
        <v>20</v>
      </c>
      <c r="I2040">
        <v>4.9500000000000002E-2</v>
      </c>
    </row>
    <row r="2041" spans="1:9" x14ac:dyDescent="0.3">
      <c r="A2041" s="2" t="s">
        <v>99</v>
      </c>
      <c r="B2041" s="3">
        <v>44384.5</v>
      </c>
      <c r="C2041" s="1" t="str">
        <f t="shared" si="33"/>
        <v>21189</v>
      </c>
      <c r="D2041" t="s">
        <v>33</v>
      </c>
      <c r="E2041" s="2" t="s">
        <v>39</v>
      </c>
      <c r="F2041" s="2" t="str">
        <f>_xlfn.XLOOKUP(Table1_1[[#This Row],[CAS_rn]],[1]analyte_order!$C:$C,[1]analyte_order!$B:$B)</f>
        <v>PFMPA</v>
      </c>
      <c r="G2041" t="s">
        <v>148</v>
      </c>
      <c r="H2041" s="2">
        <f>_xlfn.XLOOKUP(Table1_1[[#This Row],[CAS_rn]],[1]analyte_order!$C:$C,[1]analyte_order!$E:$E)</f>
        <v>49</v>
      </c>
      <c r="I2041">
        <v>0.1</v>
      </c>
    </row>
    <row r="2042" spans="1:9" x14ac:dyDescent="0.3">
      <c r="A2042" s="2" t="s">
        <v>100</v>
      </c>
      <c r="B2042" s="3">
        <v>44384.5</v>
      </c>
      <c r="C2042" s="1" t="str">
        <f t="shared" si="33"/>
        <v>21189</v>
      </c>
      <c r="D2042" t="s">
        <v>29</v>
      </c>
      <c r="E2042" s="2" t="s">
        <v>39</v>
      </c>
      <c r="F2042" s="2" t="str">
        <f>_xlfn.XLOOKUP(Table1_1[[#This Row],[CAS_rn]],[1]analyte_order!$C:$C,[1]analyte_order!$B:$B)</f>
        <v>PFBA</v>
      </c>
      <c r="G2042" t="s">
        <v>109</v>
      </c>
      <c r="H2042" s="2">
        <f>_xlfn.XLOOKUP(Table1_1[[#This Row],[CAS_rn]],[1]analyte_order!$C:$C,[1]analyte_order!$E:$E)</f>
        <v>1</v>
      </c>
      <c r="I2042">
        <v>0.2</v>
      </c>
    </row>
    <row r="2043" spans="1:9" x14ac:dyDescent="0.3">
      <c r="A2043" s="2" t="s">
        <v>100</v>
      </c>
      <c r="B2043" s="3">
        <v>44384.5</v>
      </c>
      <c r="C2043" s="1" t="str">
        <f t="shared" si="33"/>
        <v>21189</v>
      </c>
      <c r="D2043" t="s">
        <v>29</v>
      </c>
      <c r="E2043" s="2" t="s">
        <v>39</v>
      </c>
      <c r="F2043" s="2" t="str">
        <f>_xlfn.XLOOKUP(Table1_1[[#This Row],[CAS_rn]],[1]analyte_order!$C:$C,[1]analyte_order!$B:$B)</f>
        <v>PFPeA</v>
      </c>
      <c r="G2043" t="s">
        <v>110</v>
      </c>
      <c r="H2043" s="2">
        <f>_xlfn.XLOOKUP(Table1_1[[#This Row],[CAS_rn]],[1]analyte_order!$C:$C,[1]analyte_order!$E:$E)</f>
        <v>2</v>
      </c>
      <c r="I2043">
        <v>0.1</v>
      </c>
    </row>
    <row r="2044" spans="1:9" x14ac:dyDescent="0.3">
      <c r="A2044" s="2" t="s">
        <v>100</v>
      </c>
      <c r="B2044" s="3">
        <v>44384.5</v>
      </c>
      <c r="C2044" s="1" t="str">
        <f t="shared" si="33"/>
        <v>21189</v>
      </c>
      <c r="D2044" t="s">
        <v>29</v>
      </c>
      <c r="E2044" s="2" t="s">
        <v>39</v>
      </c>
      <c r="F2044" s="2" t="str">
        <f>_xlfn.XLOOKUP(Table1_1[[#This Row],[CAS_rn]],[1]analyte_order!$C:$C,[1]analyte_order!$B:$B)</f>
        <v>PFHxA</v>
      </c>
      <c r="G2044" t="s">
        <v>111</v>
      </c>
      <c r="H2044" s="2">
        <f>_xlfn.XLOOKUP(Table1_1[[#This Row],[CAS_rn]],[1]analyte_order!$C:$C,[1]analyte_order!$E:$E)</f>
        <v>3</v>
      </c>
      <c r="I2044">
        <v>0.13</v>
      </c>
    </row>
    <row r="2045" spans="1:9" x14ac:dyDescent="0.3">
      <c r="A2045" s="2" t="s">
        <v>100</v>
      </c>
      <c r="B2045" s="3">
        <v>44384.5</v>
      </c>
      <c r="C2045" s="1" t="str">
        <f t="shared" si="33"/>
        <v>21189</v>
      </c>
      <c r="D2045" t="s">
        <v>29</v>
      </c>
      <c r="E2045" s="2" t="s">
        <v>39</v>
      </c>
      <c r="F2045" s="2" t="str">
        <f>_xlfn.XLOOKUP(Table1_1[[#This Row],[CAS_rn]],[1]analyte_order!$C:$C,[1]analyte_order!$B:$B)</f>
        <v>PFHpA</v>
      </c>
      <c r="G2045" t="s">
        <v>112</v>
      </c>
      <c r="H2045" s="2">
        <f>_xlfn.XLOOKUP(Table1_1[[#This Row],[CAS_rn]],[1]analyte_order!$C:$C,[1]analyte_order!$E:$E)</f>
        <v>4</v>
      </c>
      <c r="I2045">
        <v>0.09</v>
      </c>
    </row>
    <row r="2046" spans="1:9" x14ac:dyDescent="0.3">
      <c r="A2046" s="2" t="s">
        <v>100</v>
      </c>
      <c r="B2046" s="3">
        <v>44384.5</v>
      </c>
      <c r="C2046" s="1" t="str">
        <f t="shared" si="33"/>
        <v>21189</v>
      </c>
      <c r="D2046" t="s">
        <v>29</v>
      </c>
      <c r="E2046" s="2" t="s">
        <v>39</v>
      </c>
      <c r="F2046" s="2" t="str">
        <f>_xlfn.XLOOKUP(Table1_1[[#This Row],[CAS_rn]],[1]analyte_order!$C:$C,[1]analyte_order!$B:$B)</f>
        <v>PFOA</v>
      </c>
      <c r="G2046" t="s">
        <v>113</v>
      </c>
      <c r="H2046" s="2">
        <f>_xlfn.XLOOKUP(Table1_1[[#This Row],[CAS_rn]],[1]analyte_order!$C:$C,[1]analyte_order!$E:$E)</f>
        <v>5</v>
      </c>
      <c r="I2046">
        <v>0.23</v>
      </c>
    </row>
    <row r="2047" spans="1:9" x14ac:dyDescent="0.3">
      <c r="A2047" s="2" t="s">
        <v>100</v>
      </c>
      <c r="B2047" s="3">
        <v>44384.5</v>
      </c>
      <c r="C2047" s="1" t="str">
        <f t="shared" si="33"/>
        <v>21189</v>
      </c>
      <c r="D2047" t="s">
        <v>29</v>
      </c>
      <c r="E2047" s="2" t="s">
        <v>39</v>
      </c>
      <c r="F2047" s="2" t="str">
        <f>_xlfn.XLOOKUP(Table1_1[[#This Row],[CAS_rn]],[1]analyte_order!$C:$C,[1]analyte_order!$B:$B)</f>
        <v>PFNA</v>
      </c>
      <c r="G2047" t="s">
        <v>114</v>
      </c>
      <c r="H2047" s="2">
        <f>_xlfn.XLOOKUP(Table1_1[[#This Row],[CAS_rn]],[1]analyte_order!$C:$C,[1]analyte_order!$E:$E)</f>
        <v>6</v>
      </c>
      <c r="I2047">
        <v>0.05</v>
      </c>
    </row>
    <row r="2048" spans="1:9" x14ac:dyDescent="0.3">
      <c r="A2048" s="2" t="s">
        <v>100</v>
      </c>
      <c r="B2048" s="3">
        <v>44384.5</v>
      </c>
      <c r="C2048" s="1" t="str">
        <f t="shared" si="33"/>
        <v>21189</v>
      </c>
      <c r="D2048" t="s">
        <v>29</v>
      </c>
      <c r="E2048" s="2" t="s">
        <v>39</v>
      </c>
      <c r="F2048" s="2" t="str">
        <f>_xlfn.XLOOKUP(Table1_1[[#This Row],[CAS_rn]],[1]analyte_order!$C:$C,[1]analyte_order!$B:$B)</f>
        <v>PFDA</v>
      </c>
      <c r="G2048" t="s">
        <v>115</v>
      </c>
      <c r="H2048" s="2">
        <f>_xlfn.XLOOKUP(Table1_1[[#This Row],[CAS_rn]],[1]analyte_order!$C:$C,[1]analyte_order!$E:$E)</f>
        <v>7</v>
      </c>
      <c r="I2048">
        <v>0.05</v>
      </c>
    </row>
    <row r="2049" spans="1:9" x14ac:dyDescent="0.3">
      <c r="A2049" s="2" t="s">
        <v>100</v>
      </c>
      <c r="B2049" s="3">
        <v>44384.5</v>
      </c>
      <c r="C2049" s="1" t="str">
        <f t="shared" si="33"/>
        <v>21189</v>
      </c>
      <c r="D2049" t="s">
        <v>29</v>
      </c>
      <c r="E2049" s="2" t="s">
        <v>39</v>
      </c>
      <c r="F2049" s="2" t="str">
        <f>_xlfn.XLOOKUP(Table1_1[[#This Row],[CAS_rn]],[1]analyte_order!$C:$C,[1]analyte_order!$B:$B)</f>
        <v>PFUnA</v>
      </c>
      <c r="G2049" t="s">
        <v>116</v>
      </c>
      <c r="H2049" s="2">
        <f>_xlfn.XLOOKUP(Table1_1[[#This Row],[CAS_rn]],[1]analyte_order!$C:$C,[1]analyte_order!$E:$E)</f>
        <v>8</v>
      </c>
      <c r="I2049">
        <v>0.05</v>
      </c>
    </row>
    <row r="2050" spans="1:9" x14ac:dyDescent="0.3">
      <c r="A2050" s="2" t="s">
        <v>100</v>
      </c>
      <c r="B2050" s="3">
        <v>44384.5</v>
      </c>
      <c r="C2050" s="1" t="str">
        <f t="shared" si="33"/>
        <v>21189</v>
      </c>
      <c r="D2050" t="s">
        <v>29</v>
      </c>
      <c r="E2050" s="2" t="s">
        <v>39</v>
      </c>
      <c r="F2050" s="2" t="str">
        <f>_xlfn.XLOOKUP(Table1_1[[#This Row],[CAS_rn]],[1]analyte_order!$C:$C,[1]analyte_order!$B:$B)</f>
        <v>PFDoA</v>
      </c>
      <c r="G2050" t="s">
        <v>117</v>
      </c>
      <c r="H2050" s="2">
        <f>_xlfn.XLOOKUP(Table1_1[[#This Row],[CAS_rn]],[1]analyte_order!$C:$C,[1]analyte_order!$E:$E)</f>
        <v>9</v>
      </c>
      <c r="I2050">
        <v>0.05</v>
      </c>
    </row>
    <row r="2051" spans="1:9" x14ac:dyDescent="0.3">
      <c r="A2051" s="2" t="s">
        <v>100</v>
      </c>
      <c r="B2051" s="3">
        <v>44384.5</v>
      </c>
      <c r="C2051" s="1" t="str">
        <f t="shared" si="33"/>
        <v>21189</v>
      </c>
      <c r="D2051" t="s">
        <v>29</v>
      </c>
      <c r="E2051" s="2" t="s">
        <v>39</v>
      </c>
      <c r="F2051" s="2" t="str">
        <f>_xlfn.XLOOKUP(Table1_1[[#This Row],[CAS_rn]],[1]analyte_order!$C:$C,[1]analyte_order!$B:$B)</f>
        <v>PFTrDA</v>
      </c>
      <c r="G2051" t="s">
        <v>118</v>
      </c>
      <c r="H2051" s="2">
        <f>_xlfn.XLOOKUP(Table1_1[[#This Row],[CAS_rn]],[1]analyte_order!$C:$C,[1]analyte_order!$E:$E)</f>
        <v>10</v>
      </c>
      <c r="I2051">
        <v>0.05</v>
      </c>
    </row>
    <row r="2052" spans="1:9" x14ac:dyDescent="0.3">
      <c r="A2052" s="2" t="s">
        <v>100</v>
      </c>
      <c r="B2052" s="3">
        <v>44384.5</v>
      </c>
      <c r="C2052" s="1" t="str">
        <f t="shared" si="33"/>
        <v>21189</v>
      </c>
      <c r="D2052" t="s">
        <v>29</v>
      </c>
      <c r="E2052" s="2" t="s">
        <v>39</v>
      </c>
      <c r="F2052" s="2" t="str">
        <f>_xlfn.XLOOKUP(Table1_1[[#This Row],[CAS_rn]],[1]analyte_order!$C:$C,[1]analyte_order!$B:$B)</f>
        <v>PFTeDA</v>
      </c>
      <c r="G2052" t="s">
        <v>119</v>
      </c>
      <c r="H2052" s="2">
        <f>_xlfn.XLOOKUP(Table1_1[[#This Row],[CAS_rn]],[1]analyte_order!$C:$C,[1]analyte_order!$E:$E)</f>
        <v>11</v>
      </c>
      <c r="I2052">
        <v>0.05</v>
      </c>
    </row>
    <row r="2053" spans="1:9" x14ac:dyDescent="0.3">
      <c r="A2053" s="2" t="s">
        <v>100</v>
      </c>
      <c r="B2053" s="3">
        <v>44384.5</v>
      </c>
      <c r="C2053" s="1" t="str">
        <f t="shared" si="33"/>
        <v>21189</v>
      </c>
      <c r="D2053" t="s">
        <v>29</v>
      </c>
      <c r="E2053" s="2" t="s">
        <v>39</v>
      </c>
      <c r="F2053" s="2" t="str">
        <f>_xlfn.XLOOKUP(Table1_1[[#This Row],[CAS_rn]],[1]analyte_order!$C:$C,[1]analyte_order!$B:$B)</f>
        <v>PFBS</v>
      </c>
      <c r="G2053" t="s">
        <v>120</v>
      </c>
      <c r="H2053" s="2">
        <f>_xlfn.XLOOKUP(Table1_1[[#This Row],[CAS_rn]],[1]analyte_order!$C:$C,[1]analyte_order!$E:$E)</f>
        <v>14</v>
      </c>
      <c r="I2053">
        <v>0.05</v>
      </c>
    </row>
    <row r="2054" spans="1:9" x14ac:dyDescent="0.3">
      <c r="A2054" s="2" t="s">
        <v>100</v>
      </c>
      <c r="B2054" s="3">
        <v>44384.5</v>
      </c>
      <c r="C2054" s="1" t="str">
        <f t="shared" si="33"/>
        <v>21189</v>
      </c>
      <c r="D2054" t="s">
        <v>29</v>
      </c>
      <c r="E2054" s="2" t="s">
        <v>39</v>
      </c>
      <c r="F2054" s="2" t="str">
        <f>_xlfn.XLOOKUP(Table1_1[[#This Row],[CAS_rn]],[1]analyte_order!$C:$C,[1]analyte_order!$B:$B)</f>
        <v>PFPeS</v>
      </c>
      <c r="G2054" t="s">
        <v>121</v>
      </c>
      <c r="H2054" s="2">
        <f>_xlfn.XLOOKUP(Table1_1[[#This Row],[CAS_rn]],[1]analyte_order!$C:$C,[1]analyte_order!$E:$E)</f>
        <v>15</v>
      </c>
      <c r="I2054">
        <v>0.05</v>
      </c>
    </row>
    <row r="2055" spans="1:9" x14ac:dyDescent="0.3">
      <c r="A2055" s="2" t="s">
        <v>100</v>
      </c>
      <c r="B2055" s="3">
        <v>44384.5</v>
      </c>
      <c r="C2055" s="1" t="str">
        <f t="shared" si="33"/>
        <v>21189</v>
      </c>
      <c r="D2055" t="s">
        <v>29</v>
      </c>
      <c r="E2055" s="2" t="s">
        <v>39</v>
      </c>
      <c r="F2055" s="2" t="str">
        <f>_xlfn.XLOOKUP(Table1_1[[#This Row],[CAS_rn]],[1]analyte_order!$C:$C,[1]analyte_order!$B:$B)</f>
        <v>PFHxS</v>
      </c>
      <c r="G2055" t="s">
        <v>122</v>
      </c>
      <c r="H2055" s="2">
        <f>_xlfn.XLOOKUP(Table1_1[[#This Row],[CAS_rn]],[1]analyte_order!$C:$C,[1]analyte_order!$E:$E)</f>
        <v>16</v>
      </c>
      <c r="I2055">
        <v>0.32</v>
      </c>
    </row>
    <row r="2056" spans="1:9" x14ac:dyDescent="0.3">
      <c r="A2056" s="2" t="s">
        <v>100</v>
      </c>
      <c r="B2056" s="3">
        <v>44384.5</v>
      </c>
      <c r="C2056" s="1" t="str">
        <f t="shared" si="33"/>
        <v>21189</v>
      </c>
      <c r="D2056" t="s">
        <v>29</v>
      </c>
      <c r="E2056" s="2" t="s">
        <v>39</v>
      </c>
      <c r="F2056" s="2" t="str">
        <f>_xlfn.XLOOKUP(Table1_1[[#This Row],[CAS_rn]],[1]analyte_order!$C:$C,[1]analyte_order!$B:$B)</f>
        <v>PFHpS</v>
      </c>
      <c r="G2056" t="s">
        <v>123</v>
      </c>
      <c r="H2056" s="2">
        <f>_xlfn.XLOOKUP(Table1_1[[#This Row],[CAS_rn]],[1]analyte_order!$C:$C,[1]analyte_order!$E:$E)</f>
        <v>17</v>
      </c>
      <c r="I2056">
        <v>0.05</v>
      </c>
    </row>
    <row r="2057" spans="1:9" x14ac:dyDescent="0.3">
      <c r="A2057" s="2" t="s">
        <v>100</v>
      </c>
      <c r="B2057" s="3">
        <v>44384.5</v>
      </c>
      <c r="C2057" s="1" t="str">
        <f t="shared" si="33"/>
        <v>21189</v>
      </c>
      <c r="D2057" t="s">
        <v>29</v>
      </c>
      <c r="E2057" s="2" t="s">
        <v>39</v>
      </c>
      <c r="F2057" s="2" t="str">
        <f>_xlfn.XLOOKUP(Table1_1[[#This Row],[CAS_rn]],[1]analyte_order!$C:$C,[1]analyte_order!$B:$B)</f>
        <v>PFOS</v>
      </c>
      <c r="G2057" t="s">
        <v>124</v>
      </c>
      <c r="H2057" s="2">
        <f>_xlfn.XLOOKUP(Table1_1[[#This Row],[CAS_rn]],[1]analyte_order!$C:$C,[1]analyte_order!$E:$E)</f>
        <v>18</v>
      </c>
      <c r="I2057">
        <v>1.1000000000000001</v>
      </c>
    </row>
    <row r="2058" spans="1:9" x14ac:dyDescent="0.3">
      <c r="A2058" s="2" t="s">
        <v>100</v>
      </c>
      <c r="B2058" s="3">
        <v>44384.5</v>
      </c>
      <c r="C2058" s="1" t="str">
        <f t="shared" si="33"/>
        <v>21189</v>
      </c>
      <c r="D2058" t="s">
        <v>29</v>
      </c>
      <c r="E2058" s="2" t="s">
        <v>39</v>
      </c>
      <c r="F2058" s="2" t="str">
        <f>_xlfn.XLOOKUP(Table1_1[[#This Row],[CAS_rn]],[1]analyte_order!$C:$C,[1]analyte_order!$B:$B)</f>
        <v>PFNS</v>
      </c>
      <c r="G2058" t="s">
        <v>125</v>
      </c>
      <c r="H2058" s="2">
        <f>_xlfn.XLOOKUP(Table1_1[[#This Row],[CAS_rn]],[1]analyte_order!$C:$C,[1]analyte_order!$E:$E)</f>
        <v>19</v>
      </c>
      <c r="I2058">
        <v>0.05</v>
      </c>
    </row>
    <row r="2059" spans="1:9" x14ac:dyDescent="0.3">
      <c r="A2059" s="2" t="s">
        <v>100</v>
      </c>
      <c r="B2059" s="3">
        <v>44384.5</v>
      </c>
      <c r="C2059" s="1" t="str">
        <f t="shared" ref="C2059:C2122" si="34">TEXT(B2059,"yy")&amp;TEXT((B2059-DATEVALUE("1/1/"&amp;TEXT(B2059,"yy"))+1),"000")</f>
        <v>21189</v>
      </c>
      <c r="D2059" t="s">
        <v>29</v>
      </c>
      <c r="E2059" s="2" t="s">
        <v>39</v>
      </c>
      <c r="F2059" s="2" t="str">
        <f>_xlfn.XLOOKUP(Table1_1[[#This Row],[CAS_rn]],[1]analyte_order!$C:$C,[1]analyte_order!$B:$B)</f>
        <v>PFDoS</v>
      </c>
      <c r="G2059" t="s">
        <v>126</v>
      </c>
      <c r="H2059" s="2">
        <f>_xlfn.XLOOKUP(Table1_1[[#This Row],[CAS_rn]],[1]analyte_order!$C:$C,[1]analyte_order!$E:$E)</f>
        <v>21</v>
      </c>
      <c r="I2059">
        <v>0.05</v>
      </c>
    </row>
    <row r="2060" spans="1:9" x14ac:dyDescent="0.3">
      <c r="A2060" s="2" t="s">
        <v>100</v>
      </c>
      <c r="B2060" s="3">
        <v>44384.5</v>
      </c>
      <c r="C2060" s="1" t="str">
        <f t="shared" si="34"/>
        <v>21189</v>
      </c>
      <c r="D2060" t="s">
        <v>29</v>
      </c>
      <c r="E2060" s="2" t="s">
        <v>39</v>
      </c>
      <c r="F2060" s="2" t="str">
        <f>_xlfn.XLOOKUP(Table1_1[[#This Row],[CAS_rn]],[1]analyte_order!$C:$C,[1]analyte_order!$B:$B)</f>
        <v>4:2 FTS</v>
      </c>
      <c r="G2060" t="s">
        <v>127</v>
      </c>
      <c r="H2060" s="2">
        <f>_xlfn.XLOOKUP(Table1_1[[#This Row],[CAS_rn]],[1]analyte_order!$C:$C,[1]analyte_order!$E:$E)</f>
        <v>22</v>
      </c>
      <c r="I2060">
        <v>0.2</v>
      </c>
    </row>
    <row r="2061" spans="1:9" x14ac:dyDescent="0.3">
      <c r="A2061" s="2" t="s">
        <v>100</v>
      </c>
      <c r="B2061" s="3">
        <v>44384.5</v>
      </c>
      <c r="C2061" s="1" t="str">
        <f t="shared" si="34"/>
        <v>21189</v>
      </c>
      <c r="D2061" t="s">
        <v>29</v>
      </c>
      <c r="E2061" s="2" t="s">
        <v>39</v>
      </c>
      <c r="F2061" s="2" t="str">
        <f>_xlfn.XLOOKUP(Table1_1[[#This Row],[CAS_rn]],[1]analyte_order!$C:$C,[1]analyte_order!$B:$B)</f>
        <v>6:2 FTS</v>
      </c>
      <c r="G2061" t="s">
        <v>128</v>
      </c>
      <c r="H2061" s="2">
        <f>_xlfn.XLOOKUP(Table1_1[[#This Row],[CAS_rn]],[1]analyte_order!$C:$C,[1]analyte_order!$E:$E)</f>
        <v>23</v>
      </c>
      <c r="I2061">
        <v>0.4</v>
      </c>
    </row>
    <row r="2062" spans="1:9" x14ac:dyDescent="0.3">
      <c r="A2062" s="2" t="s">
        <v>100</v>
      </c>
      <c r="B2062" s="3">
        <v>44384.5</v>
      </c>
      <c r="C2062" s="1" t="str">
        <f t="shared" si="34"/>
        <v>21189</v>
      </c>
      <c r="D2062" t="s">
        <v>29</v>
      </c>
      <c r="E2062" s="2" t="s">
        <v>39</v>
      </c>
      <c r="F2062" s="2" t="str">
        <f>_xlfn.XLOOKUP(Table1_1[[#This Row],[CAS_rn]],[1]analyte_order!$C:$C,[1]analyte_order!$B:$B)</f>
        <v>8:2 FTS</v>
      </c>
      <c r="G2062" t="s">
        <v>129</v>
      </c>
      <c r="H2062" s="2">
        <f>_xlfn.XLOOKUP(Table1_1[[#This Row],[CAS_rn]],[1]analyte_order!$C:$C,[1]analyte_order!$E:$E)</f>
        <v>24</v>
      </c>
      <c r="I2062">
        <v>0.4</v>
      </c>
    </row>
    <row r="2063" spans="1:9" x14ac:dyDescent="0.3">
      <c r="A2063" s="2" t="s">
        <v>100</v>
      </c>
      <c r="B2063" s="3">
        <v>44384.5</v>
      </c>
      <c r="C2063" s="1" t="str">
        <f t="shared" si="34"/>
        <v>21189</v>
      </c>
      <c r="D2063" t="s">
        <v>29</v>
      </c>
      <c r="E2063" s="2" t="s">
        <v>39</v>
      </c>
      <c r="F2063" s="2" t="str">
        <f>_xlfn.XLOOKUP(Table1_1[[#This Row],[CAS_rn]],[1]analyte_order!$C:$C,[1]analyte_order!$B:$B)</f>
        <v>FOSA</v>
      </c>
      <c r="G2063" t="s">
        <v>130</v>
      </c>
      <c r="H2063" s="2">
        <f>_xlfn.XLOOKUP(Table1_1[[#This Row],[CAS_rn]],[1]analyte_order!$C:$C,[1]analyte_order!$E:$E)</f>
        <v>28</v>
      </c>
      <c r="I2063">
        <v>0.09</v>
      </c>
    </row>
    <row r="2064" spans="1:9" x14ac:dyDescent="0.3">
      <c r="A2064" s="2" t="s">
        <v>100</v>
      </c>
      <c r="B2064" s="3">
        <v>44384.5</v>
      </c>
      <c r="C2064" s="1" t="str">
        <f t="shared" si="34"/>
        <v>21189</v>
      </c>
      <c r="D2064" t="s">
        <v>29</v>
      </c>
      <c r="E2064" s="2" t="s">
        <v>39</v>
      </c>
      <c r="F2064" s="2" t="str">
        <f>_xlfn.XLOOKUP(Table1_1[[#This Row],[CAS_rn]],[1]analyte_order!$C:$C,[1]analyte_order!$B:$B)</f>
        <v>N-MeFOSA</v>
      </c>
      <c r="G2064" t="s">
        <v>131</v>
      </c>
      <c r="H2064" s="2">
        <f>_xlfn.XLOOKUP(Table1_1[[#This Row],[CAS_rn]],[1]analyte_order!$C:$C,[1]analyte_order!$E:$E)</f>
        <v>30</v>
      </c>
      <c r="I2064">
        <v>0.05</v>
      </c>
    </row>
    <row r="2065" spans="1:9" x14ac:dyDescent="0.3">
      <c r="A2065" s="2" t="s">
        <v>100</v>
      </c>
      <c r="B2065" s="3">
        <v>44384.5</v>
      </c>
      <c r="C2065" s="1" t="str">
        <f t="shared" si="34"/>
        <v>21189</v>
      </c>
      <c r="D2065" t="s">
        <v>29</v>
      </c>
      <c r="E2065" s="2" t="s">
        <v>39</v>
      </c>
      <c r="F2065" s="2" t="str">
        <f>_xlfn.XLOOKUP(Table1_1[[#This Row],[CAS_rn]],[1]analyte_order!$C:$C,[1]analyte_order!$B:$B)</f>
        <v>N-MeFOSAA</v>
      </c>
      <c r="G2065" t="s">
        <v>132</v>
      </c>
      <c r="H2065" s="2">
        <f>_xlfn.XLOOKUP(Table1_1[[#This Row],[CAS_rn]],[1]analyte_order!$C:$C,[1]analyte_order!$E:$E)</f>
        <v>26</v>
      </c>
      <c r="I2065">
        <v>0.05</v>
      </c>
    </row>
    <row r="2066" spans="1:9" x14ac:dyDescent="0.3">
      <c r="A2066" s="2" t="s">
        <v>100</v>
      </c>
      <c r="B2066" s="3">
        <v>44384.5</v>
      </c>
      <c r="C2066" s="1" t="str">
        <f t="shared" si="34"/>
        <v>21189</v>
      </c>
      <c r="D2066" t="s">
        <v>29</v>
      </c>
      <c r="E2066" s="2" t="s">
        <v>39</v>
      </c>
      <c r="F2066" s="2" t="str">
        <f>_xlfn.XLOOKUP(Table1_1[[#This Row],[CAS_rn]],[1]analyte_order!$C:$C,[1]analyte_order!$B:$B)</f>
        <v>N-EtFOSA</v>
      </c>
      <c r="G2066" t="s">
        <v>133</v>
      </c>
      <c r="H2066" s="2">
        <f>_xlfn.XLOOKUP(Table1_1[[#This Row],[CAS_rn]],[1]analyte_order!$C:$C,[1]analyte_order!$E:$E)</f>
        <v>31</v>
      </c>
      <c r="I2066">
        <v>0.05</v>
      </c>
    </row>
    <row r="2067" spans="1:9" x14ac:dyDescent="0.3">
      <c r="A2067" s="2" t="s">
        <v>100</v>
      </c>
      <c r="B2067" s="3">
        <v>44384.5</v>
      </c>
      <c r="C2067" s="1" t="str">
        <f t="shared" si="34"/>
        <v>21189</v>
      </c>
      <c r="D2067" t="s">
        <v>29</v>
      </c>
      <c r="E2067" s="2" t="s">
        <v>39</v>
      </c>
      <c r="F2067" s="2" t="str">
        <f>_xlfn.XLOOKUP(Table1_1[[#This Row],[CAS_rn]],[1]analyte_order!$C:$C,[1]analyte_order!$B:$B)</f>
        <v>N-EtFOSAA</v>
      </c>
      <c r="G2067" t="s">
        <v>134</v>
      </c>
      <c r="H2067" s="2">
        <f>_xlfn.XLOOKUP(Table1_1[[#This Row],[CAS_rn]],[1]analyte_order!$C:$C,[1]analyte_order!$E:$E)</f>
        <v>27</v>
      </c>
      <c r="I2067">
        <v>0.05</v>
      </c>
    </row>
    <row r="2068" spans="1:9" x14ac:dyDescent="0.3">
      <c r="A2068" s="2" t="s">
        <v>100</v>
      </c>
      <c r="B2068" s="3">
        <v>44384.5</v>
      </c>
      <c r="C2068" s="1" t="str">
        <f t="shared" si="34"/>
        <v>21189</v>
      </c>
      <c r="D2068" t="s">
        <v>29</v>
      </c>
      <c r="E2068" s="2" t="s">
        <v>39</v>
      </c>
      <c r="F2068" s="2" t="str">
        <f>_xlfn.XLOOKUP(Table1_1[[#This Row],[CAS_rn]],[1]analyte_order!$C:$C,[1]analyte_order!$B:$B)</f>
        <v>N-MeFOSE</v>
      </c>
      <c r="G2068" t="s">
        <v>135</v>
      </c>
      <c r="H2068" s="2">
        <f>_xlfn.XLOOKUP(Table1_1[[#This Row],[CAS_rn]],[1]analyte_order!$C:$C,[1]analyte_order!$E:$E)</f>
        <v>32</v>
      </c>
      <c r="I2068">
        <v>0.5</v>
      </c>
    </row>
    <row r="2069" spans="1:9" x14ac:dyDescent="0.3">
      <c r="A2069" s="2" t="s">
        <v>100</v>
      </c>
      <c r="B2069" s="3">
        <v>44384.5</v>
      </c>
      <c r="C2069" s="1" t="str">
        <f t="shared" si="34"/>
        <v>21189</v>
      </c>
      <c r="D2069" t="s">
        <v>29</v>
      </c>
      <c r="E2069" s="2" t="s">
        <v>39</v>
      </c>
      <c r="F2069" s="2" t="str">
        <f>_xlfn.XLOOKUP(Table1_1[[#This Row],[CAS_rn]],[1]analyte_order!$C:$C,[1]analyte_order!$B:$B)</f>
        <v>N-EtFOSE</v>
      </c>
      <c r="G2069" t="s">
        <v>136</v>
      </c>
      <c r="H2069" s="2">
        <f>_xlfn.XLOOKUP(Table1_1[[#This Row],[CAS_rn]],[1]analyte_order!$C:$C,[1]analyte_order!$E:$E)</f>
        <v>33</v>
      </c>
      <c r="I2069">
        <v>0.5</v>
      </c>
    </row>
    <row r="2070" spans="1:9" x14ac:dyDescent="0.3">
      <c r="A2070" s="2" t="s">
        <v>100</v>
      </c>
      <c r="B2070" s="3">
        <v>44384.5</v>
      </c>
      <c r="C2070" s="1" t="str">
        <f t="shared" si="34"/>
        <v>21189</v>
      </c>
      <c r="D2070" t="s">
        <v>29</v>
      </c>
      <c r="E2070" s="2" t="s">
        <v>39</v>
      </c>
      <c r="F2070" s="2" t="str">
        <f>_xlfn.XLOOKUP(Table1_1[[#This Row],[CAS_rn]],[1]analyte_order!$C:$C,[1]analyte_order!$B:$B)</f>
        <v>HFPO-DA</v>
      </c>
      <c r="G2070" t="s">
        <v>137</v>
      </c>
      <c r="H2070" s="2">
        <f>_xlfn.XLOOKUP(Table1_1[[#This Row],[CAS_rn]],[1]analyte_order!$C:$C,[1]analyte_order!$E:$E)</f>
        <v>34</v>
      </c>
      <c r="I2070">
        <v>0.3</v>
      </c>
    </row>
    <row r="2071" spans="1:9" x14ac:dyDescent="0.3">
      <c r="A2071" s="2" t="s">
        <v>100</v>
      </c>
      <c r="B2071" s="3">
        <v>44384.5</v>
      </c>
      <c r="C2071" s="1" t="str">
        <f t="shared" si="34"/>
        <v>21189</v>
      </c>
      <c r="D2071" t="s">
        <v>29</v>
      </c>
      <c r="E2071" s="2" t="s">
        <v>39</v>
      </c>
      <c r="F2071" s="2" t="str">
        <f>_xlfn.XLOOKUP(Table1_1[[#This Row],[CAS_rn]],[1]analyte_order!$C:$C,[1]analyte_order!$B:$B)</f>
        <v>ADONA</v>
      </c>
      <c r="G2071" t="s">
        <v>138</v>
      </c>
      <c r="H2071" s="2">
        <f>_xlfn.XLOOKUP(Table1_1[[#This Row],[CAS_rn]],[1]analyte_order!$C:$C,[1]analyte_order!$E:$E)</f>
        <v>35</v>
      </c>
      <c r="I2071">
        <v>0.2</v>
      </c>
    </row>
    <row r="2072" spans="1:9" x14ac:dyDescent="0.3">
      <c r="A2072" s="2" t="s">
        <v>100</v>
      </c>
      <c r="B2072" s="3">
        <v>44384.5</v>
      </c>
      <c r="C2072" s="1" t="str">
        <f t="shared" si="34"/>
        <v>21189</v>
      </c>
      <c r="D2072" t="s">
        <v>29</v>
      </c>
      <c r="E2072" s="2" t="s">
        <v>39</v>
      </c>
      <c r="F2072" s="2" t="str">
        <f>_xlfn.XLOOKUP(Table1_1[[#This Row],[CAS_rn]],[1]analyte_order!$C:$C,[1]analyte_order!$B:$B)</f>
        <v>PFMBA</v>
      </c>
      <c r="G2072" t="s">
        <v>139</v>
      </c>
      <c r="H2072" s="2">
        <f>_xlfn.XLOOKUP(Table1_1[[#This Row],[CAS_rn]],[1]analyte_order!$C:$C,[1]analyte_order!$E:$E)</f>
        <v>48</v>
      </c>
      <c r="I2072">
        <v>0.1</v>
      </c>
    </row>
    <row r="2073" spans="1:9" x14ac:dyDescent="0.3">
      <c r="A2073" s="2" t="s">
        <v>100</v>
      </c>
      <c r="B2073" s="3">
        <v>44384.5</v>
      </c>
      <c r="C2073" s="1" t="str">
        <f t="shared" si="34"/>
        <v>21189</v>
      </c>
      <c r="D2073" t="s">
        <v>29</v>
      </c>
      <c r="E2073" s="2" t="s">
        <v>39</v>
      </c>
      <c r="F2073" s="2" t="str">
        <f>_xlfn.XLOOKUP(Table1_1[[#This Row],[CAS_rn]],[1]analyte_order!$C:$C,[1]analyte_order!$B:$B)</f>
        <v>NFDHA</v>
      </c>
      <c r="G2073" t="s">
        <v>140</v>
      </c>
      <c r="H2073" s="2">
        <f>_xlfn.XLOOKUP(Table1_1[[#This Row],[CAS_rn]],[1]analyte_order!$C:$C,[1]analyte_order!$E:$E)</f>
        <v>50</v>
      </c>
      <c r="I2073">
        <v>0.1</v>
      </c>
    </row>
    <row r="2074" spans="1:9" x14ac:dyDescent="0.3">
      <c r="A2074" s="2" t="s">
        <v>100</v>
      </c>
      <c r="B2074" s="3">
        <v>44384.5</v>
      </c>
      <c r="C2074" s="1" t="str">
        <f t="shared" si="34"/>
        <v>21189</v>
      </c>
      <c r="D2074" t="s">
        <v>29</v>
      </c>
      <c r="E2074" s="2" t="s">
        <v>39</v>
      </c>
      <c r="F2074" s="2" t="str">
        <f>_xlfn.XLOOKUP(Table1_1[[#This Row],[CAS_rn]],[1]analyte_order!$C:$C,[1]analyte_order!$B:$B)</f>
        <v>9Cl-PF3ONS</v>
      </c>
      <c r="G2074" t="s">
        <v>141</v>
      </c>
      <c r="H2074" s="2">
        <f>_xlfn.XLOOKUP(Table1_1[[#This Row],[CAS_rn]],[1]analyte_order!$C:$C,[1]analyte_order!$E:$E)</f>
        <v>36</v>
      </c>
      <c r="I2074">
        <v>0.2</v>
      </c>
    </row>
    <row r="2075" spans="1:9" x14ac:dyDescent="0.3">
      <c r="A2075" s="2" t="s">
        <v>100</v>
      </c>
      <c r="B2075" s="3">
        <v>44384.5</v>
      </c>
      <c r="C2075" s="1" t="str">
        <f t="shared" si="34"/>
        <v>21189</v>
      </c>
      <c r="D2075" t="s">
        <v>29</v>
      </c>
      <c r="E2075" s="2" t="s">
        <v>39</v>
      </c>
      <c r="F2075" s="2" t="str">
        <f>_xlfn.XLOOKUP(Table1_1[[#This Row],[CAS_rn]],[1]analyte_order!$C:$C,[1]analyte_order!$B:$B)</f>
        <v>11Cl-PF3OUdS</v>
      </c>
      <c r="G2075" t="s">
        <v>142</v>
      </c>
      <c r="H2075" s="2">
        <f>_xlfn.XLOOKUP(Table1_1[[#This Row],[CAS_rn]],[1]analyte_order!$C:$C,[1]analyte_order!$E:$E)</f>
        <v>37</v>
      </c>
      <c r="I2075">
        <v>0.2</v>
      </c>
    </row>
    <row r="2076" spans="1:9" x14ac:dyDescent="0.3">
      <c r="A2076" s="2" t="s">
        <v>100</v>
      </c>
      <c r="B2076" s="3">
        <v>44384.5</v>
      </c>
      <c r="C2076" s="1" t="str">
        <f t="shared" si="34"/>
        <v>21189</v>
      </c>
      <c r="D2076" t="s">
        <v>29</v>
      </c>
      <c r="E2076" s="2" t="s">
        <v>39</v>
      </c>
      <c r="F2076" s="2" t="str">
        <f>_xlfn.XLOOKUP(Table1_1[[#This Row],[CAS_rn]],[1]analyte_order!$C:$C,[1]analyte_order!$B:$B)</f>
        <v>PFEESA</v>
      </c>
      <c r="G2076" t="s">
        <v>143</v>
      </c>
      <c r="H2076" s="2">
        <f>_xlfn.XLOOKUP(Table1_1[[#This Row],[CAS_rn]],[1]analyte_order!$C:$C,[1]analyte_order!$E:$E)</f>
        <v>47</v>
      </c>
      <c r="I2076">
        <v>0.1</v>
      </c>
    </row>
    <row r="2077" spans="1:9" x14ac:dyDescent="0.3">
      <c r="A2077" s="2" t="s">
        <v>100</v>
      </c>
      <c r="B2077" s="3">
        <v>44384.5</v>
      </c>
      <c r="C2077" s="1" t="str">
        <f t="shared" si="34"/>
        <v>21189</v>
      </c>
      <c r="D2077" t="s">
        <v>29</v>
      </c>
      <c r="E2077" s="2" t="s">
        <v>39</v>
      </c>
      <c r="F2077" s="2" t="str">
        <f>_xlfn.XLOOKUP(Table1_1[[#This Row],[CAS_rn]],[1]analyte_order!$C:$C,[1]analyte_order!$B:$B)</f>
        <v>3:3 FTCA</v>
      </c>
      <c r="G2077" t="s">
        <v>144</v>
      </c>
      <c r="H2077" s="2">
        <f>_xlfn.XLOOKUP(Table1_1[[#This Row],[CAS_rn]],[1]analyte_order!$C:$C,[1]analyte_order!$E:$E)</f>
        <v>38</v>
      </c>
      <c r="I2077">
        <v>0.25</v>
      </c>
    </row>
    <row r="2078" spans="1:9" x14ac:dyDescent="0.3">
      <c r="A2078" s="2" t="s">
        <v>100</v>
      </c>
      <c r="B2078" s="3">
        <v>44384.5</v>
      </c>
      <c r="C2078" s="1" t="str">
        <f t="shared" si="34"/>
        <v>21189</v>
      </c>
      <c r="D2078" t="s">
        <v>29</v>
      </c>
      <c r="E2078" s="2" t="s">
        <v>39</v>
      </c>
      <c r="F2078" s="2" t="str">
        <f>_xlfn.XLOOKUP(Table1_1[[#This Row],[CAS_rn]],[1]analyte_order!$C:$C,[1]analyte_order!$B:$B)</f>
        <v>5:3 FTCA</v>
      </c>
      <c r="G2078" t="s">
        <v>145</v>
      </c>
      <c r="H2078" s="2">
        <f>_xlfn.XLOOKUP(Table1_1[[#This Row],[CAS_rn]],[1]analyte_order!$C:$C,[1]analyte_order!$E:$E)</f>
        <v>39</v>
      </c>
      <c r="I2078">
        <v>1.25</v>
      </c>
    </row>
    <row r="2079" spans="1:9" x14ac:dyDescent="0.3">
      <c r="A2079" s="2" t="s">
        <v>100</v>
      </c>
      <c r="B2079" s="3">
        <v>44384.5</v>
      </c>
      <c r="C2079" s="1" t="str">
        <f t="shared" si="34"/>
        <v>21189</v>
      </c>
      <c r="D2079" t="s">
        <v>29</v>
      </c>
      <c r="E2079" s="2" t="s">
        <v>39</v>
      </c>
      <c r="F2079" s="2" t="str">
        <f>_xlfn.XLOOKUP(Table1_1[[#This Row],[CAS_rn]],[1]analyte_order!$C:$C,[1]analyte_order!$B:$B)</f>
        <v>7:3 FTCA</v>
      </c>
      <c r="G2079" t="s">
        <v>146</v>
      </c>
      <c r="H2079" s="2">
        <f>_xlfn.XLOOKUP(Table1_1[[#This Row],[CAS_rn]],[1]analyte_order!$C:$C,[1]analyte_order!$E:$E)</f>
        <v>40</v>
      </c>
      <c r="I2079">
        <v>1.25</v>
      </c>
    </row>
    <row r="2080" spans="1:9" x14ac:dyDescent="0.3">
      <c r="A2080" s="2" t="s">
        <v>100</v>
      </c>
      <c r="B2080" s="3">
        <v>44384.5</v>
      </c>
      <c r="C2080" s="1" t="str">
        <f t="shared" si="34"/>
        <v>21189</v>
      </c>
      <c r="D2080" t="s">
        <v>29</v>
      </c>
      <c r="E2080" s="2" t="s">
        <v>39</v>
      </c>
      <c r="F2080" s="2" t="str">
        <f>_xlfn.XLOOKUP(Table1_1[[#This Row],[CAS_rn]],[1]analyte_order!$C:$C,[1]analyte_order!$B:$B)</f>
        <v>PFDS</v>
      </c>
      <c r="G2080" t="s">
        <v>147</v>
      </c>
      <c r="H2080" s="2">
        <f>_xlfn.XLOOKUP(Table1_1[[#This Row],[CAS_rn]],[1]analyte_order!$C:$C,[1]analyte_order!$E:$E)</f>
        <v>20</v>
      </c>
      <c r="I2080">
        <v>0.05</v>
      </c>
    </row>
    <row r="2081" spans="1:9" x14ac:dyDescent="0.3">
      <c r="A2081" s="2" t="s">
        <v>100</v>
      </c>
      <c r="B2081" s="3">
        <v>44384.5</v>
      </c>
      <c r="C2081" s="1" t="str">
        <f t="shared" si="34"/>
        <v>21189</v>
      </c>
      <c r="D2081" t="s">
        <v>29</v>
      </c>
      <c r="E2081" s="2" t="s">
        <v>39</v>
      </c>
      <c r="F2081" s="2" t="str">
        <f>_xlfn.XLOOKUP(Table1_1[[#This Row],[CAS_rn]],[1]analyte_order!$C:$C,[1]analyte_order!$B:$B)</f>
        <v>PFMPA</v>
      </c>
      <c r="G2081" t="s">
        <v>148</v>
      </c>
      <c r="H2081" s="2">
        <f>_xlfn.XLOOKUP(Table1_1[[#This Row],[CAS_rn]],[1]analyte_order!$C:$C,[1]analyte_order!$E:$E)</f>
        <v>49</v>
      </c>
      <c r="I2081">
        <v>0.1</v>
      </c>
    </row>
    <row r="2082" spans="1:9" x14ac:dyDescent="0.3">
      <c r="A2082" s="2" t="s">
        <v>101</v>
      </c>
      <c r="B2082" s="3">
        <v>44389.5</v>
      </c>
      <c r="C2082" s="1" t="str">
        <f t="shared" si="34"/>
        <v>21194</v>
      </c>
      <c r="D2082" t="s">
        <v>26</v>
      </c>
      <c r="E2082" s="2" t="s">
        <v>39</v>
      </c>
      <c r="F2082" s="2" t="str">
        <f>_xlfn.XLOOKUP(Table1_1[[#This Row],[CAS_rn]],[1]analyte_order!$C:$C,[1]analyte_order!$B:$B)</f>
        <v>PFBA</v>
      </c>
      <c r="G2082" t="s">
        <v>109</v>
      </c>
      <c r="H2082" s="2">
        <f>_xlfn.XLOOKUP(Table1_1[[#This Row],[CAS_rn]],[1]analyte_order!$C:$C,[1]analyte_order!$E:$E)</f>
        <v>1</v>
      </c>
      <c r="I2082">
        <v>0.2</v>
      </c>
    </row>
    <row r="2083" spans="1:9" x14ac:dyDescent="0.3">
      <c r="A2083" s="2" t="s">
        <v>101</v>
      </c>
      <c r="B2083" s="3">
        <v>44389.5</v>
      </c>
      <c r="C2083" s="1" t="str">
        <f t="shared" si="34"/>
        <v>21194</v>
      </c>
      <c r="D2083" t="s">
        <v>26</v>
      </c>
      <c r="E2083" s="2" t="s">
        <v>39</v>
      </c>
      <c r="F2083" s="2" t="str">
        <f>_xlfn.XLOOKUP(Table1_1[[#This Row],[CAS_rn]],[1]analyte_order!$C:$C,[1]analyte_order!$B:$B)</f>
        <v>PFPeA</v>
      </c>
      <c r="G2083" t="s">
        <v>110</v>
      </c>
      <c r="H2083" s="2">
        <f>_xlfn.XLOOKUP(Table1_1[[#This Row],[CAS_rn]],[1]analyte_order!$C:$C,[1]analyte_order!$E:$E)</f>
        <v>2</v>
      </c>
      <c r="I2083">
        <v>0.1</v>
      </c>
    </row>
    <row r="2084" spans="1:9" x14ac:dyDescent="0.3">
      <c r="A2084" s="2" t="s">
        <v>101</v>
      </c>
      <c r="B2084" s="3">
        <v>44389.5</v>
      </c>
      <c r="C2084" s="1" t="str">
        <f t="shared" si="34"/>
        <v>21194</v>
      </c>
      <c r="D2084" t="s">
        <v>26</v>
      </c>
      <c r="E2084" s="2" t="s">
        <v>39</v>
      </c>
      <c r="F2084" s="2" t="str">
        <f>_xlfn.XLOOKUP(Table1_1[[#This Row],[CAS_rn]],[1]analyte_order!$C:$C,[1]analyte_order!$B:$B)</f>
        <v>PFHxA</v>
      </c>
      <c r="G2084" t="s">
        <v>111</v>
      </c>
      <c r="H2084" s="2">
        <f>_xlfn.XLOOKUP(Table1_1[[#This Row],[CAS_rn]],[1]analyte_order!$C:$C,[1]analyte_order!$E:$E)</f>
        <v>3</v>
      </c>
      <c r="I2084">
        <v>0.22</v>
      </c>
    </row>
    <row r="2085" spans="1:9" x14ac:dyDescent="0.3">
      <c r="A2085" s="2" t="s">
        <v>101</v>
      </c>
      <c r="B2085" s="3">
        <v>44389.5</v>
      </c>
      <c r="C2085" s="1" t="str">
        <f t="shared" si="34"/>
        <v>21194</v>
      </c>
      <c r="D2085" t="s">
        <v>26</v>
      </c>
      <c r="E2085" s="2" t="s">
        <v>39</v>
      </c>
      <c r="F2085" s="2" t="str">
        <f>_xlfn.XLOOKUP(Table1_1[[#This Row],[CAS_rn]],[1]analyte_order!$C:$C,[1]analyte_order!$B:$B)</f>
        <v>PFHpA</v>
      </c>
      <c r="G2085" t="s">
        <v>112</v>
      </c>
      <c r="H2085" s="2">
        <f>_xlfn.XLOOKUP(Table1_1[[#This Row],[CAS_rn]],[1]analyte_order!$C:$C,[1]analyte_order!$E:$E)</f>
        <v>4</v>
      </c>
      <c r="I2085">
        <v>0.09</v>
      </c>
    </row>
    <row r="2086" spans="1:9" x14ac:dyDescent="0.3">
      <c r="A2086" s="2" t="s">
        <v>101</v>
      </c>
      <c r="B2086" s="3">
        <v>44389.5</v>
      </c>
      <c r="C2086" s="1" t="str">
        <f t="shared" si="34"/>
        <v>21194</v>
      </c>
      <c r="D2086" t="s">
        <v>26</v>
      </c>
      <c r="E2086" s="2" t="s">
        <v>39</v>
      </c>
      <c r="F2086" s="2" t="str">
        <f>_xlfn.XLOOKUP(Table1_1[[#This Row],[CAS_rn]],[1]analyte_order!$C:$C,[1]analyte_order!$B:$B)</f>
        <v>PFOA</v>
      </c>
      <c r="G2086" t="s">
        <v>113</v>
      </c>
      <c r="H2086" s="2">
        <f>_xlfn.XLOOKUP(Table1_1[[#This Row],[CAS_rn]],[1]analyte_order!$C:$C,[1]analyte_order!$E:$E)</f>
        <v>5</v>
      </c>
      <c r="I2086">
        <v>0.42</v>
      </c>
    </row>
    <row r="2087" spans="1:9" x14ac:dyDescent="0.3">
      <c r="A2087" s="2" t="s">
        <v>101</v>
      </c>
      <c r="B2087" s="3">
        <v>44389.5</v>
      </c>
      <c r="C2087" s="1" t="str">
        <f t="shared" si="34"/>
        <v>21194</v>
      </c>
      <c r="D2087" t="s">
        <v>26</v>
      </c>
      <c r="E2087" s="2" t="s">
        <v>39</v>
      </c>
      <c r="F2087" s="2" t="str">
        <f>_xlfn.XLOOKUP(Table1_1[[#This Row],[CAS_rn]],[1]analyte_order!$C:$C,[1]analyte_order!$B:$B)</f>
        <v>PFNA</v>
      </c>
      <c r="G2087" t="s">
        <v>114</v>
      </c>
      <c r="H2087" s="2">
        <f>_xlfn.XLOOKUP(Table1_1[[#This Row],[CAS_rn]],[1]analyte_order!$C:$C,[1]analyte_order!$E:$E)</f>
        <v>6</v>
      </c>
      <c r="I2087">
        <v>0.05</v>
      </c>
    </row>
    <row r="2088" spans="1:9" x14ac:dyDescent="0.3">
      <c r="A2088" s="2" t="s">
        <v>101</v>
      </c>
      <c r="B2088" s="3">
        <v>44389.5</v>
      </c>
      <c r="C2088" s="1" t="str">
        <f t="shared" si="34"/>
        <v>21194</v>
      </c>
      <c r="D2088" t="s">
        <v>26</v>
      </c>
      <c r="E2088" s="2" t="s">
        <v>39</v>
      </c>
      <c r="F2088" s="2" t="str">
        <f>_xlfn.XLOOKUP(Table1_1[[#This Row],[CAS_rn]],[1]analyte_order!$C:$C,[1]analyte_order!$B:$B)</f>
        <v>PFDA</v>
      </c>
      <c r="G2088" t="s">
        <v>115</v>
      </c>
      <c r="H2088" s="2">
        <f>_xlfn.XLOOKUP(Table1_1[[#This Row],[CAS_rn]],[1]analyte_order!$C:$C,[1]analyte_order!$E:$E)</f>
        <v>7</v>
      </c>
      <c r="I2088">
        <v>0.05</v>
      </c>
    </row>
    <row r="2089" spans="1:9" x14ac:dyDescent="0.3">
      <c r="A2089" s="2" t="s">
        <v>101</v>
      </c>
      <c r="B2089" s="3">
        <v>44389.5</v>
      </c>
      <c r="C2089" s="1" t="str">
        <f t="shared" si="34"/>
        <v>21194</v>
      </c>
      <c r="D2089" t="s">
        <v>26</v>
      </c>
      <c r="E2089" s="2" t="s">
        <v>39</v>
      </c>
      <c r="F2089" s="2" t="str">
        <f>_xlfn.XLOOKUP(Table1_1[[#This Row],[CAS_rn]],[1]analyte_order!$C:$C,[1]analyte_order!$B:$B)</f>
        <v>PFUnA</v>
      </c>
      <c r="G2089" t="s">
        <v>116</v>
      </c>
      <c r="H2089" s="2">
        <f>_xlfn.XLOOKUP(Table1_1[[#This Row],[CAS_rn]],[1]analyte_order!$C:$C,[1]analyte_order!$E:$E)</f>
        <v>8</v>
      </c>
      <c r="I2089">
        <v>0.05</v>
      </c>
    </row>
    <row r="2090" spans="1:9" x14ac:dyDescent="0.3">
      <c r="A2090" s="2" t="s">
        <v>101</v>
      </c>
      <c r="B2090" s="3">
        <v>44389.5</v>
      </c>
      <c r="C2090" s="1" t="str">
        <f t="shared" si="34"/>
        <v>21194</v>
      </c>
      <c r="D2090" t="s">
        <v>26</v>
      </c>
      <c r="E2090" s="2" t="s">
        <v>39</v>
      </c>
      <c r="F2090" s="2" t="str">
        <f>_xlfn.XLOOKUP(Table1_1[[#This Row],[CAS_rn]],[1]analyte_order!$C:$C,[1]analyte_order!$B:$B)</f>
        <v>PFDoA</v>
      </c>
      <c r="G2090" t="s">
        <v>117</v>
      </c>
      <c r="H2090" s="2">
        <f>_xlfn.XLOOKUP(Table1_1[[#This Row],[CAS_rn]],[1]analyte_order!$C:$C,[1]analyte_order!$E:$E)</f>
        <v>9</v>
      </c>
      <c r="I2090">
        <v>0.05</v>
      </c>
    </row>
    <row r="2091" spans="1:9" x14ac:dyDescent="0.3">
      <c r="A2091" s="2" t="s">
        <v>101</v>
      </c>
      <c r="B2091" s="3">
        <v>44389.5</v>
      </c>
      <c r="C2091" s="1" t="str">
        <f t="shared" si="34"/>
        <v>21194</v>
      </c>
      <c r="D2091" t="s">
        <v>26</v>
      </c>
      <c r="E2091" s="2" t="s">
        <v>39</v>
      </c>
      <c r="F2091" s="2" t="str">
        <f>_xlfn.XLOOKUP(Table1_1[[#This Row],[CAS_rn]],[1]analyte_order!$C:$C,[1]analyte_order!$B:$B)</f>
        <v>PFTrDA</v>
      </c>
      <c r="G2091" t="s">
        <v>118</v>
      </c>
      <c r="H2091" s="2">
        <f>_xlfn.XLOOKUP(Table1_1[[#This Row],[CAS_rn]],[1]analyte_order!$C:$C,[1]analyte_order!$E:$E)</f>
        <v>10</v>
      </c>
      <c r="I2091">
        <v>0.05</v>
      </c>
    </row>
    <row r="2092" spans="1:9" x14ac:dyDescent="0.3">
      <c r="A2092" s="2" t="s">
        <v>101</v>
      </c>
      <c r="B2092" s="3">
        <v>44389.5</v>
      </c>
      <c r="C2092" s="1" t="str">
        <f t="shared" si="34"/>
        <v>21194</v>
      </c>
      <c r="D2092" t="s">
        <v>26</v>
      </c>
      <c r="E2092" s="2" t="s">
        <v>39</v>
      </c>
      <c r="F2092" s="2" t="str">
        <f>_xlfn.XLOOKUP(Table1_1[[#This Row],[CAS_rn]],[1]analyte_order!$C:$C,[1]analyte_order!$B:$B)</f>
        <v>PFTeDA</v>
      </c>
      <c r="G2092" t="s">
        <v>119</v>
      </c>
      <c r="H2092" s="2">
        <f>_xlfn.XLOOKUP(Table1_1[[#This Row],[CAS_rn]],[1]analyte_order!$C:$C,[1]analyte_order!$E:$E)</f>
        <v>11</v>
      </c>
      <c r="I2092">
        <v>0.05</v>
      </c>
    </row>
    <row r="2093" spans="1:9" x14ac:dyDescent="0.3">
      <c r="A2093" s="2" t="s">
        <v>101</v>
      </c>
      <c r="B2093" s="3">
        <v>44389.5</v>
      </c>
      <c r="C2093" s="1" t="str">
        <f t="shared" si="34"/>
        <v>21194</v>
      </c>
      <c r="D2093" t="s">
        <v>26</v>
      </c>
      <c r="E2093" s="2" t="s">
        <v>39</v>
      </c>
      <c r="F2093" s="2" t="str">
        <f>_xlfn.XLOOKUP(Table1_1[[#This Row],[CAS_rn]],[1]analyte_order!$C:$C,[1]analyte_order!$B:$B)</f>
        <v>PFBS</v>
      </c>
      <c r="G2093" t="s">
        <v>120</v>
      </c>
      <c r="H2093" s="2">
        <f>_xlfn.XLOOKUP(Table1_1[[#This Row],[CAS_rn]],[1]analyte_order!$C:$C,[1]analyte_order!$E:$E)</f>
        <v>14</v>
      </c>
      <c r="I2093">
        <v>0.05</v>
      </c>
    </row>
    <row r="2094" spans="1:9" x14ac:dyDescent="0.3">
      <c r="A2094" s="2" t="s">
        <v>101</v>
      </c>
      <c r="B2094" s="3">
        <v>44389.5</v>
      </c>
      <c r="C2094" s="1" t="str">
        <f t="shared" si="34"/>
        <v>21194</v>
      </c>
      <c r="D2094" t="s">
        <v>26</v>
      </c>
      <c r="E2094" s="2" t="s">
        <v>39</v>
      </c>
      <c r="F2094" s="2" t="str">
        <f>_xlfn.XLOOKUP(Table1_1[[#This Row],[CAS_rn]],[1]analyte_order!$C:$C,[1]analyte_order!$B:$B)</f>
        <v>PFPeS</v>
      </c>
      <c r="G2094" t="s">
        <v>121</v>
      </c>
      <c r="H2094" s="2">
        <f>_xlfn.XLOOKUP(Table1_1[[#This Row],[CAS_rn]],[1]analyte_order!$C:$C,[1]analyte_order!$E:$E)</f>
        <v>15</v>
      </c>
      <c r="I2094">
        <v>0.05</v>
      </c>
    </row>
    <row r="2095" spans="1:9" x14ac:dyDescent="0.3">
      <c r="A2095" s="2" t="s">
        <v>101</v>
      </c>
      <c r="B2095" s="3">
        <v>44389.5</v>
      </c>
      <c r="C2095" s="1" t="str">
        <f t="shared" si="34"/>
        <v>21194</v>
      </c>
      <c r="D2095" t="s">
        <v>26</v>
      </c>
      <c r="E2095" s="2" t="s">
        <v>39</v>
      </c>
      <c r="F2095" s="2" t="str">
        <f>_xlfn.XLOOKUP(Table1_1[[#This Row],[CAS_rn]],[1]analyte_order!$C:$C,[1]analyte_order!$B:$B)</f>
        <v>PFHxS</v>
      </c>
      <c r="G2095" t="s">
        <v>122</v>
      </c>
      <c r="H2095" s="2">
        <f>_xlfn.XLOOKUP(Table1_1[[#This Row],[CAS_rn]],[1]analyte_order!$C:$C,[1]analyte_order!$E:$E)</f>
        <v>16</v>
      </c>
      <c r="I2095">
        <v>0.44</v>
      </c>
    </row>
    <row r="2096" spans="1:9" x14ac:dyDescent="0.3">
      <c r="A2096" s="2" t="s">
        <v>101</v>
      </c>
      <c r="B2096" s="3">
        <v>44389.5</v>
      </c>
      <c r="C2096" s="1" t="str">
        <f t="shared" si="34"/>
        <v>21194</v>
      </c>
      <c r="D2096" t="s">
        <v>26</v>
      </c>
      <c r="E2096" s="2" t="s">
        <v>39</v>
      </c>
      <c r="F2096" s="2" t="str">
        <f>_xlfn.XLOOKUP(Table1_1[[#This Row],[CAS_rn]],[1]analyte_order!$C:$C,[1]analyte_order!$B:$B)</f>
        <v>PFHpS</v>
      </c>
      <c r="G2096" t="s">
        <v>123</v>
      </c>
      <c r="H2096" s="2">
        <f>_xlfn.XLOOKUP(Table1_1[[#This Row],[CAS_rn]],[1]analyte_order!$C:$C,[1]analyte_order!$E:$E)</f>
        <v>17</v>
      </c>
      <c r="I2096">
        <v>0.05</v>
      </c>
    </row>
    <row r="2097" spans="1:9" x14ac:dyDescent="0.3">
      <c r="A2097" s="2" t="s">
        <v>101</v>
      </c>
      <c r="B2097" s="3">
        <v>44389.5</v>
      </c>
      <c r="C2097" s="1" t="str">
        <f t="shared" si="34"/>
        <v>21194</v>
      </c>
      <c r="D2097" t="s">
        <v>26</v>
      </c>
      <c r="E2097" s="2" t="s">
        <v>39</v>
      </c>
      <c r="F2097" s="2" t="str">
        <f>_xlfn.XLOOKUP(Table1_1[[#This Row],[CAS_rn]],[1]analyte_order!$C:$C,[1]analyte_order!$B:$B)</f>
        <v>PFOS</v>
      </c>
      <c r="G2097" t="s">
        <v>124</v>
      </c>
      <c r="H2097" s="2">
        <f>_xlfn.XLOOKUP(Table1_1[[#This Row],[CAS_rn]],[1]analyte_order!$C:$C,[1]analyte_order!$E:$E)</f>
        <v>18</v>
      </c>
      <c r="I2097">
        <v>1</v>
      </c>
    </row>
    <row r="2098" spans="1:9" x14ac:dyDescent="0.3">
      <c r="A2098" s="2" t="s">
        <v>101</v>
      </c>
      <c r="B2098" s="3">
        <v>44389.5</v>
      </c>
      <c r="C2098" s="1" t="str">
        <f t="shared" si="34"/>
        <v>21194</v>
      </c>
      <c r="D2098" t="s">
        <v>26</v>
      </c>
      <c r="E2098" s="2" t="s">
        <v>39</v>
      </c>
      <c r="F2098" s="2" t="str">
        <f>_xlfn.XLOOKUP(Table1_1[[#This Row],[CAS_rn]],[1]analyte_order!$C:$C,[1]analyte_order!$B:$B)</f>
        <v>PFNS</v>
      </c>
      <c r="G2098" t="s">
        <v>125</v>
      </c>
      <c r="H2098" s="2">
        <f>_xlfn.XLOOKUP(Table1_1[[#This Row],[CAS_rn]],[1]analyte_order!$C:$C,[1]analyte_order!$E:$E)</f>
        <v>19</v>
      </c>
      <c r="I2098">
        <v>0.05</v>
      </c>
    </row>
    <row r="2099" spans="1:9" x14ac:dyDescent="0.3">
      <c r="A2099" s="2" t="s">
        <v>101</v>
      </c>
      <c r="B2099" s="3">
        <v>44389.5</v>
      </c>
      <c r="C2099" s="1" t="str">
        <f t="shared" si="34"/>
        <v>21194</v>
      </c>
      <c r="D2099" t="s">
        <v>26</v>
      </c>
      <c r="E2099" s="2" t="s">
        <v>39</v>
      </c>
      <c r="F2099" s="2" t="str">
        <f>_xlfn.XLOOKUP(Table1_1[[#This Row],[CAS_rn]],[1]analyte_order!$C:$C,[1]analyte_order!$B:$B)</f>
        <v>PFDoS</v>
      </c>
      <c r="G2099" t="s">
        <v>126</v>
      </c>
      <c r="H2099" s="2">
        <f>_xlfn.XLOOKUP(Table1_1[[#This Row],[CAS_rn]],[1]analyte_order!$C:$C,[1]analyte_order!$E:$E)</f>
        <v>21</v>
      </c>
      <c r="I2099">
        <v>0.05</v>
      </c>
    </row>
    <row r="2100" spans="1:9" x14ac:dyDescent="0.3">
      <c r="A2100" s="2" t="s">
        <v>101</v>
      </c>
      <c r="B2100" s="3">
        <v>44389.5</v>
      </c>
      <c r="C2100" s="1" t="str">
        <f t="shared" si="34"/>
        <v>21194</v>
      </c>
      <c r="D2100" t="s">
        <v>26</v>
      </c>
      <c r="E2100" s="2" t="s">
        <v>39</v>
      </c>
      <c r="F2100" s="2" t="str">
        <f>_xlfn.XLOOKUP(Table1_1[[#This Row],[CAS_rn]],[1]analyte_order!$C:$C,[1]analyte_order!$B:$B)</f>
        <v>4:2 FTS</v>
      </c>
      <c r="G2100" t="s">
        <v>127</v>
      </c>
      <c r="H2100" s="2">
        <f>_xlfn.XLOOKUP(Table1_1[[#This Row],[CAS_rn]],[1]analyte_order!$C:$C,[1]analyte_order!$E:$E)</f>
        <v>22</v>
      </c>
      <c r="I2100">
        <v>0.2</v>
      </c>
    </row>
    <row r="2101" spans="1:9" x14ac:dyDescent="0.3">
      <c r="A2101" s="2" t="s">
        <v>101</v>
      </c>
      <c r="B2101" s="3">
        <v>44389.5</v>
      </c>
      <c r="C2101" s="1" t="str">
        <f t="shared" si="34"/>
        <v>21194</v>
      </c>
      <c r="D2101" t="s">
        <v>26</v>
      </c>
      <c r="E2101" s="2" t="s">
        <v>39</v>
      </c>
      <c r="F2101" s="2" t="str">
        <f>_xlfn.XLOOKUP(Table1_1[[#This Row],[CAS_rn]],[1]analyte_order!$C:$C,[1]analyte_order!$B:$B)</f>
        <v>6:2 FTS</v>
      </c>
      <c r="G2101" t="s">
        <v>128</v>
      </c>
      <c r="H2101" s="2">
        <f>_xlfn.XLOOKUP(Table1_1[[#This Row],[CAS_rn]],[1]analyte_order!$C:$C,[1]analyte_order!$E:$E)</f>
        <v>23</v>
      </c>
      <c r="I2101">
        <v>0.4</v>
      </c>
    </row>
    <row r="2102" spans="1:9" x14ac:dyDescent="0.3">
      <c r="A2102" s="2" t="s">
        <v>101</v>
      </c>
      <c r="B2102" s="3">
        <v>44389.5</v>
      </c>
      <c r="C2102" s="1" t="str">
        <f t="shared" si="34"/>
        <v>21194</v>
      </c>
      <c r="D2102" t="s">
        <v>26</v>
      </c>
      <c r="E2102" s="2" t="s">
        <v>39</v>
      </c>
      <c r="F2102" s="2" t="str">
        <f>_xlfn.XLOOKUP(Table1_1[[#This Row],[CAS_rn]],[1]analyte_order!$C:$C,[1]analyte_order!$B:$B)</f>
        <v>8:2 FTS</v>
      </c>
      <c r="G2102" t="s">
        <v>129</v>
      </c>
      <c r="H2102" s="2">
        <f>_xlfn.XLOOKUP(Table1_1[[#This Row],[CAS_rn]],[1]analyte_order!$C:$C,[1]analyte_order!$E:$E)</f>
        <v>24</v>
      </c>
      <c r="I2102">
        <v>0.4</v>
      </c>
    </row>
    <row r="2103" spans="1:9" x14ac:dyDescent="0.3">
      <c r="A2103" s="2" t="s">
        <v>101</v>
      </c>
      <c r="B2103" s="3">
        <v>44389.5</v>
      </c>
      <c r="C2103" s="1" t="str">
        <f t="shared" si="34"/>
        <v>21194</v>
      </c>
      <c r="D2103" t="s">
        <v>26</v>
      </c>
      <c r="E2103" s="2" t="s">
        <v>39</v>
      </c>
      <c r="F2103" s="2" t="str">
        <f>_xlfn.XLOOKUP(Table1_1[[#This Row],[CAS_rn]],[1]analyte_order!$C:$C,[1]analyte_order!$B:$B)</f>
        <v>FOSA</v>
      </c>
      <c r="G2103" t="s">
        <v>130</v>
      </c>
      <c r="H2103" s="2">
        <f>_xlfn.XLOOKUP(Table1_1[[#This Row],[CAS_rn]],[1]analyte_order!$C:$C,[1]analyte_order!$E:$E)</f>
        <v>28</v>
      </c>
      <c r="I2103">
        <v>0.09</v>
      </c>
    </row>
    <row r="2104" spans="1:9" x14ac:dyDescent="0.3">
      <c r="A2104" s="2" t="s">
        <v>101</v>
      </c>
      <c r="B2104" s="3">
        <v>44389.5</v>
      </c>
      <c r="C2104" s="1" t="str">
        <f t="shared" si="34"/>
        <v>21194</v>
      </c>
      <c r="D2104" t="s">
        <v>26</v>
      </c>
      <c r="E2104" s="2" t="s">
        <v>39</v>
      </c>
      <c r="F2104" s="2" t="str">
        <f>_xlfn.XLOOKUP(Table1_1[[#This Row],[CAS_rn]],[1]analyte_order!$C:$C,[1]analyte_order!$B:$B)</f>
        <v>N-MeFOSA</v>
      </c>
      <c r="G2104" t="s">
        <v>131</v>
      </c>
      <c r="H2104" s="2">
        <f>_xlfn.XLOOKUP(Table1_1[[#This Row],[CAS_rn]],[1]analyte_order!$C:$C,[1]analyte_order!$E:$E)</f>
        <v>30</v>
      </c>
      <c r="I2104">
        <v>0.05</v>
      </c>
    </row>
    <row r="2105" spans="1:9" x14ac:dyDescent="0.3">
      <c r="A2105" s="2" t="s">
        <v>101</v>
      </c>
      <c r="B2105" s="3">
        <v>44389.5</v>
      </c>
      <c r="C2105" s="1" t="str">
        <f t="shared" si="34"/>
        <v>21194</v>
      </c>
      <c r="D2105" t="s">
        <v>26</v>
      </c>
      <c r="E2105" s="2" t="s">
        <v>39</v>
      </c>
      <c r="F2105" s="2" t="str">
        <f>_xlfn.XLOOKUP(Table1_1[[#This Row],[CAS_rn]],[1]analyte_order!$C:$C,[1]analyte_order!$B:$B)</f>
        <v>N-MeFOSAA</v>
      </c>
      <c r="G2105" t="s">
        <v>132</v>
      </c>
      <c r="H2105" s="2">
        <f>_xlfn.XLOOKUP(Table1_1[[#This Row],[CAS_rn]],[1]analyte_order!$C:$C,[1]analyte_order!$E:$E)</f>
        <v>26</v>
      </c>
      <c r="I2105">
        <v>0.05</v>
      </c>
    </row>
    <row r="2106" spans="1:9" x14ac:dyDescent="0.3">
      <c r="A2106" s="2" t="s">
        <v>101</v>
      </c>
      <c r="B2106" s="3">
        <v>44389.5</v>
      </c>
      <c r="C2106" s="1" t="str">
        <f t="shared" si="34"/>
        <v>21194</v>
      </c>
      <c r="D2106" t="s">
        <v>26</v>
      </c>
      <c r="E2106" s="2" t="s">
        <v>39</v>
      </c>
      <c r="F2106" s="2" t="str">
        <f>_xlfn.XLOOKUP(Table1_1[[#This Row],[CAS_rn]],[1]analyte_order!$C:$C,[1]analyte_order!$B:$B)</f>
        <v>N-EtFOSA</v>
      </c>
      <c r="G2106" t="s">
        <v>133</v>
      </c>
      <c r="H2106" s="2">
        <f>_xlfn.XLOOKUP(Table1_1[[#This Row],[CAS_rn]],[1]analyte_order!$C:$C,[1]analyte_order!$E:$E)</f>
        <v>31</v>
      </c>
      <c r="I2106">
        <v>0.05</v>
      </c>
    </row>
    <row r="2107" spans="1:9" x14ac:dyDescent="0.3">
      <c r="A2107" s="2" t="s">
        <v>101</v>
      </c>
      <c r="B2107" s="3">
        <v>44389.5</v>
      </c>
      <c r="C2107" s="1" t="str">
        <f t="shared" si="34"/>
        <v>21194</v>
      </c>
      <c r="D2107" t="s">
        <v>26</v>
      </c>
      <c r="E2107" s="2" t="s">
        <v>39</v>
      </c>
      <c r="F2107" s="2" t="str">
        <f>_xlfn.XLOOKUP(Table1_1[[#This Row],[CAS_rn]],[1]analyte_order!$C:$C,[1]analyte_order!$B:$B)</f>
        <v>N-EtFOSAA</v>
      </c>
      <c r="G2107" t="s">
        <v>134</v>
      </c>
      <c r="H2107" s="2">
        <f>_xlfn.XLOOKUP(Table1_1[[#This Row],[CAS_rn]],[1]analyte_order!$C:$C,[1]analyte_order!$E:$E)</f>
        <v>27</v>
      </c>
      <c r="I2107">
        <v>0.05</v>
      </c>
    </row>
    <row r="2108" spans="1:9" x14ac:dyDescent="0.3">
      <c r="A2108" s="2" t="s">
        <v>101</v>
      </c>
      <c r="B2108" s="3">
        <v>44389.5</v>
      </c>
      <c r="C2108" s="1" t="str">
        <f t="shared" si="34"/>
        <v>21194</v>
      </c>
      <c r="D2108" t="s">
        <v>26</v>
      </c>
      <c r="E2108" s="2" t="s">
        <v>39</v>
      </c>
      <c r="F2108" s="2" t="str">
        <f>_xlfn.XLOOKUP(Table1_1[[#This Row],[CAS_rn]],[1]analyte_order!$C:$C,[1]analyte_order!$B:$B)</f>
        <v>N-MeFOSE</v>
      </c>
      <c r="G2108" t="s">
        <v>135</v>
      </c>
      <c r="H2108" s="2">
        <f>_xlfn.XLOOKUP(Table1_1[[#This Row],[CAS_rn]],[1]analyte_order!$C:$C,[1]analyte_order!$E:$E)</f>
        <v>32</v>
      </c>
      <c r="I2108">
        <v>0.5</v>
      </c>
    </row>
    <row r="2109" spans="1:9" x14ac:dyDescent="0.3">
      <c r="A2109" s="2" t="s">
        <v>101</v>
      </c>
      <c r="B2109" s="3">
        <v>44389.5</v>
      </c>
      <c r="C2109" s="1" t="str">
        <f t="shared" si="34"/>
        <v>21194</v>
      </c>
      <c r="D2109" t="s">
        <v>26</v>
      </c>
      <c r="E2109" s="2" t="s">
        <v>39</v>
      </c>
      <c r="F2109" s="2" t="str">
        <f>_xlfn.XLOOKUP(Table1_1[[#This Row],[CAS_rn]],[1]analyte_order!$C:$C,[1]analyte_order!$B:$B)</f>
        <v>N-EtFOSE</v>
      </c>
      <c r="G2109" t="s">
        <v>136</v>
      </c>
      <c r="H2109" s="2">
        <f>_xlfn.XLOOKUP(Table1_1[[#This Row],[CAS_rn]],[1]analyte_order!$C:$C,[1]analyte_order!$E:$E)</f>
        <v>33</v>
      </c>
      <c r="I2109">
        <v>0.5</v>
      </c>
    </row>
    <row r="2110" spans="1:9" x14ac:dyDescent="0.3">
      <c r="A2110" s="2" t="s">
        <v>101</v>
      </c>
      <c r="B2110" s="3">
        <v>44389.5</v>
      </c>
      <c r="C2110" s="1" t="str">
        <f t="shared" si="34"/>
        <v>21194</v>
      </c>
      <c r="D2110" t="s">
        <v>26</v>
      </c>
      <c r="E2110" s="2" t="s">
        <v>39</v>
      </c>
      <c r="F2110" s="2" t="str">
        <f>_xlfn.XLOOKUP(Table1_1[[#This Row],[CAS_rn]],[1]analyte_order!$C:$C,[1]analyte_order!$B:$B)</f>
        <v>HFPO-DA</v>
      </c>
      <c r="G2110" t="s">
        <v>137</v>
      </c>
      <c r="H2110" s="2">
        <f>_xlfn.XLOOKUP(Table1_1[[#This Row],[CAS_rn]],[1]analyte_order!$C:$C,[1]analyte_order!$E:$E)</f>
        <v>34</v>
      </c>
      <c r="I2110">
        <v>0.3</v>
      </c>
    </row>
    <row r="2111" spans="1:9" x14ac:dyDescent="0.3">
      <c r="A2111" s="2" t="s">
        <v>101</v>
      </c>
      <c r="B2111" s="3">
        <v>44389.5</v>
      </c>
      <c r="C2111" s="1" t="str">
        <f t="shared" si="34"/>
        <v>21194</v>
      </c>
      <c r="D2111" t="s">
        <v>26</v>
      </c>
      <c r="E2111" s="2" t="s">
        <v>39</v>
      </c>
      <c r="F2111" s="2" t="str">
        <f>_xlfn.XLOOKUP(Table1_1[[#This Row],[CAS_rn]],[1]analyte_order!$C:$C,[1]analyte_order!$B:$B)</f>
        <v>ADONA</v>
      </c>
      <c r="G2111" t="s">
        <v>138</v>
      </c>
      <c r="H2111" s="2">
        <f>_xlfn.XLOOKUP(Table1_1[[#This Row],[CAS_rn]],[1]analyte_order!$C:$C,[1]analyte_order!$E:$E)</f>
        <v>35</v>
      </c>
      <c r="I2111">
        <v>0.2</v>
      </c>
    </row>
    <row r="2112" spans="1:9" x14ac:dyDescent="0.3">
      <c r="A2112" s="2" t="s">
        <v>101</v>
      </c>
      <c r="B2112" s="3">
        <v>44389.5</v>
      </c>
      <c r="C2112" s="1" t="str">
        <f t="shared" si="34"/>
        <v>21194</v>
      </c>
      <c r="D2112" t="s">
        <v>26</v>
      </c>
      <c r="E2112" s="2" t="s">
        <v>39</v>
      </c>
      <c r="F2112" s="2" t="str">
        <f>_xlfn.XLOOKUP(Table1_1[[#This Row],[CAS_rn]],[1]analyte_order!$C:$C,[1]analyte_order!$B:$B)</f>
        <v>PFMBA</v>
      </c>
      <c r="G2112" t="s">
        <v>139</v>
      </c>
      <c r="H2112" s="2">
        <f>_xlfn.XLOOKUP(Table1_1[[#This Row],[CAS_rn]],[1]analyte_order!$C:$C,[1]analyte_order!$E:$E)</f>
        <v>48</v>
      </c>
      <c r="I2112">
        <v>0.1</v>
      </c>
    </row>
    <row r="2113" spans="1:9" x14ac:dyDescent="0.3">
      <c r="A2113" s="2" t="s">
        <v>101</v>
      </c>
      <c r="B2113" s="3">
        <v>44389.5</v>
      </c>
      <c r="C2113" s="1" t="str">
        <f t="shared" si="34"/>
        <v>21194</v>
      </c>
      <c r="D2113" t="s">
        <v>26</v>
      </c>
      <c r="E2113" s="2" t="s">
        <v>39</v>
      </c>
      <c r="F2113" s="2" t="str">
        <f>_xlfn.XLOOKUP(Table1_1[[#This Row],[CAS_rn]],[1]analyte_order!$C:$C,[1]analyte_order!$B:$B)</f>
        <v>NFDHA</v>
      </c>
      <c r="G2113" t="s">
        <v>140</v>
      </c>
      <c r="H2113" s="2">
        <f>_xlfn.XLOOKUP(Table1_1[[#This Row],[CAS_rn]],[1]analyte_order!$C:$C,[1]analyte_order!$E:$E)</f>
        <v>50</v>
      </c>
      <c r="I2113">
        <v>0.1</v>
      </c>
    </row>
    <row r="2114" spans="1:9" x14ac:dyDescent="0.3">
      <c r="A2114" s="2" t="s">
        <v>101</v>
      </c>
      <c r="B2114" s="3">
        <v>44389.5</v>
      </c>
      <c r="C2114" s="1" t="str">
        <f t="shared" si="34"/>
        <v>21194</v>
      </c>
      <c r="D2114" t="s">
        <v>26</v>
      </c>
      <c r="E2114" s="2" t="s">
        <v>39</v>
      </c>
      <c r="F2114" s="2" t="str">
        <f>_xlfn.XLOOKUP(Table1_1[[#This Row],[CAS_rn]],[1]analyte_order!$C:$C,[1]analyte_order!$B:$B)</f>
        <v>9Cl-PF3ONS</v>
      </c>
      <c r="G2114" t="s">
        <v>141</v>
      </c>
      <c r="H2114" s="2">
        <f>_xlfn.XLOOKUP(Table1_1[[#This Row],[CAS_rn]],[1]analyte_order!$C:$C,[1]analyte_order!$E:$E)</f>
        <v>36</v>
      </c>
      <c r="I2114">
        <v>0.2</v>
      </c>
    </row>
    <row r="2115" spans="1:9" x14ac:dyDescent="0.3">
      <c r="A2115" s="2" t="s">
        <v>101</v>
      </c>
      <c r="B2115" s="3">
        <v>44389.5</v>
      </c>
      <c r="C2115" s="1" t="str">
        <f t="shared" si="34"/>
        <v>21194</v>
      </c>
      <c r="D2115" t="s">
        <v>26</v>
      </c>
      <c r="E2115" s="2" t="s">
        <v>39</v>
      </c>
      <c r="F2115" s="2" t="str">
        <f>_xlfn.XLOOKUP(Table1_1[[#This Row],[CAS_rn]],[1]analyte_order!$C:$C,[1]analyte_order!$B:$B)</f>
        <v>11Cl-PF3OUdS</v>
      </c>
      <c r="G2115" t="s">
        <v>142</v>
      </c>
      <c r="H2115" s="2">
        <f>_xlfn.XLOOKUP(Table1_1[[#This Row],[CAS_rn]],[1]analyte_order!$C:$C,[1]analyte_order!$E:$E)</f>
        <v>37</v>
      </c>
      <c r="I2115">
        <v>0.2</v>
      </c>
    </row>
    <row r="2116" spans="1:9" x14ac:dyDescent="0.3">
      <c r="A2116" s="2" t="s">
        <v>101</v>
      </c>
      <c r="B2116" s="3">
        <v>44389.5</v>
      </c>
      <c r="C2116" s="1" t="str">
        <f t="shared" si="34"/>
        <v>21194</v>
      </c>
      <c r="D2116" t="s">
        <v>26</v>
      </c>
      <c r="E2116" s="2" t="s">
        <v>39</v>
      </c>
      <c r="F2116" s="2" t="str">
        <f>_xlfn.XLOOKUP(Table1_1[[#This Row],[CAS_rn]],[1]analyte_order!$C:$C,[1]analyte_order!$B:$B)</f>
        <v>PFEESA</v>
      </c>
      <c r="G2116" t="s">
        <v>143</v>
      </c>
      <c r="H2116" s="2">
        <f>_xlfn.XLOOKUP(Table1_1[[#This Row],[CAS_rn]],[1]analyte_order!$C:$C,[1]analyte_order!$E:$E)</f>
        <v>47</v>
      </c>
      <c r="I2116">
        <v>0.1</v>
      </c>
    </row>
    <row r="2117" spans="1:9" x14ac:dyDescent="0.3">
      <c r="A2117" s="2" t="s">
        <v>101</v>
      </c>
      <c r="B2117" s="3">
        <v>44389.5</v>
      </c>
      <c r="C2117" s="1" t="str">
        <f t="shared" si="34"/>
        <v>21194</v>
      </c>
      <c r="D2117" t="s">
        <v>26</v>
      </c>
      <c r="E2117" s="2" t="s">
        <v>39</v>
      </c>
      <c r="F2117" s="2" t="str">
        <f>_xlfn.XLOOKUP(Table1_1[[#This Row],[CAS_rn]],[1]analyte_order!$C:$C,[1]analyte_order!$B:$B)</f>
        <v>3:3 FTCA</v>
      </c>
      <c r="G2117" t="s">
        <v>144</v>
      </c>
      <c r="H2117" s="2">
        <f>_xlfn.XLOOKUP(Table1_1[[#This Row],[CAS_rn]],[1]analyte_order!$C:$C,[1]analyte_order!$E:$E)</f>
        <v>38</v>
      </c>
      <c r="I2117">
        <v>0.25</v>
      </c>
    </row>
    <row r="2118" spans="1:9" x14ac:dyDescent="0.3">
      <c r="A2118" s="2" t="s">
        <v>101</v>
      </c>
      <c r="B2118" s="3">
        <v>44389.5</v>
      </c>
      <c r="C2118" s="1" t="str">
        <f t="shared" si="34"/>
        <v>21194</v>
      </c>
      <c r="D2118" t="s">
        <v>26</v>
      </c>
      <c r="E2118" s="2" t="s">
        <v>39</v>
      </c>
      <c r="F2118" s="2" t="str">
        <f>_xlfn.XLOOKUP(Table1_1[[#This Row],[CAS_rn]],[1]analyte_order!$C:$C,[1]analyte_order!$B:$B)</f>
        <v>5:3 FTCA</v>
      </c>
      <c r="G2118" t="s">
        <v>145</v>
      </c>
      <c r="H2118" s="2">
        <f>_xlfn.XLOOKUP(Table1_1[[#This Row],[CAS_rn]],[1]analyte_order!$C:$C,[1]analyte_order!$E:$E)</f>
        <v>39</v>
      </c>
      <c r="I2118">
        <v>1.25</v>
      </c>
    </row>
    <row r="2119" spans="1:9" x14ac:dyDescent="0.3">
      <c r="A2119" s="2" t="s">
        <v>101</v>
      </c>
      <c r="B2119" s="3">
        <v>44389.5</v>
      </c>
      <c r="C2119" s="1" t="str">
        <f t="shared" si="34"/>
        <v>21194</v>
      </c>
      <c r="D2119" t="s">
        <v>26</v>
      </c>
      <c r="E2119" s="2" t="s">
        <v>39</v>
      </c>
      <c r="F2119" s="2" t="str">
        <f>_xlfn.XLOOKUP(Table1_1[[#This Row],[CAS_rn]],[1]analyte_order!$C:$C,[1]analyte_order!$B:$B)</f>
        <v>7:3 FTCA</v>
      </c>
      <c r="G2119" t="s">
        <v>146</v>
      </c>
      <c r="H2119" s="2">
        <f>_xlfn.XLOOKUP(Table1_1[[#This Row],[CAS_rn]],[1]analyte_order!$C:$C,[1]analyte_order!$E:$E)</f>
        <v>40</v>
      </c>
      <c r="I2119">
        <v>1.25</v>
      </c>
    </row>
    <row r="2120" spans="1:9" x14ac:dyDescent="0.3">
      <c r="A2120" s="2" t="s">
        <v>101</v>
      </c>
      <c r="B2120" s="3">
        <v>44389.5</v>
      </c>
      <c r="C2120" s="1" t="str">
        <f t="shared" si="34"/>
        <v>21194</v>
      </c>
      <c r="D2120" t="s">
        <v>26</v>
      </c>
      <c r="E2120" s="2" t="s">
        <v>39</v>
      </c>
      <c r="F2120" s="2" t="str">
        <f>_xlfn.XLOOKUP(Table1_1[[#This Row],[CAS_rn]],[1]analyte_order!$C:$C,[1]analyte_order!$B:$B)</f>
        <v>PFDS</v>
      </c>
      <c r="G2120" t="s">
        <v>147</v>
      </c>
      <c r="H2120" s="2">
        <f>_xlfn.XLOOKUP(Table1_1[[#This Row],[CAS_rn]],[1]analyte_order!$C:$C,[1]analyte_order!$E:$E)</f>
        <v>20</v>
      </c>
      <c r="I2120">
        <v>0.05</v>
      </c>
    </row>
    <row r="2121" spans="1:9" x14ac:dyDescent="0.3">
      <c r="A2121" s="2" t="s">
        <v>101</v>
      </c>
      <c r="B2121" s="3">
        <v>44389.5</v>
      </c>
      <c r="C2121" s="1" t="str">
        <f t="shared" si="34"/>
        <v>21194</v>
      </c>
      <c r="D2121" t="s">
        <v>26</v>
      </c>
      <c r="E2121" s="2" t="s">
        <v>39</v>
      </c>
      <c r="F2121" s="2" t="str">
        <f>_xlfn.XLOOKUP(Table1_1[[#This Row],[CAS_rn]],[1]analyte_order!$C:$C,[1]analyte_order!$B:$B)</f>
        <v>PFMPA</v>
      </c>
      <c r="G2121" t="s">
        <v>148</v>
      </c>
      <c r="H2121" s="2">
        <f>_xlfn.XLOOKUP(Table1_1[[#This Row],[CAS_rn]],[1]analyte_order!$C:$C,[1]analyte_order!$E:$E)</f>
        <v>49</v>
      </c>
      <c r="I2121">
        <v>0.1</v>
      </c>
    </row>
    <row r="2122" spans="1:9" x14ac:dyDescent="0.3">
      <c r="A2122" s="2" t="s">
        <v>102</v>
      </c>
      <c r="B2122" s="3">
        <v>44389.5</v>
      </c>
      <c r="C2122" s="1" t="str">
        <f t="shared" si="34"/>
        <v>21194</v>
      </c>
      <c r="D2122" t="s">
        <v>31</v>
      </c>
      <c r="E2122" s="2" t="s">
        <v>39</v>
      </c>
      <c r="F2122" s="2" t="str">
        <f>_xlfn.XLOOKUP(Table1_1[[#This Row],[CAS_rn]],[1]analyte_order!$C:$C,[1]analyte_order!$B:$B)</f>
        <v>PFBA</v>
      </c>
      <c r="G2122" t="s">
        <v>109</v>
      </c>
      <c r="H2122" s="2">
        <f>_xlfn.XLOOKUP(Table1_1[[#This Row],[CAS_rn]],[1]analyte_order!$C:$C,[1]analyte_order!$E:$E)</f>
        <v>1</v>
      </c>
      <c r="I2122">
        <v>0.2</v>
      </c>
    </row>
    <row r="2123" spans="1:9" x14ac:dyDescent="0.3">
      <c r="A2123" s="2" t="s">
        <v>102</v>
      </c>
      <c r="B2123" s="3">
        <v>44389.5</v>
      </c>
      <c r="C2123" s="1" t="str">
        <f t="shared" ref="C2123:C2186" si="35">TEXT(B2123,"yy")&amp;TEXT((B2123-DATEVALUE("1/1/"&amp;TEXT(B2123,"yy"))+1),"000")</f>
        <v>21194</v>
      </c>
      <c r="D2123" t="s">
        <v>31</v>
      </c>
      <c r="E2123" s="2" t="s">
        <v>39</v>
      </c>
      <c r="F2123" s="2" t="str">
        <f>_xlfn.XLOOKUP(Table1_1[[#This Row],[CAS_rn]],[1]analyte_order!$C:$C,[1]analyte_order!$B:$B)</f>
        <v>PFPeA</v>
      </c>
      <c r="G2123" t="s">
        <v>110</v>
      </c>
      <c r="H2123" s="2">
        <f>_xlfn.XLOOKUP(Table1_1[[#This Row],[CAS_rn]],[1]analyte_order!$C:$C,[1]analyte_order!$E:$E)</f>
        <v>2</v>
      </c>
      <c r="I2123">
        <v>0.1</v>
      </c>
    </row>
    <row r="2124" spans="1:9" x14ac:dyDescent="0.3">
      <c r="A2124" s="2" t="s">
        <v>102</v>
      </c>
      <c r="B2124" s="3">
        <v>44389.5</v>
      </c>
      <c r="C2124" s="1" t="str">
        <f t="shared" si="35"/>
        <v>21194</v>
      </c>
      <c r="D2124" t="s">
        <v>31</v>
      </c>
      <c r="E2124" s="2" t="s">
        <v>39</v>
      </c>
      <c r="F2124" s="2" t="str">
        <f>_xlfn.XLOOKUP(Table1_1[[#This Row],[CAS_rn]],[1]analyte_order!$C:$C,[1]analyte_order!$B:$B)</f>
        <v>PFHxA</v>
      </c>
      <c r="G2124" t="s">
        <v>111</v>
      </c>
      <c r="H2124" s="2">
        <f>_xlfn.XLOOKUP(Table1_1[[#This Row],[CAS_rn]],[1]analyte_order!$C:$C,[1]analyte_order!$E:$E)</f>
        <v>3</v>
      </c>
      <c r="I2124">
        <v>0.2</v>
      </c>
    </row>
    <row r="2125" spans="1:9" x14ac:dyDescent="0.3">
      <c r="A2125" s="2" t="s">
        <v>102</v>
      </c>
      <c r="B2125" s="3">
        <v>44389.5</v>
      </c>
      <c r="C2125" s="1" t="str">
        <f t="shared" si="35"/>
        <v>21194</v>
      </c>
      <c r="D2125" t="s">
        <v>31</v>
      </c>
      <c r="E2125" s="2" t="s">
        <v>39</v>
      </c>
      <c r="F2125" s="2" t="str">
        <f>_xlfn.XLOOKUP(Table1_1[[#This Row],[CAS_rn]],[1]analyte_order!$C:$C,[1]analyte_order!$B:$B)</f>
        <v>PFHpA</v>
      </c>
      <c r="G2125" t="s">
        <v>112</v>
      </c>
      <c r="H2125" s="2">
        <f>_xlfn.XLOOKUP(Table1_1[[#This Row],[CAS_rn]],[1]analyte_order!$C:$C,[1]analyte_order!$E:$E)</f>
        <v>4</v>
      </c>
      <c r="I2125">
        <v>0.09</v>
      </c>
    </row>
    <row r="2126" spans="1:9" x14ac:dyDescent="0.3">
      <c r="A2126" s="2" t="s">
        <v>102</v>
      </c>
      <c r="B2126" s="3">
        <v>44389.5</v>
      </c>
      <c r="C2126" s="1" t="str">
        <f t="shared" si="35"/>
        <v>21194</v>
      </c>
      <c r="D2126" t="s">
        <v>31</v>
      </c>
      <c r="E2126" s="2" t="s">
        <v>39</v>
      </c>
      <c r="F2126" s="2" t="str">
        <f>_xlfn.XLOOKUP(Table1_1[[#This Row],[CAS_rn]],[1]analyte_order!$C:$C,[1]analyte_order!$B:$B)</f>
        <v>PFOA</v>
      </c>
      <c r="G2126" t="s">
        <v>113</v>
      </c>
      <c r="H2126" s="2">
        <f>_xlfn.XLOOKUP(Table1_1[[#This Row],[CAS_rn]],[1]analyte_order!$C:$C,[1]analyte_order!$E:$E)</f>
        <v>5</v>
      </c>
      <c r="I2126">
        <v>0.3</v>
      </c>
    </row>
    <row r="2127" spans="1:9" x14ac:dyDescent="0.3">
      <c r="A2127" s="2" t="s">
        <v>102</v>
      </c>
      <c r="B2127" s="3">
        <v>44389.5</v>
      </c>
      <c r="C2127" s="1" t="str">
        <f t="shared" si="35"/>
        <v>21194</v>
      </c>
      <c r="D2127" t="s">
        <v>31</v>
      </c>
      <c r="E2127" s="2" t="s">
        <v>39</v>
      </c>
      <c r="F2127" s="2" t="str">
        <f>_xlfn.XLOOKUP(Table1_1[[#This Row],[CAS_rn]],[1]analyte_order!$C:$C,[1]analyte_order!$B:$B)</f>
        <v>PFNA</v>
      </c>
      <c r="G2127" t="s">
        <v>114</v>
      </c>
      <c r="H2127" s="2">
        <f>_xlfn.XLOOKUP(Table1_1[[#This Row],[CAS_rn]],[1]analyte_order!$C:$C,[1]analyte_order!$E:$E)</f>
        <v>6</v>
      </c>
      <c r="I2127">
        <v>4.9500000000000002E-2</v>
      </c>
    </row>
    <row r="2128" spans="1:9" x14ac:dyDescent="0.3">
      <c r="A2128" s="2" t="s">
        <v>102</v>
      </c>
      <c r="B2128" s="3">
        <v>44389.5</v>
      </c>
      <c r="C2128" s="1" t="str">
        <f t="shared" si="35"/>
        <v>21194</v>
      </c>
      <c r="D2128" t="s">
        <v>31</v>
      </c>
      <c r="E2128" s="2" t="s">
        <v>39</v>
      </c>
      <c r="F2128" s="2" t="str">
        <f>_xlfn.XLOOKUP(Table1_1[[#This Row],[CAS_rn]],[1]analyte_order!$C:$C,[1]analyte_order!$B:$B)</f>
        <v>PFDA</v>
      </c>
      <c r="G2128" t="s">
        <v>115</v>
      </c>
      <c r="H2128" s="2">
        <f>_xlfn.XLOOKUP(Table1_1[[#This Row],[CAS_rn]],[1]analyte_order!$C:$C,[1]analyte_order!$E:$E)</f>
        <v>7</v>
      </c>
      <c r="I2128">
        <v>4.9500000000000002E-2</v>
      </c>
    </row>
    <row r="2129" spans="1:9" x14ac:dyDescent="0.3">
      <c r="A2129" s="2" t="s">
        <v>102</v>
      </c>
      <c r="B2129" s="3">
        <v>44389.5</v>
      </c>
      <c r="C2129" s="1" t="str">
        <f t="shared" si="35"/>
        <v>21194</v>
      </c>
      <c r="D2129" t="s">
        <v>31</v>
      </c>
      <c r="E2129" s="2" t="s">
        <v>39</v>
      </c>
      <c r="F2129" s="2" t="str">
        <f>_xlfn.XLOOKUP(Table1_1[[#This Row],[CAS_rn]],[1]analyte_order!$C:$C,[1]analyte_order!$B:$B)</f>
        <v>PFUnA</v>
      </c>
      <c r="G2129" t="s">
        <v>116</v>
      </c>
      <c r="H2129" s="2">
        <f>_xlfn.XLOOKUP(Table1_1[[#This Row],[CAS_rn]],[1]analyte_order!$C:$C,[1]analyte_order!$E:$E)</f>
        <v>8</v>
      </c>
      <c r="I2129">
        <v>4.9500000000000002E-2</v>
      </c>
    </row>
    <row r="2130" spans="1:9" x14ac:dyDescent="0.3">
      <c r="A2130" s="2" t="s">
        <v>102</v>
      </c>
      <c r="B2130" s="3">
        <v>44389.5</v>
      </c>
      <c r="C2130" s="1" t="str">
        <f t="shared" si="35"/>
        <v>21194</v>
      </c>
      <c r="D2130" t="s">
        <v>31</v>
      </c>
      <c r="E2130" s="2" t="s">
        <v>39</v>
      </c>
      <c r="F2130" s="2" t="str">
        <f>_xlfn.XLOOKUP(Table1_1[[#This Row],[CAS_rn]],[1]analyte_order!$C:$C,[1]analyte_order!$B:$B)</f>
        <v>PFDoA</v>
      </c>
      <c r="G2130" t="s">
        <v>117</v>
      </c>
      <c r="H2130" s="2">
        <f>_xlfn.XLOOKUP(Table1_1[[#This Row],[CAS_rn]],[1]analyte_order!$C:$C,[1]analyte_order!$E:$E)</f>
        <v>9</v>
      </c>
      <c r="I2130">
        <v>5.0999999999999997E-2</v>
      </c>
    </row>
    <row r="2131" spans="1:9" x14ac:dyDescent="0.3">
      <c r="A2131" s="2" t="s">
        <v>102</v>
      </c>
      <c r="B2131" s="3">
        <v>44389.5</v>
      </c>
      <c r="C2131" s="1" t="str">
        <f t="shared" si="35"/>
        <v>21194</v>
      </c>
      <c r="D2131" t="s">
        <v>31</v>
      </c>
      <c r="E2131" s="2" t="s">
        <v>39</v>
      </c>
      <c r="F2131" s="2" t="str">
        <f>_xlfn.XLOOKUP(Table1_1[[#This Row],[CAS_rn]],[1]analyte_order!$C:$C,[1]analyte_order!$B:$B)</f>
        <v>PFTrDA</v>
      </c>
      <c r="G2131" t="s">
        <v>118</v>
      </c>
      <c r="H2131" s="2">
        <f>_xlfn.XLOOKUP(Table1_1[[#This Row],[CAS_rn]],[1]analyte_order!$C:$C,[1]analyte_order!$E:$E)</f>
        <v>10</v>
      </c>
      <c r="I2131">
        <v>4.9500000000000002E-2</v>
      </c>
    </row>
    <row r="2132" spans="1:9" x14ac:dyDescent="0.3">
      <c r="A2132" s="2" t="s">
        <v>102</v>
      </c>
      <c r="B2132" s="3">
        <v>44389.5</v>
      </c>
      <c r="C2132" s="1" t="str">
        <f t="shared" si="35"/>
        <v>21194</v>
      </c>
      <c r="D2132" t="s">
        <v>31</v>
      </c>
      <c r="E2132" s="2" t="s">
        <v>39</v>
      </c>
      <c r="F2132" s="2" t="str">
        <f>_xlfn.XLOOKUP(Table1_1[[#This Row],[CAS_rn]],[1]analyte_order!$C:$C,[1]analyte_order!$B:$B)</f>
        <v>PFTeDA</v>
      </c>
      <c r="G2132" t="s">
        <v>119</v>
      </c>
      <c r="H2132" s="2">
        <f>_xlfn.XLOOKUP(Table1_1[[#This Row],[CAS_rn]],[1]analyte_order!$C:$C,[1]analyte_order!$E:$E)</f>
        <v>11</v>
      </c>
      <c r="I2132">
        <v>4.9500000000000002E-2</v>
      </c>
    </row>
    <row r="2133" spans="1:9" x14ac:dyDescent="0.3">
      <c r="A2133" s="2" t="s">
        <v>102</v>
      </c>
      <c r="B2133" s="3">
        <v>44389.5</v>
      </c>
      <c r="C2133" s="1" t="str">
        <f t="shared" si="35"/>
        <v>21194</v>
      </c>
      <c r="D2133" t="s">
        <v>31</v>
      </c>
      <c r="E2133" s="2" t="s">
        <v>39</v>
      </c>
      <c r="F2133" s="2" t="str">
        <f>_xlfn.XLOOKUP(Table1_1[[#This Row],[CAS_rn]],[1]analyte_order!$C:$C,[1]analyte_order!$B:$B)</f>
        <v>PFBS</v>
      </c>
      <c r="G2133" t="s">
        <v>120</v>
      </c>
      <c r="H2133" s="2">
        <f>_xlfn.XLOOKUP(Table1_1[[#This Row],[CAS_rn]],[1]analyte_order!$C:$C,[1]analyte_order!$E:$E)</f>
        <v>14</v>
      </c>
      <c r="I2133">
        <v>4.9500000000000002E-2</v>
      </c>
    </row>
    <row r="2134" spans="1:9" x14ac:dyDescent="0.3">
      <c r="A2134" s="2" t="s">
        <v>102</v>
      </c>
      <c r="B2134" s="3">
        <v>44389.5</v>
      </c>
      <c r="C2134" s="1" t="str">
        <f t="shared" si="35"/>
        <v>21194</v>
      </c>
      <c r="D2134" t="s">
        <v>31</v>
      </c>
      <c r="E2134" s="2" t="s">
        <v>39</v>
      </c>
      <c r="F2134" s="2" t="str">
        <f>_xlfn.XLOOKUP(Table1_1[[#This Row],[CAS_rn]],[1]analyte_order!$C:$C,[1]analyte_order!$B:$B)</f>
        <v>PFPeS</v>
      </c>
      <c r="G2134" t="s">
        <v>121</v>
      </c>
      <c r="H2134" s="2">
        <f>_xlfn.XLOOKUP(Table1_1[[#This Row],[CAS_rn]],[1]analyte_order!$C:$C,[1]analyte_order!$E:$E)</f>
        <v>15</v>
      </c>
      <c r="I2134">
        <v>4.9500000000000002E-2</v>
      </c>
    </row>
    <row r="2135" spans="1:9" x14ac:dyDescent="0.3">
      <c r="A2135" s="2" t="s">
        <v>102</v>
      </c>
      <c r="B2135" s="3">
        <v>44389.5</v>
      </c>
      <c r="C2135" s="1" t="str">
        <f t="shared" si="35"/>
        <v>21194</v>
      </c>
      <c r="D2135" t="s">
        <v>31</v>
      </c>
      <c r="E2135" s="2" t="s">
        <v>39</v>
      </c>
      <c r="F2135" s="2" t="str">
        <f>_xlfn.XLOOKUP(Table1_1[[#This Row],[CAS_rn]],[1]analyte_order!$C:$C,[1]analyte_order!$B:$B)</f>
        <v>PFHxS</v>
      </c>
      <c r="G2135" t="s">
        <v>122</v>
      </c>
      <c r="H2135" s="2">
        <f>_xlfn.XLOOKUP(Table1_1[[#This Row],[CAS_rn]],[1]analyte_order!$C:$C,[1]analyte_order!$E:$E)</f>
        <v>16</v>
      </c>
      <c r="I2135">
        <v>0.65</v>
      </c>
    </row>
    <row r="2136" spans="1:9" x14ac:dyDescent="0.3">
      <c r="A2136" s="2" t="s">
        <v>102</v>
      </c>
      <c r="B2136" s="3">
        <v>44389.5</v>
      </c>
      <c r="C2136" s="1" t="str">
        <f t="shared" si="35"/>
        <v>21194</v>
      </c>
      <c r="D2136" t="s">
        <v>31</v>
      </c>
      <c r="E2136" s="2" t="s">
        <v>39</v>
      </c>
      <c r="F2136" s="2" t="str">
        <f>_xlfn.XLOOKUP(Table1_1[[#This Row],[CAS_rn]],[1]analyte_order!$C:$C,[1]analyte_order!$B:$B)</f>
        <v>PFHpS</v>
      </c>
      <c r="G2136" t="s">
        <v>123</v>
      </c>
      <c r="H2136" s="2">
        <f>_xlfn.XLOOKUP(Table1_1[[#This Row],[CAS_rn]],[1]analyte_order!$C:$C,[1]analyte_order!$E:$E)</f>
        <v>17</v>
      </c>
      <c r="I2136">
        <v>4.9500000000000002E-2</v>
      </c>
    </row>
    <row r="2137" spans="1:9" x14ac:dyDescent="0.3">
      <c r="A2137" s="2" t="s">
        <v>102</v>
      </c>
      <c r="B2137" s="3">
        <v>44389.5</v>
      </c>
      <c r="C2137" s="1" t="str">
        <f t="shared" si="35"/>
        <v>21194</v>
      </c>
      <c r="D2137" t="s">
        <v>31</v>
      </c>
      <c r="E2137" s="2" t="s">
        <v>39</v>
      </c>
      <c r="F2137" s="2" t="str">
        <f>_xlfn.XLOOKUP(Table1_1[[#This Row],[CAS_rn]],[1]analyte_order!$C:$C,[1]analyte_order!$B:$B)</f>
        <v>PFOS</v>
      </c>
      <c r="G2137" t="s">
        <v>124</v>
      </c>
      <c r="H2137" s="2">
        <f>_xlfn.XLOOKUP(Table1_1[[#This Row],[CAS_rn]],[1]analyte_order!$C:$C,[1]analyte_order!$E:$E)</f>
        <v>18</v>
      </c>
      <c r="I2137">
        <v>3.3</v>
      </c>
    </row>
    <row r="2138" spans="1:9" x14ac:dyDescent="0.3">
      <c r="A2138" s="2" t="s">
        <v>102</v>
      </c>
      <c r="B2138" s="3">
        <v>44389.5</v>
      </c>
      <c r="C2138" s="1" t="str">
        <f t="shared" si="35"/>
        <v>21194</v>
      </c>
      <c r="D2138" t="s">
        <v>31</v>
      </c>
      <c r="E2138" s="2" t="s">
        <v>39</v>
      </c>
      <c r="F2138" s="2" t="str">
        <f>_xlfn.XLOOKUP(Table1_1[[#This Row],[CAS_rn]],[1]analyte_order!$C:$C,[1]analyte_order!$B:$B)</f>
        <v>PFNS</v>
      </c>
      <c r="G2138" t="s">
        <v>125</v>
      </c>
      <c r="H2138" s="2">
        <f>_xlfn.XLOOKUP(Table1_1[[#This Row],[CAS_rn]],[1]analyte_order!$C:$C,[1]analyte_order!$E:$E)</f>
        <v>19</v>
      </c>
      <c r="I2138">
        <v>4.9500000000000002E-2</v>
      </c>
    </row>
    <row r="2139" spans="1:9" x14ac:dyDescent="0.3">
      <c r="A2139" s="2" t="s">
        <v>102</v>
      </c>
      <c r="B2139" s="3">
        <v>44389.5</v>
      </c>
      <c r="C2139" s="1" t="str">
        <f t="shared" si="35"/>
        <v>21194</v>
      </c>
      <c r="D2139" t="s">
        <v>31</v>
      </c>
      <c r="E2139" s="2" t="s">
        <v>39</v>
      </c>
      <c r="F2139" s="2" t="str">
        <f>_xlfn.XLOOKUP(Table1_1[[#This Row],[CAS_rn]],[1]analyte_order!$C:$C,[1]analyte_order!$B:$B)</f>
        <v>PFDoS</v>
      </c>
      <c r="G2139" t="s">
        <v>126</v>
      </c>
      <c r="H2139" s="2">
        <f>_xlfn.XLOOKUP(Table1_1[[#This Row],[CAS_rn]],[1]analyte_order!$C:$C,[1]analyte_order!$E:$E)</f>
        <v>21</v>
      </c>
      <c r="I2139">
        <v>4.9500000000000002E-2</v>
      </c>
    </row>
    <row r="2140" spans="1:9" x14ac:dyDescent="0.3">
      <c r="A2140" s="2" t="s">
        <v>102</v>
      </c>
      <c r="B2140" s="3">
        <v>44389.5</v>
      </c>
      <c r="C2140" s="1" t="str">
        <f t="shared" si="35"/>
        <v>21194</v>
      </c>
      <c r="D2140" t="s">
        <v>31</v>
      </c>
      <c r="E2140" s="2" t="s">
        <v>39</v>
      </c>
      <c r="F2140" s="2" t="str">
        <f>_xlfn.XLOOKUP(Table1_1[[#This Row],[CAS_rn]],[1]analyte_order!$C:$C,[1]analyte_order!$B:$B)</f>
        <v>4:2 FTS</v>
      </c>
      <c r="G2140" t="s">
        <v>127</v>
      </c>
      <c r="H2140" s="2">
        <f>_xlfn.XLOOKUP(Table1_1[[#This Row],[CAS_rn]],[1]analyte_order!$C:$C,[1]analyte_order!$E:$E)</f>
        <v>22</v>
      </c>
      <c r="I2140">
        <v>0.2</v>
      </c>
    </row>
    <row r="2141" spans="1:9" x14ac:dyDescent="0.3">
      <c r="A2141" s="2" t="s">
        <v>102</v>
      </c>
      <c r="B2141" s="3">
        <v>44389.5</v>
      </c>
      <c r="C2141" s="1" t="str">
        <f t="shared" si="35"/>
        <v>21194</v>
      </c>
      <c r="D2141" t="s">
        <v>31</v>
      </c>
      <c r="E2141" s="2" t="s">
        <v>39</v>
      </c>
      <c r="F2141" s="2" t="str">
        <f>_xlfn.XLOOKUP(Table1_1[[#This Row],[CAS_rn]],[1]analyte_order!$C:$C,[1]analyte_order!$B:$B)</f>
        <v>6:2 FTS</v>
      </c>
      <c r="G2141" t="s">
        <v>128</v>
      </c>
      <c r="H2141" s="2">
        <f>_xlfn.XLOOKUP(Table1_1[[#This Row],[CAS_rn]],[1]analyte_order!$C:$C,[1]analyte_order!$E:$E)</f>
        <v>23</v>
      </c>
      <c r="I2141">
        <v>0.39500000000000002</v>
      </c>
    </row>
    <row r="2142" spans="1:9" x14ac:dyDescent="0.3">
      <c r="A2142" s="2" t="s">
        <v>102</v>
      </c>
      <c r="B2142" s="3">
        <v>44389.5</v>
      </c>
      <c r="C2142" s="1" t="str">
        <f t="shared" si="35"/>
        <v>21194</v>
      </c>
      <c r="D2142" t="s">
        <v>31</v>
      </c>
      <c r="E2142" s="2" t="s">
        <v>39</v>
      </c>
      <c r="F2142" s="2" t="str">
        <f>_xlfn.XLOOKUP(Table1_1[[#This Row],[CAS_rn]],[1]analyte_order!$C:$C,[1]analyte_order!$B:$B)</f>
        <v>8:2 FTS</v>
      </c>
      <c r="G2142" t="s">
        <v>129</v>
      </c>
      <c r="H2142" s="2">
        <f>_xlfn.XLOOKUP(Table1_1[[#This Row],[CAS_rn]],[1]analyte_order!$C:$C,[1]analyte_order!$E:$E)</f>
        <v>24</v>
      </c>
      <c r="I2142">
        <v>0.39500000000000002</v>
      </c>
    </row>
    <row r="2143" spans="1:9" x14ac:dyDescent="0.3">
      <c r="A2143" s="2" t="s">
        <v>102</v>
      </c>
      <c r="B2143" s="3">
        <v>44389.5</v>
      </c>
      <c r="C2143" s="1" t="str">
        <f t="shared" si="35"/>
        <v>21194</v>
      </c>
      <c r="D2143" t="s">
        <v>31</v>
      </c>
      <c r="E2143" s="2" t="s">
        <v>39</v>
      </c>
      <c r="F2143" s="2" t="str">
        <f>_xlfn.XLOOKUP(Table1_1[[#This Row],[CAS_rn]],[1]analyte_order!$C:$C,[1]analyte_order!$B:$B)</f>
        <v>FOSA</v>
      </c>
      <c r="G2143" t="s">
        <v>130</v>
      </c>
      <c r="H2143" s="2">
        <f>_xlfn.XLOOKUP(Table1_1[[#This Row],[CAS_rn]],[1]analyte_order!$C:$C,[1]analyte_order!$E:$E)</f>
        <v>28</v>
      </c>
      <c r="I2143">
        <v>0.16</v>
      </c>
    </row>
    <row r="2144" spans="1:9" x14ac:dyDescent="0.3">
      <c r="A2144" s="2" t="s">
        <v>102</v>
      </c>
      <c r="B2144" s="3">
        <v>44389.5</v>
      </c>
      <c r="C2144" s="1" t="str">
        <f t="shared" si="35"/>
        <v>21194</v>
      </c>
      <c r="D2144" t="s">
        <v>31</v>
      </c>
      <c r="E2144" s="2" t="s">
        <v>39</v>
      </c>
      <c r="F2144" s="2" t="str">
        <f>_xlfn.XLOOKUP(Table1_1[[#This Row],[CAS_rn]],[1]analyte_order!$C:$C,[1]analyte_order!$B:$B)</f>
        <v>N-MeFOSA</v>
      </c>
      <c r="G2144" t="s">
        <v>131</v>
      </c>
      <c r="H2144" s="2">
        <f>_xlfn.XLOOKUP(Table1_1[[#This Row],[CAS_rn]],[1]analyte_order!$C:$C,[1]analyte_order!$E:$E)</f>
        <v>30</v>
      </c>
      <c r="I2144">
        <v>4.9500000000000002E-2</v>
      </c>
    </row>
    <row r="2145" spans="1:9" x14ac:dyDescent="0.3">
      <c r="A2145" s="2" t="s">
        <v>102</v>
      </c>
      <c r="B2145" s="3">
        <v>44389.5</v>
      </c>
      <c r="C2145" s="1" t="str">
        <f t="shared" si="35"/>
        <v>21194</v>
      </c>
      <c r="D2145" t="s">
        <v>31</v>
      </c>
      <c r="E2145" s="2" t="s">
        <v>39</v>
      </c>
      <c r="F2145" s="2" t="str">
        <f>_xlfn.XLOOKUP(Table1_1[[#This Row],[CAS_rn]],[1]analyte_order!$C:$C,[1]analyte_order!$B:$B)</f>
        <v>N-MeFOSAA</v>
      </c>
      <c r="G2145" t="s">
        <v>132</v>
      </c>
      <c r="H2145" s="2">
        <f>_xlfn.XLOOKUP(Table1_1[[#This Row],[CAS_rn]],[1]analyte_order!$C:$C,[1]analyte_order!$E:$E)</f>
        <v>26</v>
      </c>
      <c r="I2145">
        <v>4.9500000000000002E-2</v>
      </c>
    </row>
    <row r="2146" spans="1:9" x14ac:dyDescent="0.3">
      <c r="A2146" s="2" t="s">
        <v>102</v>
      </c>
      <c r="B2146" s="3">
        <v>44389.5</v>
      </c>
      <c r="C2146" s="1" t="str">
        <f t="shared" si="35"/>
        <v>21194</v>
      </c>
      <c r="D2146" t="s">
        <v>31</v>
      </c>
      <c r="E2146" s="2" t="s">
        <v>39</v>
      </c>
      <c r="F2146" s="2" t="str">
        <f>_xlfn.XLOOKUP(Table1_1[[#This Row],[CAS_rn]],[1]analyte_order!$C:$C,[1]analyte_order!$B:$B)</f>
        <v>N-EtFOSA</v>
      </c>
      <c r="G2146" t="s">
        <v>133</v>
      </c>
      <c r="H2146" s="2">
        <f>_xlfn.XLOOKUP(Table1_1[[#This Row],[CAS_rn]],[1]analyte_order!$C:$C,[1]analyte_order!$E:$E)</f>
        <v>31</v>
      </c>
      <c r="I2146">
        <v>4.9500000000000002E-2</v>
      </c>
    </row>
    <row r="2147" spans="1:9" x14ac:dyDescent="0.3">
      <c r="A2147" s="2" t="s">
        <v>102</v>
      </c>
      <c r="B2147" s="3">
        <v>44389.5</v>
      </c>
      <c r="C2147" s="1" t="str">
        <f t="shared" si="35"/>
        <v>21194</v>
      </c>
      <c r="D2147" t="s">
        <v>31</v>
      </c>
      <c r="E2147" s="2" t="s">
        <v>39</v>
      </c>
      <c r="F2147" s="2" t="str">
        <f>_xlfn.XLOOKUP(Table1_1[[#This Row],[CAS_rn]],[1]analyte_order!$C:$C,[1]analyte_order!$B:$B)</f>
        <v>N-EtFOSAA</v>
      </c>
      <c r="G2147" t="s">
        <v>134</v>
      </c>
      <c r="H2147" s="2">
        <f>_xlfn.XLOOKUP(Table1_1[[#This Row],[CAS_rn]],[1]analyte_order!$C:$C,[1]analyte_order!$E:$E)</f>
        <v>27</v>
      </c>
      <c r="I2147">
        <v>4.9500000000000002E-2</v>
      </c>
    </row>
    <row r="2148" spans="1:9" x14ac:dyDescent="0.3">
      <c r="A2148" s="2" t="s">
        <v>102</v>
      </c>
      <c r="B2148" s="3">
        <v>44389.5</v>
      </c>
      <c r="C2148" s="1" t="str">
        <f t="shared" si="35"/>
        <v>21194</v>
      </c>
      <c r="D2148" t="s">
        <v>31</v>
      </c>
      <c r="E2148" s="2" t="s">
        <v>39</v>
      </c>
      <c r="F2148" s="2" t="str">
        <f>_xlfn.XLOOKUP(Table1_1[[#This Row],[CAS_rn]],[1]analyte_order!$C:$C,[1]analyte_order!$B:$B)</f>
        <v>N-MeFOSE</v>
      </c>
      <c r="G2148" t="s">
        <v>135</v>
      </c>
      <c r="H2148" s="2">
        <f>_xlfn.XLOOKUP(Table1_1[[#This Row],[CAS_rn]],[1]analyte_order!$C:$C,[1]analyte_order!$E:$E)</f>
        <v>32</v>
      </c>
      <c r="I2148">
        <v>0.495</v>
      </c>
    </row>
    <row r="2149" spans="1:9" x14ac:dyDescent="0.3">
      <c r="A2149" s="2" t="s">
        <v>102</v>
      </c>
      <c r="B2149" s="3">
        <v>44389.5</v>
      </c>
      <c r="C2149" s="1" t="str">
        <f t="shared" si="35"/>
        <v>21194</v>
      </c>
      <c r="D2149" t="s">
        <v>31</v>
      </c>
      <c r="E2149" s="2" t="s">
        <v>39</v>
      </c>
      <c r="F2149" s="2" t="str">
        <f>_xlfn.XLOOKUP(Table1_1[[#This Row],[CAS_rn]],[1]analyte_order!$C:$C,[1]analyte_order!$B:$B)</f>
        <v>N-EtFOSE</v>
      </c>
      <c r="G2149" t="s">
        <v>136</v>
      </c>
      <c r="H2149" s="2">
        <f>_xlfn.XLOOKUP(Table1_1[[#This Row],[CAS_rn]],[1]analyte_order!$C:$C,[1]analyte_order!$E:$E)</f>
        <v>33</v>
      </c>
      <c r="I2149">
        <v>0.495</v>
      </c>
    </row>
    <row r="2150" spans="1:9" x14ac:dyDescent="0.3">
      <c r="A2150" s="2" t="s">
        <v>102</v>
      </c>
      <c r="B2150" s="3">
        <v>44389.5</v>
      </c>
      <c r="C2150" s="1" t="str">
        <f t="shared" si="35"/>
        <v>21194</v>
      </c>
      <c r="D2150" t="s">
        <v>31</v>
      </c>
      <c r="E2150" s="2" t="s">
        <v>39</v>
      </c>
      <c r="F2150" s="2" t="str">
        <f>_xlfn.XLOOKUP(Table1_1[[#This Row],[CAS_rn]],[1]analyte_order!$C:$C,[1]analyte_order!$B:$B)</f>
        <v>HFPO-DA</v>
      </c>
      <c r="G2150" t="s">
        <v>137</v>
      </c>
      <c r="H2150" s="2">
        <f>_xlfn.XLOOKUP(Table1_1[[#This Row],[CAS_rn]],[1]analyte_order!$C:$C,[1]analyte_order!$E:$E)</f>
        <v>34</v>
      </c>
      <c r="I2150">
        <v>0.3</v>
      </c>
    </row>
    <row r="2151" spans="1:9" x14ac:dyDescent="0.3">
      <c r="A2151" s="2" t="s">
        <v>102</v>
      </c>
      <c r="B2151" s="3">
        <v>44389.5</v>
      </c>
      <c r="C2151" s="1" t="str">
        <f t="shared" si="35"/>
        <v>21194</v>
      </c>
      <c r="D2151" t="s">
        <v>31</v>
      </c>
      <c r="E2151" s="2" t="s">
        <v>39</v>
      </c>
      <c r="F2151" s="2" t="str">
        <f>_xlfn.XLOOKUP(Table1_1[[#This Row],[CAS_rn]],[1]analyte_order!$C:$C,[1]analyte_order!$B:$B)</f>
        <v>ADONA</v>
      </c>
      <c r="G2151" t="s">
        <v>138</v>
      </c>
      <c r="H2151" s="2">
        <f>_xlfn.XLOOKUP(Table1_1[[#This Row],[CAS_rn]],[1]analyte_order!$C:$C,[1]analyte_order!$E:$E)</f>
        <v>35</v>
      </c>
      <c r="I2151">
        <v>0.2</v>
      </c>
    </row>
    <row r="2152" spans="1:9" x14ac:dyDescent="0.3">
      <c r="A2152" s="2" t="s">
        <v>102</v>
      </c>
      <c r="B2152" s="3">
        <v>44389.5</v>
      </c>
      <c r="C2152" s="1" t="str">
        <f t="shared" si="35"/>
        <v>21194</v>
      </c>
      <c r="D2152" t="s">
        <v>31</v>
      </c>
      <c r="E2152" s="2" t="s">
        <v>39</v>
      </c>
      <c r="F2152" s="2" t="str">
        <f>_xlfn.XLOOKUP(Table1_1[[#This Row],[CAS_rn]],[1]analyte_order!$C:$C,[1]analyte_order!$B:$B)</f>
        <v>PFMBA</v>
      </c>
      <c r="G2152" t="s">
        <v>139</v>
      </c>
      <c r="H2152" s="2">
        <f>_xlfn.XLOOKUP(Table1_1[[#This Row],[CAS_rn]],[1]analyte_order!$C:$C,[1]analyte_order!$E:$E)</f>
        <v>48</v>
      </c>
      <c r="I2152">
        <v>0.1</v>
      </c>
    </row>
    <row r="2153" spans="1:9" x14ac:dyDescent="0.3">
      <c r="A2153" s="2" t="s">
        <v>102</v>
      </c>
      <c r="B2153" s="3">
        <v>44389.5</v>
      </c>
      <c r="C2153" s="1" t="str">
        <f t="shared" si="35"/>
        <v>21194</v>
      </c>
      <c r="D2153" t="s">
        <v>31</v>
      </c>
      <c r="E2153" s="2" t="s">
        <v>39</v>
      </c>
      <c r="F2153" s="2" t="str">
        <f>_xlfn.XLOOKUP(Table1_1[[#This Row],[CAS_rn]],[1]analyte_order!$C:$C,[1]analyte_order!$B:$B)</f>
        <v>NFDHA</v>
      </c>
      <c r="G2153" t="s">
        <v>140</v>
      </c>
      <c r="H2153" s="2">
        <f>_xlfn.XLOOKUP(Table1_1[[#This Row],[CAS_rn]],[1]analyte_order!$C:$C,[1]analyte_order!$E:$E)</f>
        <v>50</v>
      </c>
      <c r="I2153">
        <v>0.1</v>
      </c>
    </row>
    <row r="2154" spans="1:9" x14ac:dyDescent="0.3">
      <c r="A2154" s="2" t="s">
        <v>102</v>
      </c>
      <c r="B2154" s="3">
        <v>44389.5</v>
      </c>
      <c r="C2154" s="1" t="str">
        <f t="shared" si="35"/>
        <v>21194</v>
      </c>
      <c r="D2154" t="s">
        <v>31</v>
      </c>
      <c r="E2154" s="2" t="s">
        <v>39</v>
      </c>
      <c r="F2154" s="2" t="str">
        <f>_xlfn.XLOOKUP(Table1_1[[#This Row],[CAS_rn]],[1]analyte_order!$C:$C,[1]analyte_order!$B:$B)</f>
        <v>9Cl-PF3ONS</v>
      </c>
      <c r="G2154" t="s">
        <v>141</v>
      </c>
      <c r="H2154" s="2">
        <f>_xlfn.XLOOKUP(Table1_1[[#This Row],[CAS_rn]],[1]analyte_order!$C:$C,[1]analyte_order!$E:$E)</f>
        <v>36</v>
      </c>
      <c r="I2154">
        <v>0.2</v>
      </c>
    </row>
    <row r="2155" spans="1:9" x14ac:dyDescent="0.3">
      <c r="A2155" s="2" t="s">
        <v>102</v>
      </c>
      <c r="B2155" s="3">
        <v>44389.5</v>
      </c>
      <c r="C2155" s="1" t="str">
        <f t="shared" si="35"/>
        <v>21194</v>
      </c>
      <c r="D2155" t="s">
        <v>31</v>
      </c>
      <c r="E2155" s="2" t="s">
        <v>39</v>
      </c>
      <c r="F2155" s="2" t="str">
        <f>_xlfn.XLOOKUP(Table1_1[[#This Row],[CAS_rn]],[1]analyte_order!$C:$C,[1]analyte_order!$B:$B)</f>
        <v>11Cl-PF3OUdS</v>
      </c>
      <c r="G2155" t="s">
        <v>142</v>
      </c>
      <c r="H2155" s="2">
        <f>_xlfn.XLOOKUP(Table1_1[[#This Row],[CAS_rn]],[1]analyte_order!$C:$C,[1]analyte_order!$E:$E)</f>
        <v>37</v>
      </c>
      <c r="I2155">
        <v>0.2</v>
      </c>
    </row>
    <row r="2156" spans="1:9" x14ac:dyDescent="0.3">
      <c r="A2156" s="2" t="s">
        <v>102</v>
      </c>
      <c r="B2156" s="3">
        <v>44389.5</v>
      </c>
      <c r="C2156" s="1" t="str">
        <f t="shared" si="35"/>
        <v>21194</v>
      </c>
      <c r="D2156" t="s">
        <v>31</v>
      </c>
      <c r="E2156" s="2" t="s">
        <v>39</v>
      </c>
      <c r="F2156" s="2" t="str">
        <f>_xlfn.XLOOKUP(Table1_1[[#This Row],[CAS_rn]],[1]analyte_order!$C:$C,[1]analyte_order!$B:$B)</f>
        <v>PFEESA</v>
      </c>
      <c r="G2156" t="s">
        <v>143</v>
      </c>
      <c r="H2156" s="2">
        <f>_xlfn.XLOOKUP(Table1_1[[#This Row],[CAS_rn]],[1]analyte_order!$C:$C,[1]analyte_order!$E:$E)</f>
        <v>47</v>
      </c>
      <c r="I2156">
        <v>0.1</v>
      </c>
    </row>
    <row r="2157" spans="1:9" x14ac:dyDescent="0.3">
      <c r="A2157" s="2" t="s">
        <v>102</v>
      </c>
      <c r="B2157" s="3">
        <v>44389.5</v>
      </c>
      <c r="C2157" s="1" t="str">
        <f t="shared" si="35"/>
        <v>21194</v>
      </c>
      <c r="D2157" t="s">
        <v>31</v>
      </c>
      <c r="E2157" s="2" t="s">
        <v>39</v>
      </c>
      <c r="F2157" s="2" t="str">
        <f>_xlfn.XLOOKUP(Table1_1[[#This Row],[CAS_rn]],[1]analyte_order!$C:$C,[1]analyte_order!$B:$B)</f>
        <v>3:3 FTCA</v>
      </c>
      <c r="G2157" t="s">
        <v>144</v>
      </c>
      <c r="H2157" s="2">
        <f>_xlfn.XLOOKUP(Table1_1[[#This Row],[CAS_rn]],[1]analyte_order!$C:$C,[1]analyte_order!$E:$E)</f>
        <v>38</v>
      </c>
      <c r="I2157">
        <v>0.25</v>
      </c>
    </row>
    <row r="2158" spans="1:9" x14ac:dyDescent="0.3">
      <c r="A2158" s="2" t="s">
        <v>102</v>
      </c>
      <c r="B2158" s="3">
        <v>44389.5</v>
      </c>
      <c r="C2158" s="1" t="str">
        <f t="shared" si="35"/>
        <v>21194</v>
      </c>
      <c r="D2158" t="s">
        <v>31</v>
      </c>
      <c r="E2158" s="2" t="s">
        <v>39</v>
      </c>
      <c r="F2158" s="2" t="str">
        <f>_xlfn.XLOOKUP(Table1_1[[#This Row],[CAS_rn]],[1]analyte_order!$C:$C,[1]analyte_order!$B:$B)</f>
        <v>5:3 FTCA</v>
      </c>
      <c r="G2158" t="s">
        <v>145</v>
      </c>
      <c r="H2158" s="2">
        <f>_xlfn.XLOOKUP(Table1_1[[#This Row],[CAS_rn]],[1]analyte_order!$C:$C,[1]analyte_order!$E:$E)</f>
        <v>39</v>
      </c>
      <c r="I2158">
        <v>1.25</v>
      </c>
    </row>
    <row r="2159" spans="1:9" x14ac:dyDescent="0.3">
      <c r="A2159" s="2" t="s">
        <v>102</v>
      </c>
      <c r="B2159" s="3">
        <v>44389.5</v>
      </c>
      <c r="C2159" s="1" t="str">
        <f t="shared" si="35"/>
        <v>21194</v>
      </c>
      <c r="D2159" t="s">
        <v>31</v>
      </c>
      <c r="E2159" s="2" t="s">
        <v>39</v>
      </c>
      <c r="F2159" s="2" t="str">
        <f>_xlfn.XLOOKUP(Table1_1[[#This Row],[CAS_rn]],[1]analyte_order!$C:$C,[1]analyte_order!$B:$B)</f>
        <v>7:3 FTCA</v>
      </c>
      <c r="G2159" t="s">
        <v>146</v>
      </c>
      <c r="H2159" s="2">
        <f>_xlfn.XLOOKUP(Table1_1[[#This Row],[CAS_rn]],[1]analyte_order!$C:$C,[1]analyte_order!$E:$E)</f>
        <v>40</v>
      </c>
      <c r="I2159">
        <v>1.25</v>
      </c>
    </row>
    <row r="2160" spans="1:9" x14ac:dyDescent="0.3">
      <c r="A2160" s="2" t="s">
        <v>102</v>
      </c>
      <c r="B2160" s="3">
        <v>44389.5</v>
      </c>
      <c r="C2160" s="1" t="str">
        <f t="shared" si="35"/>
        <v>21194</v>
      </c>
      <c r="D2160" t="s">
        <v>31</v>
      </c>
      <c r="E2160" s="2" t="s">
        <v>39</v>
      </c>
      <c r="F2160" s="2" t="str">
        <f>_xlfn.XLOOKUP(Table1_1[[#This Row],[CAS_rn]],[1]analyte_order!$C:$C,[1]analyte_order!$B:$B)</f>
        <v>PFDS</v>
      </c>
      <c r="G2160" t="s">
        <v>147</v>
      </c>
      <c r="H2160" s="2">
        <f>_xlfn.XLOOKUP(Table1_1[[#This Row],[CAS_rn]],[1]analyte_order!$C:$C,[1]analyte_order!$E:$E)</f>
        <v>20</v>
      </c>
      <c r="I2160">
        <v>4.9500000000000002E-2</v>
      </c>
    </row>
    <row r="2161" spans="1:9" x14ac:dyDescent="0.3">
      <c r="A2161" s="2" t="s">
        <v>102</v>
      </c>
      <c r="B2161" s="3">
        <v>44389.5</v>
      </c>
      <c r="C2161" s="1" t="str">
        <f t="shared" si="35"/>
        <v>21194</v>
      </c>
      <c r="D2161" t="s">
        <v>31</v>
      </c>
      <c r="E2161" s="2" t="s">
        <v>39</v>
      </c>
      <c r="F2161" s="2" t="str">
        <f>_xlfn.XLOOKUP(Table1_1[[#This Row],[CAS_rn]],[1]analyte_order!$C:$C,[1]analyte_order!$B:$B)</f>
        <v>PFMPA</v>
      </c>
      <c r="G2161" t="s">
        <v>148</v>
      </c>
      <c r="H2161" s="2">
        <f>_xlfn.XLOOKUP(Table1_1[[#This Row],[CAS_rn]],[1]analyte_order!$C:$C,[1]analyte_order!$E:$E)</f>
        <v>49</v>
      </c>
      <c r="I2161">
        <v>0.1</v>
      </c>
    </row>
    <row r="2162" spans="1:9" x14ac:dyDescent="0.3">
      <c r="A2162" s="2" t="s">
        <v>103</v>
      </c>
      <c r="B2162" s="3">
        <v>44389.5</v>
      </c>
      <c r="C2162" s="1" t="str">
        <f t="shared" si="35"/>
        <v>21194</v>
      </c>
      <c r="D2162" t="s">
        <v>33</v>
      </c>
      <c r="E2162" s="2" t="s">
        <v>39</v>
      </c>
      <c r="F2162" s="2" t="str">
        <f>_xlfn.XLOOKUP(Table1_1[[#This Row],[CAS_rn]],[1]analyte_order!$C:$C,[1]analyte_order!$B:$B)</f>
        <v>PFBA</v>
      </c>
      <c r="G2162" t="s">
        <v>109</v>
      </c>
      <c r="H2162" s="2">
        <f>_xlfn.XLOOKUP(Table1_1[[#This Row],[CAS_rn]],[1]analyte_order!$C:$C,[1]analyte_order!$E:$E)</f>
        <v>1</v>
      </c>
      <c r="I2162">
        <v>0.2</v>
      </c>
    </row>
    <row r="2163" spans="1:9" x14ac:dyDescent="0.3">
      <c r="A2163" s="2" t="s">
        <v>103</v>
      </c>
      <c r="B2163" s="3">
        <v>44389.5</v>
      </c>
      <c r="C2163" s="1" t="str">
        <f t="shared" si="35"/>
        <v>21194</v>
      </c>
      <c r="D2163" t="s">
        <v>33</v>
      </c>
      <c r="E2163" s="2" t="s">
        <v>39</v>
      </c>
      <c r="F2163" s="2" t="str">
        <f>_xlfn.XLOOKUP(Table1_1[[#This Row],[CAS_rn]],[1]analyte_order!$C:$C,[1]analyte_order!$B:$B)</f>
        <v>PFPeA</v>
      </c>
      <c r="G2163" t="s">
        <v>110</v>
      </c>
      <c r="H2163" s="2">
        <f>_xlfn.XLOOKUP(Table1_1[[#This Row],[CAS_rn]],[1]analyte_order!$C:$C,[1]analyte_order!$E:$E)</f>
        <v>2</v>
      </c>
      <c r="I2163">
        <v>0.1</v>
      </c>
    </row>
    <row r="2164" spans="1:9" x14ac:dyDescent="0.3">
      <c r="A2164" s="2" t="s">
        <v>103</v>
      </c>
      <c r="B2164" s="3">
        <v>44389.5</v>
      </c>
      <c r="C2164" s="1" t="str">
        <f t="shared" si="35"/>
        <v>21194</v>
      </c>
      <c r="D2164" t="s">
        <v>33</v>
      </c>
      <c r="E2164" s="2" t="s">
        <v>39</v>
      </c>
      <c r="F2164" s="2" t="str">
        <f>_xlfn.XLOOKUP(Table1_1[[#This Row],[CAS_rn]],[1]analyte_order!$C:$C,[1]analyte_order!$B:$B)</f>
        <v>PFHxA</v>
      </c>
      <c r="G2164" t="s">
        <v>111</v>
      </c>
      <c r="H2164" s="2">
        <f>_xlfn.XLOOKUP(Table1_1[[#This Row],[CAS_rn]],[1]analyte_order!$C:$C,[1]analyte_order!$E:$E)</f>
        <v>3</v>
      </c>
      <c r="I2164">
        <v>0.16</v>
      </c>
    </row>
    <row r="2165" spans="1:9" x14ac:dyDescent="0.3">
      <c r="A2165" s="2" t="s">
        <v>103</v>
      </c>
      <c r="B2165" s="3">
        <v>44389.5</v>
      </c>
      <c r="C2165" s="1" t="str">
        <f t="shared" si="35"/>
        <v>21194</v>
      </c>
      <c r="D2165" t="s">
        <v>33</v>
      </c>
      <c r="E2165" s="2" t="s">
        <v>39</v>
      </c>
      <c r="F2165" s="2" t="str">
        <f>_xlfn.XLOOKUP(Table1_1[[#This Row],[CAS_rn]],[1]analyte_order!$C:$C,[1]analyte_order!$B:$B)</f>
        <v>PFHpA</v>
      </c>
      <c r="G2165" t="s">
        <v>112</v>
      </c>
      <c r="H2165" s="2">
        <f>_xlfn.XLOOKUP(Table1_1[[#This Row],[CAS_rn]],[1]analyte_order!$C:$C,[1]analyte_order!$E:$E)</f>
        <v>4</v>
      </c>
      <c r="I2165">
        <v>0.09</v>
      </c>
    </row>
    <row r="2166" spans="1:9" x14ac:dyDescent="0.3">
      <c r="A2166" s="2" t="s">
        <v>103</v>
      </c>
      <c r="B2166" s="3">
        <v>44389.5</v>
      </c>
      <c r="C2166" s="1" t="str">
        <f t="shared" si="35"/>
        <v>21194</v>
      </c>
      <c r="D2166" t="s">
        <v>33</v>
      </c>
      <c r="E2166" s="2" t="s">
        <v>39</v>
      </c>
      <c r="F2166" s="2" t="str">
        <f>_xlfn.XLOOKUP(Table1_1[[#This Row],[CAS_rn]],[1]analyte_order!$C:$C,[1]analyte_order!$B:$B)</f>
        <v>PFOA</v>
      </c>
      <c r="G2166" t="s">
        <v>113</v>
      </c>
      <c r="H2166" s="2">
        <f>_xlfn.XLOOKUP(Table1_1[[#This Row],[CAS_rn]],[1]analyte_order!$C:$C,[1]analyte_order!$E:$E)</f>
        <v>5</v>
      </c>
      <c r="I2166">
        <v>0.28999999999999998</v>
      </c>
    </row>
    <row r="2167" spans="1:9" x14ac:dyDescent="0.3">
      <c r="A2167" s="2" t="s">
        <v>103</v>
      </c>
      <c r="B2167" s="3">
        <v>44389.5</v>
      </c>
      <c r="C2167" s="1" t="str">
        <f t="shared" si="35"/>
        <v>21194</v>
      </c>
      <c r="D2167" t="s">
        <v>33</v>
      </c>
      <c r="E2167" s="2" t="s">
        <v>39</v>
      </c>
      <c r="F2167" s="2" t="str">
        <f>_xlfn.XLOOKUP(Table1_1[[#This Row],[CAS_rn]],[1]analyte_order!$C:$C,[1]analyte_order!$B:$B)</f>
        <v>PFNA</v>
      </c>
      <c r="G2167" t="s">
        <v>114</v>
      </c>
      <c r="H2167" s="2">
        <f>_xlfn.XLOOKUP(Table1_1[[#This Row],[CAS_rn]],[1]analyte_order!$C:$C,[1]analyte_order!$E:$E)</f>
        <v>6</v>
      </c>
      <c r="I2167">
        <v>0.05</v>
      </c>
    </row>
    <row r="2168" spans="1:9" x14ac:dyDescent="0.3">
      <c r="A2168" s="2" t="s">
        <v>103</v>
      </c>
      <c r="B2168" s="3">
        <v>44389.5</v>
      </c>
      <c r="C2168" s="1" t="str">
        <f t="shared" si="35"/>
        <v>21194</v>
      </c>
      <c r="D2168" t="s">
        <v>33</v>
      </c>
      <c r="E2168" s="2" t="s">
        <v>39</v>
      </c>
      <c r="F2168" s="2" t="str">
        <f>_xlfn.XLOOKUP(Table1_1[[#This Row],[CAS_rn]],[1]analyte_order!$C:$C,[1]analyte_order!$B:$B)</f>
        <v>PFDA</v>
      </c>
      <c r="G2168" t="s">
        <v>115</v>
      </c>
      <c r="H2168" s="2">
        <f>_xlfn.XLOOKUP(Table1_1[[#This Row],[CAS_rn]],[1]analyte_order!$C:$C,[1]analyte_order!$E:$E)</f>
        <v>7</v>
      </c>
      <c r="I2168">
        <v>0.05</v>
      </c>
    </row>
    <row r="2169" spans="1:9" x14ac:dyDescent="0.3">
      <c r="A2169" s="2" t="s">
        <v>103</v>
      </c>
      <c r="B2169" s="3">
        <v>44389.5</v>
      </c>
      <c r="C2169" s="1" t="str">
        <f t="shared" si="35"/>
        <v>21194</v>
      </c>
      <c r="D2169" t="s">
        <v>33</v>
      </c>
      <c r="E2169" s="2" t="s">
        <v>39</v>
      </c>
      <c r="F2169" s="2" t="str">
        <f>_xlfn.XLOOKUP(Table1_1[[#This Row],[CAS_rn]],[1]analyte_order!$C:$C,[1]analyte_order!$B:$B)</f>
        <v>PFUnA</v>
      </c>
      <c r="G2169" t="s">
        <v>116</v>
      </c>
      <c r="H2169" s="2">
        <f>_xlfn.XLOOKUP(Table1_1[[#This Row],[CAS_rn]],[1]analyte_order!$C:$C,[1]analyte_order!$E:$E)</f>
        <v>8</v>
      </c>
      <c r="I2169">
        <v>0.05</v>
      </c>
    </row>
    <row r="2170" spans="1:9" x14ac:dyDescent="0.3">
      <c r="A2170" s="2" t="s">
        <v>103</v>
      </c>
      <c r="B2170" s="3">
        <v>44389.5</v>
      </c>
      <c r="C2170" s="1" t="str">
        <f t="shared" si="35"/>
        <v>21194</v>
      </c>
      <c r="D2170" t="s">
        <v>33</v>
      </c>
      <c r="E2170" s="2" t="s">
        <v>39</v>
      </c>
      <c r="F2170" s="2" t="str">
        <f>_xlfn.XLOOKUP(Table1_1[[#This Row],[CAS_rn]],[1]analyte_order!$C:$C,[1]analyte_order!$B:$B)</f>
        <v>PFDoA</v>
      </c>
      <c r="G2170" t="s">
        <v>117</v>
      </c>
      <c r="H2170" s="2">
        <f>_xlfn.XLOOKUP(Table1_1[[#This Row],[CAS_rn]],[1]analyte_order!$C:$C,[1]analyte_order!$E:$E)</f>
        <v>9</v>
      </c>
      <c r="I2170">
        <v>0.05</v>
      </c>
    </row>
    <row r="2171" spans="1:9" x14ac:dyDescent="0.3">
      <c r="A2171" s="2" t="s">
        <v>103</v>
      </c>
      <c r="B2171" s="3">
        <v>44389.5</v>
      </c>
      <c r="C2171" s="1" t="str">
        <f t="shared" si="35"/>
        <v>21194</v>
      </c>
      <c r="D2171" t="s">
        <v>33</v>
      </c>
      <c r="E2171" s="2" t="s">
        <v>39</v>
      </c>
      <c r="F2171" s="2" t="str">
        <f>_xlfn.XLOOKUP(Table1_1[[#This Row],[CAS_rn]],[1]analyte_order!$C:$C,[1]analyte_order!$B:$B)</f>
        <v>PFTrDA</v>
      </c>
      <c r="G2171" t="s">
        <v>118</v>
      </c>
      <c r="H2171" s="2">
        <f>_xlfn.XLOOKUP(Table1_1[[#This Row],[CAS_rn]],[1]analyte_order!$C:$C,[1]analyte_order!$E:$E)</f>
        <v>10</v>
      </c>
      <c r="I2171">
        <v>0.05</v>
      </c>
    </row>
    <row r="2172" spans="1:9" x14ac:dyDescent="0.3">
      <c r="A2172" s="2" t="s">
        <v>103</v>
      </c>
      <c r="B2172" s="3">
        <v>44389.5</v>
      </c>
      <c r="C2172" s="1" t="str">
        <f t="shared" si="35"/>
        <v>21194</v>
      </c>
      <c r="D2172" t="s">
        <v>33</v>
      </c>
      <c r="E2172" s="2" t="s">
        <v>39</v>
      </c>
      <c r="F2172" s="2" t="str">
        <f>_xlfn.XLOOKUP(Table1_1[[#This Row],[CAS_rn]],[1]analyte_order!$C:$C,[1]analyte_order!$B:$B)</f>
        <v>PFTeDA</v>
      </c>
      <c r="G2172" t="s">
        <v>119</v>
      </c>
      <c r="H2172" s="2">
        <f>_xlfn.XLOOKUP(Table1_1[[#This Row],[CAS_rn]],[1]analyte_order!$C:$C,[1]analyte_order!$E:$E)</f>
        <v>11</v>
      </c>
      <c r="I2172">
        <v>0.05</v>
      </c>
    </row>
    <row r="2173" spans="1:9" x14ac:dyDescent="0.3">
      <c r="A2173" s="2" t="s">
        <v>103</v>
      </c>
      <c r="B2173" s="3">
        <v>44389.5</v>
      </c>
      <c r="C2173" s="1" t="str">
        <f t="shared" si="35"/>
        <v>21194</v>
      </c>
      <c r="D2173" t="s">
        <v>33</v>
      </c>
      <c r="E2173" s="2" t="s">
        <v>39</v>
      </c>
      <c r="F2173" s="2" t="str">
        <f>_xlfn.XLOOKUP(Table1_1[[#This Row],[CAS_rn]],[1]analyte_order!$C:$C,[1]analyte_order!$B:$B)</f>
        <v>PFBS</v>
      </c>
      <c r="G2173" t="s">
        <v>120</v>
      </c>
      <c r="H2173" s="2">
        <f>_xlfn.XLOOKUP(Table1_1[[#This Row],[CAS_rn]],[1]analyte_order!$C:$C,[1]analyte_order!$E:$E)</f>
        <v>14</v>
      </c>
      <c r="I2173">
        <v>0.05</v>
      </c>
    </row>
    <row r="2174" spans="1:9" x14ac:dyDescent="0.3">
      <c r="A2174" s="2" t="s">
        <v>103</v>
      </c>
      <c r="B2174" s="3">
        <v>44389.5</v>
      </c>
      <c r="C2174" s="1" t="str">
        <f t="shared" si="35"/>
        <v>21194</v>
      </c>
      <c r="D2174" t="s">
        <v>33</v>
      </c>
      <c r="E2174" s="2" t="s">
        <v>39</v>
      </c>
      <c r="F2174" s="2" t="str">
        <f>_xlfn.XLOOKUP(Table1_1[[#This Row],[CAS_rn]],[1]analyte_order!$C:$C,[1]analyte_order!$B:$B)</f>
        <v>PFPeS</v>
      </c>
      <c r="G2174" t="s">
        <v>121</v>
      </c>
      <c r="H2174" s="2">
        <f>_xlfn.XLOOKUP(Table1_1[[#This Row],[CAS_rn]],[1]analyte_order!$C:$C,[1]analyte_order!$E:$E)</f>
        <v>15</v>
      </c>
      <c r="I2174">
        <v>0.05</v>
      </c>
    </row>
    <row r="2175" spans="1:9" x14ac:dyDescent="0.3">
      <c r="A2175" s="2" t="s">
        <v>103</v>
      </c>
      <c r="B2175" s="3">
        <v>44389.5</v>
      </c>
      <c r="C2175" s="1" t="str">
        <f t="shared" si="35"/>
        <v>21194</v>
      </c>
      <c r="D2175" t="s">
        <v>33</v>
      </c>
      <c r="E2175" s="2" t="s">
        <v>39</v>
      </c>
      <c r="F2175" s="2" t="str">
        <f>_xlfn.XLOOKUP(Table1_1[[#This Row],[CAS_rn]],[1]analyte_order!$C:$C,[1]analyte_order!$B:$B)</f>
        <v>PFHxS</v>
      </c>
      <c r="G2175" t="s">
        <v>122</v>
      </c>
      <c r="H2175" s="2">
        <f>_xlfn.XLOOKUP(Table1_1[[#This Row],[CAS_rn]],[1]analyte_order!$C:$C,[1]analyte_order!$E:$E)</f>
        <v>16</v>
      </c>
      <c r="I2175">
        <v>0.53</v>
      </c>
    </row>
    <row r="2176" spans="1:9" x14ac:dyDescent="0.3">
      <c r="A2176" s="2" t="s">
        <v>103</v>
      </c>
      <c r="B2176" s="3">
        <v>44389.5</v>
      </c>
      <c r="C2176" s="1" t="str">
        <f t="shared" si="35"/>
        <v>21194</v>
      </c>
      <c r="D2176" t="s">
        <v>33</v>
      </c>
      <c r="E2176" s="2" t="s">
        <v>39</v>
      </c>
      <c r="F2176" s="2" t="str">
        <f>_xlfn.XLOOKUP(Table1_1[[#This Row],[CAS_rn]],[1]analyte_order!$C:$C,[1]analyte_order!$B:$B)</f>
        <v>PFHpS</v>
      </c>
      <c r="G2176" t="s">
        <v>123</v>
      </c>
      <c r="H2176" s="2">
        <f>_xlfn.XLOOKUP(Table1_1[[#This Row],[CAS_rn]],[1]analyte_order!$C:$C,[1]analyte_order!$E:$E)</f>
        <v>17</v>
      </c>
      <c r="I2176">
        <v>0.05</v>
      </c>
    </row>
    <row r="2177" spans="1:9" x14ac:dyDescent="0.3">
      <c r="A2177" s="2" t="s">
        <v>103</v>
      </c>
      <c r="B2177" s="3">
        <v>44389.5</v>
      </c>
      <c r="C2177" s="1" t="str">
        <f t="shared" si="35"/>
        <v>21194</v>
      </c>
      <c r="D2177" t="s">
        <v>33</v>
      </c>
      <c r="E2177" s="2" t="s">
        <v>39</v>
      </c>
      <c r="F2177" s="2" t="str">
        <f>_xlfn.XLOOKUP(Table1_1[[#This Row],[CAS_rn]],[1]analyte_order!$C:$C,[1]analyte_order!$B:$B)</f>
        <v>PFOS</v>
      </c>
      <c r="G2177" t="s">
        <v>124</v>
      </c>
      <c r="H2177" s="2">
        <f>_xlfn.XLOOKUP(Table1_1[[#This Row],[CAS_rn]],[1]analyte_order!$C:$C,[1]analyte_order!$E:$E)</f>
        <v>18</v>
      </c>
      <c r="I2177">
        <v>2.2999999999999998</v>
      </c>
    </row>
    <row r="2178" spans="1:9" x14ac:dyDescent="0.3">
      <c r="A2178" s="2" t="s">
        <v>103</v>
      </c>
      <c r="B2178" s="3">
        <v>44389.5</v>
      </c>
      <c r="C2178" s="1" t="str">
        <f t="shared" si="35"/>
        <v>21194</v>
      </c>
      <c r="D2178" t="s">
        <v>33</v>
      </c>
      <c r="E2178" s="2" t="s">
        <v>39</v>
      </c>
      <c r="F2178" s="2" t="str">
        <f>_xlfn.XLOOKUP(Table1_1[[#This Row],[CAS_rn]],[1]analyte_order!$C:$C,[1]analyte_order!$B:$B)</f>
        <v>PFNS</v>
      </c>
      <c r="G2178" t="s">
        <v>125</v>
      </c>
      <c r="H2178" s="2">
        <f>_xlfn.XLOOKUP(Table1_1[[#This Row],[CAS_rn]],[1]analyte_order!$C:$C,[1]analyte_order!$E:$E)</f>
        <v>19</v>
      </c>
      <c r="I2178">
        <v>0.05</v>
      </c>
    </row>
    <row r="2179" spans="1:9" x14ac:dyDescent="0.3">
      <c r="A2179" s="2" t="s">
        <v>103</v>
      </c>
      <c r="B2179" s="3">
        <v>44389.5</v>
      </c>
      <c r="C2179" s="1" t="str">
        <f t="shared" si="35"/>
        <v>21194</v>
      </c>
      <c r="D2179" t="s">
        <v>33</v>
      </c>
      <c r="E2179" s="2" t="s">
        <v>39</v>
      </c>
      <c r="F2179" s="2" t="str">
        <f>_xlfn.XLOOKUP(Table1_1[[#This Row],[CAS_rn]],[1]analyte_order!$C:$C,[1]analyte_order!$B:$B)</f>
        <v>PFDoS</v>
      </c>
      <c r="G2179" t="s">
        <v>126</v>
      </c>
      <c r="H2179" s="2">
        <f>_xlfn.XLOOKUP(Table1_1[[#This Row],[CAS_rn]],[1]analyte_order!$C:$C,[1]analyte_order!$E:$E)</f>
        <v>21</v>
      </c>
      <c r="I2179">
        <v>0.05</v>
      </c>
    </row>
    <row r="2180" spans="1:9" x14ac:dyDescent="0.3">
      <c r="A2180" s="2" t="s">
        <v>103</v>
      </c>
      <c r="B2180" s="3">
        <v>44389.5</v>
      </c>
      <c r="C2180" s="1" t="str">
        <f t="shared" si="35"/>
        <v>21194</v>
      </c>
      <c r="D2180" t="s">
        <v>33</v>
      </c>
      <c r="E2180" s="2" t="s">
        <v>39</v>
      </c>
      <c r="F2180" s="2" t="str">
        <f>_xlfn.XLOOKUP(Table1_1[[#This Row],[CAS_rn]],[1]analyte_order!$C:$C,[1]analyte_order!$B:$B)</f>
        <v>4:2 FTS</v>
      </c>
      <c r="G2180" t="s">
        <v>127</v>
      </c>
      <c r="H2180" s="2">
        <f>_xlfn.XLOOKUP(Table1_1[[#This Row],[CAS_rn]],[1]analyte_order!$C:$C,[1]analyte_order!$E:$E)</f>
        <v>22</v>
      </c>
      <c r="I2180">
        <v>0.2</v>
      </c>
    </row>
    <row r="2181" spans="1:9" x14ac:dyDescent="0.3">
      <c r="A2181" s="2" t="s">
        <v>103</v>
      </c>
      <c r="B2181" s="3">
        <v>44389.5</v>
      </c>
      <c r="C2181" s="1" t="str">
        <f t="shared" si="35"/>
        <v>21194</v>
      </c>
      <c r="D2181" t="s">
        <v>33</v>
      </c>
      <c r="E2181" s="2" t="s">
        <v>39</v>
      </c>
      <c r="F2181" s="2" t="str">
        <f>_xlfn.XLOOKUP(Table1_1[[#This Row],[CAS_rn]],[1]analyte_order!$C:$C,[1]analyte_order!$B:$B)</f>
        <v>6:2 FTS</v>
      </c>
      <c r="G2181" t="s">
        <v>128</v>
      </c>
      <c r="H2181" s="2">
        <f>_xlfn.XLOOKUP(Table1_1[[#This Row],[CAS_rn]],[1]analyte_order!$C:$C,[1]analyte_order!$E:$E)</f>
        <v>23</v>
      </c>
      <c r="I2181">
        <v>0.4</v>
      </c>
    </row>
    <row r="2182" spans="1:9" x14ac:dyDescent="0.3">
      <c r="A2182" s="2" t="s">
        <v>103</v>
      </c>
      <c r="B2182" s="3">
        <v>44389.5</v>
      </c>
      <c r="C2182" s="1" t="str">
        <f t="shared" si="35"/>
        <v>21194</v>
      </c>
      <c r="D2182" t="s">
        <v>33</v>
      </c>
      <c r="E2182" s="2" t="s">
        <v>39</v>
      </c>
      <c r="F2182" s="2" t="str">
        <f>_xlfn.XLOOKUP(Table1_1[[#This Row],[CAS_rn]],[1]analyte_order!$C:$C,[1]analyte_order!$B:$B)</f>
        <v>8:2 FTS</v>
      </c>
      <c r="G2182" t="s">
        <v>129</v>
      </c>
      <c r="H2182" s="2">
        <f>_xlfn.XLOOKUP(Table1_1[[#This Row],[CAS_rn]],[1]analyte_order!$C:$C,[1]analyte_order!$E:$E)</f>
        <v>24</v>
      </c>
      <c r="I2182">
        <v>0.4</v>
      </c>
    </row>
    <row r="2183" spans="1:9" x14ac:dyDescent="0.3">
      <c r="A2183" s="2" t="s">
        <v>103</v>
      </c>
      <c r="B2183" s="3">
        <v>44389.5</v>
      </c>
      <c r="C2183" s="1" t="str">
        <f t="shared" si="35"/>
        <v>21194</v>
      </c>
      <c r="D2183" t="s">
        <v>33</v>
      </c>
      <c r="E2183" s="2" t="s">
        <v>39</v>
      </c>
      <c r="F2183" s="2" t="str">
        <f>_xlfn.XLOOKUP(Table1_1[[#This Row],[CAS_rn]],[1]analyte_order!$C:$C,[1]analyte_order!$B:$B)</f>
        <v>FOSA</v>
      </c>
      <c r="G2183" t="s">
        <v>130</v>
      </c>
      <c r="H2183" s="2">
        <f>_xlfn.XLOOKUP(Table1_1[[#This Row],[CAS_rn]],[1]analyte_order!$C:$C,[1]analyte_order!$E:$E)</f>
        <v>28</v>
      </c>
      <c r="I2183">
        <v>0.09</v>
      </c>
    </row>
    <row r="2184" spans="1:9" x14ac:dyDescent="0.3">
      <c r="A2184" s="2" t="s">
        <v>103</v>
      </c>
      <c r="B2184" s="3">
        <v>44389.5</v>
      </c>
      <c r="C2184" s="1" t="str">
        <f t="shared" si="35"/>
        <v>21194</v>
      </c>
      <c r="D2184" t="s">
        <v>33</v>
      </c>
      <c r="E2184" s="2" t="s">
        <v>39</v>
      </c>
      <c r="F2184" s="2" t="str">
        <f>_xlfn.XLOOKUP(Table1_1[[#This Row],[CAS_rn]],[1]analyte_order!$C:$C,[1]analyte_order!$B:$B)</f>
        <v>N-MeFOSA</v>
      </c>
      <c r="G2184" t="s">
        <v>131</v>
      </c>
      <c r="H2184" s="2">
        <f>_xlfn.XLOOKUP(Table1_1[[#This Row],[CAS_rn]],[1]analyte_order!$C:$C,[1]analyte_order!$E:$E)</f>
        <v>30</v>
      </c>
      <c r="I2184">
        <v>0.05</v>
      </c>
    </row>
    <row r="2185" spans="1:9" x14ac:dyDescent="0.3">
      <c r="A2185" s="2" t="s">
        <v>103</v>
      </c>
      <c r="B2185" s="3">
        <v>44389.5</v>
      </c>
      <c r="C2185" s="1" t="str">
        <f t="shared" si="35"/>
        <v>21194</v>
      </c>
      <c r="D2185" t="s">
        <v>33</v>
      </c>
      <c r="E2185" s="2" t="s">
        <v>39</v>
      </c>
      <c r="F2185" s="2" t="str">
        <f>_xlfn.XLOOKUP(Table1_1[[#This Row],[CAS_rn]],[1]analyte_order!$C:$C,[1]analyte_order!$B:$B)</f>
        <v>N-MeFOSAA</v>
      </c>
      <c r="G2185" t="s">
        <v>132</v>
      </c>
      <c r="H2185" s="2">
        <f>_xlfn.XLOOKUP(Table1_1[[#This Row],[CAS_rn]],[1]analyte_order!$C:$C,[1]analyte_order!$E:$E)</f>
        <v>26</v>
      </c>
      <c r="I2185">
        <v>0.05</v>
      </c>
    </row>
    <row r="2186" spans="1:9" x14ac:dyDescent="0.3">
      <c r="A2186" s="2" t="s">
        <v>103</v>
      </c>
      <c r="B2186" s="3">
        <v>44389.5</v>
      </c>
      <c r="C2186" s="1" t="str">
        <f t="shared" si="35"/>
        <v>21194</v>
      </c>
      <c r="D2186" t="s">
        <v>33</v>
      </c>
      <c r="E2186" s="2" t="s">
        <v>39</v>
      </c>
      <c r="F2186" s="2" t="str">
        <f>_xlfn.XLOOKUP(Table1_1[[#This Row],[CAS_rn]],[1]analyte_order!$C:$C,[1]analyte_order!$B:$B)</f>
        <v>N-EtFOSA</v>
      </c>
      <c r="G2186" t="s">
        <v>133</v>
      </c>
      <c r="H2186" s="2">
        <f>_xlfn.XLOOKUP(Table1_1[[#This Row],[CAS_rn]],[1]analyte_order!$C:$C,[1]analyte_order!$E:$E)</f>
        <v>31</v>
      </c>
      <c r="I2186">
        <v>0.05</v>
      </c>
    </row>
    <row r="2187" spans="1:9" x14ac:dyDescent="0.3">
      <c r="A2187" s="2" t="s">
        <v>103</v>
      </c>
      <c r="B2187" s="3">
        <v>44389.5</v>
      </c>
      <c r="C2187" s="1" t="str">
        <f t="shared" ref="C2187:C2250" si="36">TEXT(B2187,"yy")&amp;TEXT((B2187-DATEVALUE("1/1/"&amp;TEXT(B2187,"yy"))+1),"000")</f>
        <v>21194</v>
      </c>
      <c r="D2187" t="s">
        <v>33</v>
      </c>
      <c r="E2187" s="2" t="s">
        <v>39</v>
      </c>
      <c r="F2187" s="2" t="str">
        <f>_xlfn.XLOOKUP(Table1_1[[#This Row],[CAS_rn]],[1]analyte_order!$C:$C,[1]analyte_order!$B:$B)</f>
        <v>N-EtFOSAA</v>
      </c>
      <c r="G2187" t="s">
        <v>134</v>
      </c>
      <c r="H2187" s="2">
        <f>_xlfn.XLOOKUP(Table1_1[[#This Row],[CAS_rn]],[1]analyte_order!$C:$C,[1]analyte_order!$E:$E)</f>
        <v>27</v>
      </c>
      <c r="I2187">
        <v>0.05</v>
      </c>
    </row>
    <row r="2188" spans="1:9" x14ac:dyDescent="0.3">
      <c r="A2188" s="2" t="s">
        <v>103</v>
      </c>
      <c r="B2188" s="3">
        <v>44389.5</v>
      </c>
      <c r="C2188" s="1" t="str">
        <f t="shared" si="36"/>
        <v>21194</v>
      </c>
      <c r="D2188" t="s">
        <v>33</v>
      </c>
      <c r="E2188" s="2" t="s">
        <v>39</v>
      </c>
      <c r="F2188" s="2" t="str">
        <f>_xlfn.XLOOKUP(Table1_1[[#This Row],[CAS_rn]],[1]analyte_order!$C:$C,[1]analyte_order!$B:$B)</f>
        <v>N-MeFOSE</v>
      </c>
      <c r="G2188" t="s">
        <v>135</v>
      </c>
      <c r="H2188" s="2">
        <f>_xlfn.XLOOKUP(Table1_1[[#This Row],[CAS_rn]],[1]analyte_order!$C:$C,[1]analyte_order!$E:$E)</f>
        <v>32</v>
      </c>
      <c r="I2188">
        <v>0.5</v>
      </c>
    </row>
    <row r="2189" spans="1:9" x14ac:dyDescent="0.3">
      <c r="A2189" s="2" t="s">
        <v>103</v>
      </c>
      <c r="B2189" s="3">
        <v>44389.5</v>
      </c>
      <c r="C2189" s="1" t="str">
        <f t="shared" si="36"/>
        <v>21194</v>
      </c>
      <c r="D2189" t="s">
        <v>33</v>
      </c>
      <c r="E2189" s="2" t="s">
        <v>39</v>
      </c>
      <c r="F2189" s="2" t="str">
        <f>_xlfn.XLOOKUP(Table1_1[[#This Row],[CAS_rn]],[1]analyte_order!$C:$C,[1]analyte_order!$B:$B)</f>
        <v>N-EtFOSE</v>
      </c>
      <c r="G2189" t="s">
        <v>136</v>
      </c>
      <c r="H2189" s="2">
        <f>_xlfn.XLOOKUP(Table1_1[[#This Row],[CAS_rn]],[1]analyte_order!$C:$C,[1]analyte_order!$E:$E)</f>
        <v>33</v>
      </c>
      <c r="I2189">
        <v>0.5</v>
      </c>
    </row>
    <row r="2190" spans="1:9" x14ac:dyDescent="0.3">
      <c r="A2190" s="2" t="s">
        <v>103</v>
      </c>
      <c r="B2190" s="3">
        <v>44389.5</v>
      </c>
      <c r="C2190" s="1" t="str">
        <f t="shared" si="36"/>
        <v>21194</v>
      </c>
      <c r="D2190" t="s">
        <v>33</v>
      </c>
      <c r="E2190" s="2" t="s">
        <v>39</v>
      </c>
      <c r="F2190" s="2" t="str">
        <f>_xlfn.XLOOKUP(Table1_1[[#This Row],[CAS_rn]],[1]analyte_order!$C:$C,[1]analyte_order!$B:$B)</f>
        <v>HFPO-DA</v>
      </c>
      <c r="G2190" t="s">
        <v>137</v>
      </c>
      <c r="H2190" s="2">
        <f>_xlfn.XLOOKUP(Table1_1[[#This Row],[CAS_rn]],[1]analyte_order!$C:$C,[1]analyte_order!$E:$E)</f>
        <v>34</v>
      </c>
      <c r="I2190">
        <v>0.3</v>
      </c>
    </row>
    <row r="2191" spans="1:9" x14ac:dyDescent="0.3">
      <c r="A2191" s="2" t="s">
        <v>103</v>
      </c>
      <c r="B2191" s="3">
        <v>44389.5</v>
      </c>
      <c r="C2191" s="1" t="str">
        <f t="shared" si="36"/>
        <v>21194</v>
      </c>
      <c r="D2191" t="s">
        <v>33</v>
      </c>
      <c r="E2191" s="2" t="s">
        <v>39</v>
      </c>
      <c r="F2191" s="2" t="str">
        <f>_xlfn.XLOOKUP(Table1_1[[#This Row],[CAS_rn]],[1]analyte_order!$C:$C,[1]analyte_order!$B:$B)</f>
        <v>ADONA</v>
      </c>
      <c r="G2191" t="s">
        <v>138</v>
      </c>
      <c r="H2191" s="2">
        <f>_xlfn.XLOOKUP(Table1_1[[#This Row],[CAS_rn]],[1]analyte_order!$C:$C,[1]analyte_order!$E:$E)</f>
        <v>35</v>
      </c>
      <c r="I2191">
        <v>0.2</v>
      </c>
    </row>
    <row r="2192" spans="1:9" x14ac:dyDescent="0.3">
      <c r="A2192" s="2" t="s">
        <v>103</v>
      </c>
      <c r="B2192" s="3">
        <v>44389.5</v>
      </c>
      <c r="C2192" s="1" t="str">
        <f t="shared" si="36"/>
        <v>21194</v>
      </c>
      <c r="D2192" t="s">
        <v>33</v>
      </c>
      <c r="E2192" s="2" t="s">
        <v>39</v>
      </c>
      <c r="F2192" s="2" t="str">
        <f>_xlfn.XLOOKUP(Table1_1[[#This Row],[CAS_rn]],[1]analyte_order!$C:$C,[1]analyte_order!$B:$B)</f>
        <v>PFMBA</v>
      </c>
      <c r="G2192" t="s">
        <v>139</v>
      </c>
      <c r="H2192" s="2">
        <f>_xlfn.XLOOKUP(Table1_1[[#This Row],[CAS_rn]],[1]analyte_order!$C:$C,[1]analyte_order!$E:$E)</f>
        <v>48</v>
      </c>
      <c r="I2192">
        <v>0.1</v>
      </c>
    </row>
    <row r="2193" spans="1:9" x14ac:dyDescent="0.3">
      <c r="A2193" s="2" t="s">
        <v>103</v>
      </c>
      <c r="B2193" s="3">
        <v>44389.5</v>
      </c>
      <c r="C2193" s="1" t="str">
        <f t="shared" si="36"/>
        <v>21194</v>
      </c>
      <c r="D2193" t="s">
        <v>33</v>
      </c>
      <c r="E2193" s="2" t="s">
        <v>39</v>
      </c>
      <c r="F2193" s="2" t="str">
        <f>_xlfn.XLOOKUP(Table1_1[[#This Row],[CAS_rn]],[1]analyte_order!$C:$C,[1]analyte_order!$B:$B)</f>
        <v>NFDHA</v>
      </c>
      <c r="G2193" t="s">
        <v>140</v>
      </c>
      <c r="H2193" s="2">
        <f>_xlfn.XLOOKUP(Table1_1[[#This Row],[CAS_rn]],[1]analyte_order!$C:$C,[1]analyte_order!$E:$E)</f>
        <v>50</v>
      </c>
      <c r="I2193">
        <v>0.1</v>
      </c>
    </row>
    <row r="2194" spans="1:9" x14ac:dyDescent="0.3">
      <c r="A2194" s="2" t="s">
        <v>103</v>
      </c>
      <c r="B2194" s="3">
        <v>44389.5</v>
      </c>
      <c r="C2194" s="1" t="str">
        <f t="shared" si="36"/>
        <v>21194</v>
      </c>
      <c r="D2194" t="s">
        <v>33</v>
      </c>
      <c r="E2194" s="2" t="s">
        <v>39</v>
      </c>
      <c r="F2194" s="2" t="str">
        <f>_xlfn.XLOOKUP(Table1_1[[#This Row],[CAS_rn]],[1]analyte_order!$C:$C,[1]analyte_order!$B:$B)</f>
        <v>9Cl-PF3ONS</v>
      </c>
      <c r="G2194" t="s">
        <v>141</v>
      </c>
      <c r="H2194" s="2">
        <f>_xlfn.XLOOKUP(Table1_1[[#This Row],[CAS_rn]],[1]analyte_order!$C:$C,[1]analyte_order!$E:$E)</f>
        <v>36</v>
      </c>
      <c r="I2194">
        <v>0.2</v>
      </c>
    </row>
    <row r="2195" spans="1:9" x14ac:dyDescent="0.3">
      <c r="A2195" s="2" t="s">
        <v>103</v>
      </c>
      <c r="B2195" s="3">
        <v>44389.5</v>
      </c>
      <c r="C2195" s="1" t="str">
        <f t="shared" si="36"/>
        <v>21194</v>
      </c>
      <c r="D2195" t="s">
        <v>33</v>
      </c>
      <c r="E2195" s="2" t="s">
        <v>39</v>
      </c>
      <c r="F2195" s="2" t="str">
        <f>_xlfn.XLOOKUP(Table1_1[[#This Row],[CAS_rn]],[1]analyte_order!$C:$C,[1]analyte_order!$B:$B)</f>
        <v>11Cl-PF3OUdS</v>
      </c>
      <c r="G2195" t="s">
        <v>142</v>
      </c>
      <c r="H2195" s="2">
        <f>_xlfn.XLOOKUP(Table1_1[[#This Row],[CAS_rn]],[1]analyte_order!$C:$C,[1]analyte_order!$E:$E)</f>
        <v>37</v>
      </c>
      <c r="I2195">
        <v>0.2</v>
      </c>
    </row>
    <row r="2196" spans="1:9" x14ac:dyDescent="0.3">
      <c r="A2196" s="2" t="s">
        <v>103</v>
      </c>
      <c r="B2196" s="3">
        <v>44389.5</v>
      </c>
      <c r="C2196" s="1" t="str">
        <f t="shared" si="36"/>
        <v>21194</v>
      </c>
      <c r="D2196" t="s">
        <v>33</v>
      </c>
      <c r="E2196" s="2" t="s">
        <v>39</v>
      </c>
      <c r="F2196" s="2" t="str">
        <f>_xlfn.XLOOKUP(Table1_1[[#This Row],[CAS_rn]],[1]analyte_order!$C:$C,[1]analyte_order!$B:$B)</f>
        <v>PFEESA</v>
      </c>
      <c r="G2196" t="s">
        <v>143</v>
      </c>
      <c r="H2196" s="2">
        <f>_xlfn.XLOOKUP(Table1_1[[#This Row],[CAS_rn]],[1]analyte_order!$C:$C,[1]analyte_order!$E:$E)</f>
        <v>47</v>
      </c>
      <c r="I2196">
        <v>0.1</v>
      </c>
    </row>
    <row r="2197" spans="1:9" x14ac:dyDescent="0.3">
      <c r="A2197" s="2" t="s">
        <v>103</v>
      </c>
      <c r="B2197" s="3">
        <v>44389.5</v>
      </c>
      <c r="C2197" s="1" t="str">
        <f t="shared" si="36"/>
        <v>21194</v>
      </c>
      <c r="D2197" t="s">
        <v>33</v>
      </c>
      <c r="E2197" s="2" t="s">
        <v>39</v>
      </c>
      <c r="F2197" s="2" t="str">
        <f>_xlfn.XLOOKUP(Table1_1[[#This Row],[CAS_rn]],[1]analyte_order!$C:$C,[1]analyte_order!$B:$B)</f>
        <v>3:3 FTCA</v>
      </c>
      <c r="G2197" t="s">
        <v>144</v>
      </c>
      <c r="H2197" s="2">
        <f>_xlfn.XLOOKUP(Table1_1[[#This Row],[CAS_rn]],[1]analyte_order!$C:$C,[1]analyte_order!$E:$E)</f>
        <v>38</v>
      </c>
      <c r="I2197">
        <v>0.25</v>
      </c>
    </row>
    <row r="2198" spans="1:9" x14ac:dyDescent="0.3">
      <c r="A2198" s="2" t="s">
        <v>103</v>
      </c>
      <c r="B2198" s="3">
        <v>44389.5</v>
      </c>
      <c r="C2198" s="1" t="str">
        <f t="shared" si="36"/>
        <v>21194</v>
      </c>
      <c r="D2198" t="s">
        <v>33</v>
      </c>
      <c r="E2198" s="2" t="s">
        <v>39</v>
      </c>
      <c r="F2198" s="2" t="str">
        <f>_xlfn.XLOOKUP(Table1_1[[#This Row],[CAS_rn]],[1]analyte_order!$C:$C,[1]analyte_order!$B:$B)</f>
        <v>5:3 FTCA</v>
      </c>
      <c r="G2198" t="s">
        <v>145</v>
      </c>
      <c r="H2198" s="2">
        <f>_xlfn.XLOOKUP(Table1_1[[#This Row],[CAS_rn]],[1]analyte_order!$C:$C,[1]analyte_order!$E:$E)</f>
        <v>39</v>
      </c>
      <c r="I2198">
        <v>1.25</v>
      </c>
    </row>
    <row r="2199" spans="1:9" x14ac:dyDescent="0.3">
      <c r="A2199" s="2" t="s">
        <v>103</v>
      </c>
      <c r="B2199" s="3">
        <v>44389.5</v>
      </c>
      <c r="C2199" s="1" t="str">
        <f t="shared" si="36"/>
        <v>21194</v>
      </c>
      <c r="D2199" t="s">
        <v>33</v>
      </c>
      <c r="E2199" s="2" t="s">
        <v>39</v>
      </c>
      <c r="F2199" s="2" t="str">
        <f>_xlfn.XLOOKUP(Table1_1[[#This Row],[CAS_rn]],[1]analyte_order!$C:$C,[1]analyte_order!$B:$B)</f>
        <v>7:3 FTCA</v>
      </c>
      <c r="G2199" t="s">
        <v>146</v>
      </c>
      <c r="H2199" s="2">
        <f>_xlfn.XLOOKUP(Table1_1[[#This Row],[CAS_rn]],[1]analyte_order!$C:$C,[1]analyte_order!$E:$E)</f>
        <v>40</v>
      </c>
      <c r="I2199">
        <v>1.25</v>
      </c>
    </row>
    <row r="2200" spans="1:9" x14ac:dyDescent="0.3">
      <c r="A2200" s="2" t="s">
        <v>103</v>
      </c>
      <c r="B2200" s="3">
        <v>44389.5</v>
      </c>
      <c r="C2200" s="1" t="str">
        <f t="shared" si="36"/>
        <v>21194</v>
      </c>
      <c r="D2200" t="s">
        <v>33</v>
      </c>
      <c r="E2200" s="2" t="s">
        <v>39</v>
      </c>
      <c r="F2200" s="2" t="str">
        <f>_xlfn.XLOOKUP(Table1_1[[#This Row],[CAS_rn]],[1]analyte_order!$C:$C,[1]analyte_order!$B:$B)</f>
        <v>PFDS</v>
      </c>
      <c r="G2200" t="s">
        <v>147</v>
      </c>
      <c r="H2200" s="2">
        <f>_xlfn.XLOOKUP(Table1_1[[#This Row],[CAS_rn]],[1]analyte_order!$C:$C,[1]analyte_order!$E:$E)</f>
        <v>20</v>
      </c>
      <c r="I2200">
        <v>0.05</v>
      </c>
    </row>
    <row r="2201" spans="1:9" x14ac:dyDescent="0.3">
      <c r="A2201" s="2" t="s">
        <v>103</v>
      </c>
      <c r="B2201" s="3">
        <v>44389.5</v>
      </c>
      <c r="C2201" s="1" t="str">
        <f t="shared" si="36"/>
        <v>21194</v>
      </c>
      <c r="D2201" t="s">
        <v>33</v>
      </c>
      <c r="E2201" s="2" t="s">
        <v>39</v>
      </c>
      <c r="F2201" s="2" t="str">
        <f>_xlfn.XLOOKUP(Table1_1[[#This Row],[CAS_rn]],[1]analyte_order!$C:$C,[1]analyte_order!$B:$B)</f>
        <v>PFMPA</v>
      </c>
      <c r="G2201" t="s">
        <v>148</v>
      </c>
      <c r="H2201" s="2">
        <f>_xlfn.XLOOKUP(Table1_1[[#This Row],[CAS_rn]],[1]analyte_order!$C:$C,[1]analyte_order!$E:$E)</f>
        <v>49</v>
      </c>
      <c r="I2201">
        <v>0.1</v>
      </c>
    </row>
    <row r="2202" spans="1:9" x14ac:dyDescent="0.3">
      <c r="A2202" s="2" t="s">
        <v>104</v>
      </c>
      <c r="B2202" s="3">
        <v>44389.5</v>
      </c>
      <c r="C2202" s="1" t="str">
        <f t="shared" si="36"/>
        <v>21194</v>
      </c>
      <c r="D2202" t="s">
        <v>29</v>
      </c>
      <c r="E2202" s="2" t="s">
        <v>39</v>
      </c>
      <c r="F2202" s="2" t="str">
        <f>_xlfn.XLOOKUP(Table1_1[[#This Row],[CAS_rn]],[1]analyte_order!$C:$C,[1]analyte_order!$B:$B)</f>
        <v>PFBA</v>
      </c>
      <c r="G2202" t="s">
        <v>109</v>
      </c>
      <c r="H2202" s="2">
        <f>_xlfn.XLOOKUP(Table1_1[[#This Row],[CAS_rn]],[1]analyte_order!$C:$C,[1]analyte_order!$E:$E)</f>
        <v>1</v>
      </c>
      <c r="I2202">
        <v>0.2</v>
      </c>
    </row>
    <row r="2203" spans="1:9" x14ac:dyDescent="0.3">
      <c r="A2203" s="2" t="s">
        <v>104</v>
      </c>
      <c r="B2203" s="3">
        <v>44389.5</v>
      </c>
      <c r="C2203" s="1" t="str">
        <f t="shared" si="36"/>
        <v>21194</v>
      </c>
      <c r="D2203" t="s">
        <v>29</v>
      </c>
      <c r="E2203" s="2" t="s">
        <v>39</v>
      </c>
      <c r="F2203" s="2" t="str">
        <f>_xlfn.XLOOKUP(Table1_1[[#This Row],[CAS_rn]],[1]analyte_order!$C:$C,[1]analyte_order!$B:$B)</f>
        <v>PFPeA</v>
      </c>
      <c r="G2203" t="s">
        <v>110</v>
      </c>
      <c r="H2203" s="2">
        <f>_xlfn.XLOOKUP(Table1_1[[#This Row],[CAS_rn]],[1]analyte_order!$C:$C,[1]analyte_order!$E:$E)</f>
        <v>2</v>
      </c>
      <c r="I2203">
        <v>0.1</v>
      </c>
    </row>
    <row r="2204" spans="1:9" x14ac:dyDescent="0.3">
      <c r="A2204" s="2" t="s">
        <v>104</v>
      </c>
      <c r="B2204" s="3">
        <v>44389.5</v>
      </c>
      <c r="C2204" s="1" t="str">
        <f t="shared" si="36"/>
        <v>21194</v>
      </c>
      <c r="D2204" t="s">
        <v>29</v>
      </c>
      <c r="E2204" s="2" t="s">
        <v>39</v>
      </c>
      <c r="F2204" s="2" t="str">
        <f>_xlfn.XLOOKUP(Table1_1[[#This Row],[CAS_rn]],[1]analyte_order!$C:$C,[1]analyte_order!$B:$B)</f>
        <v>PFHxA</v>
      </c>
      <c r="G2204" t="s">
        <v>111</v>
      </c>
      <c r="H2204" s="2">
        <f>_xlfn.XLOOKUP(Table1_1[[#This Row],[CAS_rn]],[1]analyte_order!$C:$C,[1]analyte_order!$E:$E)</f>
        <v>3</v>
      </c>
      <c r="I2204">
        <v>0.14000000000000001</v>
      </c>
    </row>
    <row r="2205" spans="1:9" x14ac:dyDescent="0.3">
      <c r="A2205" s="2" t="s">
        <v>104</v>
      </c>
      <c r="B2205" s="3">
        <v>44389.5</v>
      </c>
      <c r="C2205" s="1" t="str">
        <f t="shared" si="36"/>
        <v>21194</v>
      </c>
      <c r="D2205" t="s">
        <v>29</v>
      </c>
      <c r="E2205" s="2" t="s">
        <v>39</v>
      </c>
      <c r="F2205" s="2" t="str">
        <f>_xlfn.XLOOKUP(Table1_1[[#This Row],[CAS_rn]],[1]analyte_order!$C:$C,[1]analyte_order!$B:$B)</f>
        <v>PFHpA</v>
      </c>
      <c r="G2205" t="s">
        <v>112</v>
      </c>
      <c r="H2205" s="2">
        <f>_xlfn.XLOOKUP(Table1_1[[#This Row],[CAS_rn]],[1]analyte_order!$C:$C,[1]analyte_order!$E:$E)</f>
        <v>4</v>
      </c>
      <c r="I2205">
        <v>0.09</v>
      </c>
    </row>
    <row r="2206" spans="1:9" x14ac:dyDescent="0.3">
      <c r="A2206" s="2" t="s">
        <v>104</v>
      </c>
      <c r="B2206" s="3">
        <v>44389.5</v>
      </c>
      <c r="C2206" s="1" t="str">
        <f t="shared" si="36"/>
        <v>21194</v>
      </c>
      <c r="D2206" t="s">
        <v>29</v>
      </c>
      <c r="E2206" s="2" t="s">
        <v>39</v>
      </c>
      <c r="F2206" s="2" t="str">
        <f>_xlfn.XLOOKUP(Table1_1[[#This Row],[CAS_rn]],[1]analyte_order!$C:$C,[1]analyte_order!$B:$B)</f>
        <v>PFOA</v>
      </c>
      <c r="G2206" t="s">
        <v>113</v>
      </c>
      <c r="H2206" s="2">
        <f>_xlfn.XLOOKUP(Table1_1[[#This Row],[CAS_rn]],[1]analyte_order!$C:$C,[1]analyte_order!$E:$E)</f>
        <v>5</v>
      </c>
      <c r="I2206">
        <v>0.16</v>
      </c>
    </row>
    <row r="2207" spans="1:9" x14ac:dyDescent="0.3">
      <c r="A2207" s="2" t="s">
        <v>104</v>
      </c>
      <c r="B2207" s="3">
        <v>44389.5</v>
      </c>
      <c r="C2207" s="1" t="str">
        <f t="shared" si="36"/>
        <v>21194</v>
      </c>
      <c r="D2207" t="s">
        <v>29</v>
      </c>
      <c r="E2207" s="2" t="s">
        <v>39</v>
      </c>
      <c r="F2207" s="2" t="str">
        <f>_xlfn.XLOOKUP(Table1_1[[#This Row],[CAS_rn]],[1]analyte_order!$C:$C,[1]analyte_order!$B:$B)</f>
        <v>PFNA</v>
      </c>
      <c r="G2207" t="s">
        <v>114</v>
      </c>
      <c r="H2207" s="2">
        <f>_xlfn.XLOOKUP(Table1_1[[#This Row],[CAS_rn]],[1]analyte_order!$C:$C,[1]analyte_order!$E:$E)</f>
        <v>6</v>
      </c>
      <c r="I2207">
        <v>0.05</v>
      </c>
    </row>
    <row r="2208" spans="1:9" x14ac:dyDescent="0.3">
      <c r="A2208" s="2" t="s">
        <v>104</v>
      </c>
      <c r="B2208" s="3">
        <v>44389.5</v>
      </c>
      <c r="C2208" s="1" t="str">
        <f t="shared" si="36"/>
        <v>21194</v>
      </c>
      <c r="D2208" t="s">
        <v>29</v>
      </c>
      <c r="E2208" s="2" t="s">
        <v>39</v>
      </c>
      <c r="F2208" s="2" t="str">
        <f>_xlfn.XLOOKUP(Table1_1[[#This Row],[CAS_rn]],[1]analyte_order!$C:$C,[1]analyte_order!$B:$B)</f>
        <v>PFDA</v>
      </c>
      <c r="G2208" t="s">
        <v>115</v>
      </c>
      <c r="H2208" s="2">
        <f>_xlfn.XLOOKUP(Table1_1[[#This Row],[CAS_rn]],[1]analyte_order!$C:$C,[1]analyte_order!$E:$E)</f>
        <v>7</v>
      </c>
      <c r="I2208">
        <v>0.05</v>
      </c>
    </row>
    <row r="2209" spans="1:9" x14ac:dyDescent="0.3">
      <c r="A2209" s="2" t="s">
        <v>104</v>
      </c>
      <c r="B2209" s="3">
        <v>44389.5</v>
      </c>
      <c r="C2209" s="1" t="str">
        <f t="shared" si="36"/>
        <v>21194</v>
      </c>
      <c r="D2209" t="s">
        <v>29</v>
      </c>
      <c r="E2209" s="2" t="s">
        <v>39</v>
      </c>
      <c r="F2209" s="2" t="str">
        <f>_xlfn.XLOOKUP(Table1_1[[#This Row],[CAS_rn]],[1]analyte_order!$C:$C,[1]analyte_order!$B:$B)</f>
        <v>PFUnA</v>
      </c>
      <c r="G2209" t="s">
        <v>116</v>
      </c>
      <c r="H2209" s="2">
        <f>_xlfn.XLOOKUP(Table1_1[[#This Row],[CAS_rn]],[1]analyte_order!$C:$C,[1]analyte_order!$E:$E)</f>
        <v>8</v>
      </c>
      <c r="I2209">
        <v>0.05</v>
      </c>
    </row>
    <row r="2210" spans="1:9" x14ac:dyDescent="0.3">
      <c r="A2210" s="2" t="s">
        <v>104</v>
      </c>
      <c r="B2210" s="3">
        <v>44389.5</v>
      </c>
      <c r="C2210" s="1" t="str">
        <f t="shared" si="36"/>
        <v>21194</v>
      </c>
      <c r="D2210" t="s">
        <v>29</v>
      </c>
      <c r="E2210" s="2" t="s">
        <v>39</v>
      </c>
      <c r="F2210" s="2" t="str">
        <f>_xlfn.XLOOKUP(Table1_1[[#This Row],[CAS_rn]],[1]analyte_order!$C:$C,[1]analyte_order!$B:$B)</f>
        <v>PFDoA</v>
      </c>
      <c r="G2210" t="s">
        <v>117</v>
      </c>
      <c r="H2210" s="2">
        <f>_xlfn.XLOOKUP(Table1_1[[#This Row],[CAS_rn]],[1]analyte_order!$C:$C,[1]analyte_order!$E:$E)</f>
        <v>9</v>
      </c>
      <c r="I2210">
        <v>0.05</v>
      </c>
    </row>
    <row r="2211" spans="1:9" x14ac:dyDescent="0.3">
      <c r="A2211" s="2" t="s">
        <v>104</v>
      </c>
      <c r="B2211" s="3">
        <v>44389.5</v>
      </c>
      <c r="C2211" s="1" t="str">
        <f t="shared" si="36"/>
        <v>21194</v>
      </c>
      <c r="D2211" t="s">
        <v>29</v>
      </c>
      <c r="E2211" s="2" t="s">
        <v>39</v>
      </c>
      <c r="F2211" s="2" t="str">
        <f>_xlfn.XLOOKUP(Table1_1[[#This Row],[CAS_rn]],[1]analyte_order!$C:$C,[1]analyte_order!$B:$B)</f>
        <v>PFTrDA</v>
      </c>
      <c r="G2211" t="s">
        <v>118</v>
      </c>
      <c r="H2211" s="2">
        <f>_xlfn.XLOOKUP(Table1_1[[#This Row],[CAS_rn]],[1]analyte_order!$C:$C,[1]analyte_order!$E:$E)</f>
        <v>10</v>
      </c>
      <c r="I2211">
        <v>0.05</v>
      </c>
    </row>
    <row r="2212" spans="1:9" x14ac:dyDescent="0.3">
      <c r="A2212" s="2" t="s">
        <v>104</v>
      </c>
      <c r="B2212" s="3">
        <v>44389.5</v>
      </c>
      <c r="C2212" s="1" t="str">
        <f t="shared" si="36"/>
        <v>21194</v>
      </c>
      <c r="D2212" t="s">
        <v>29</v>
      </c>
      <c r="E2212" s="2" t="s">
        <v>39</v>
      </c>
      <c r="F2212" s="2" t="str">
        <f>_xlfn.XLOOKUP(Table1_1[[#This Row],[CAS_rn]],[1]analyte_order!$C:$C,[1]analyte_order!$B:$B)</f>
        <v>PFTeDA</v>
      </c>
      <c r="G2212" t="s">
        <v>119</v>
      </c>
      <c r="H2212" s="2">
        <f>_xlfn.XLOOKUP(Table1_1[[#This Row],[CAS_rn]],[1]analyte_order!$C:$C,[1]analyte_order!$E:$E)</f>
        <v>11</v>
      </c>
      <c r="I2212">
        <v>0.05</v>
      </c>
    </row>
    <row r="2213" spans="1:9" x14ac:dyDescent="0.3">
      <c r="A2213" s="2" t="s">
        <v>104</v>
      </c>
      <c r="B2213" s="3">
        <v>44389.5</v>
      </c>
      <c r="C2213" s="1" t="str">
        <f t="shared" si="36"/>
        <v>21194</v>
      </c>
      <c r="D2213" t="s">
        <v>29</v>
      </c>
      <c r="E2213" s="2" t="s">
        <v>39</v>
      </c>
      <c r="F2213" s="2" t="str">
        <f>_xlfn.XLOOKUP(Table1_1[[#This Row],[CAS_rn]],[1]analyte_order!$C:$C,[1]analyte_order!$B:$B)</f>
        <v>PFBS</v>
      </c>
      <c r="G2213" t="s">
        <v>120</v>
      </c>
      <c r="H2213" s="2">
        <f>_xlfn.XLOOKUP(Table1_1[[#This Row],[CAS_rn]],[1]analyte_order!$C:$C,[1]analyte_order!$E:$E)</f>
        <v>14</v>
      </c>
      <c r="I2213">
        <v>0.05</v>
      </c>
    </row>
    <row r="2214" spans="1:9" x14ac:dyDescent="0.3">
      <c r="A2214" s="2" t="s">
        <v>104</v>
      </c>
      <c r="B2214" s="3">
        <v>44389.5</v>
      </c>
      <c r="C2214" s="1" t="str">
        <f t="shared" si="36"/>
        <v>21194</v>
      </c>
      <c r="D2214" t="s">
        <v>29</v>
      </c>
      <c r="E2214" s="2" t="s">
        <v>39</v>
      </c>
      <c r="F2214" s="2" t="str">
        <f>_xlfn.XLOOKUP(Table1_1[[#This Row],[CAS_rn]],[1]analyte_order!$C:$C,[1]analyte_order!$B:$B)</f>
        <v>PFPeS</v>
      </c>
      <c r="G2214" t="s">
        <v>121</v>
      </c>
      <c r="H2214" s="2">
        <f>_xlfn.XLOOKUP(Table1_1[[#This Row],[CAS_rn]],[1]analyte_order!$C:$C,[1]analyte_order!$E:$E)</f>
        <v>15</v>
      </c>
      <c r="I2214">
        <v>0.05</v>
      </c>
    </row>
    <row r="2215" spans="1:9" x14ac:dyDescent="0.3">
      <c r="A2215" s="2" t="s">
        <v>104</v>
      </c>
      <c r="B2215" s="3">
        <v>44389.5</v>
      </c>
      <c r="C2215" s="1" t="str">
        <f t="shared" si="36"/>
        <v>21194</v>
      </c>
      <c r="D2215" t="s">
        <v>29</v>
      </c>
      <c r="E2215" s="2" t="s">
        <v>39</v>
      </c>
      <c r="F2215" s="2" t="str">
        <f>_xlfn.XLOOKUP(Table1_1[[#This Row],[CAS_rn]],[1]analyte_order!$C:$C,[1]analyte_order!$B:$B)</f>
        <v>PFHxS</v>
      </c>
      <c r="G2215" t="s">
        <v>122</v>
      </c>
      <c r="H2215" s="2">
        <f>_xlfn.XLOOKUP(Table1_1[[#This Row],[CAS_rn]],[1]analyte_order!$C:$C,[1]analyte_order!$E:$E)</f>
        <v>16</v>
      </c>
      <c r="I2215">
        <v>0.32</v>
      </c>
    </row>
    <row r="2216" spans="1:9" x14ac:dyDescent="0.3">
      <c r="A2216" s="2" t="s">
        <v>104</v>
      </c>
      <c r="B2216" s="3">
        <v>44389.5</v>
      </c>
      <c r="C2216" s="1" t="str">
        <f t="shared" si="36"/>
        <v>21194</v>
      </c>
      <c r="D2216" t="s">
        <v>29</v>
      </c>
      <c r="E2216" s="2" t="s">
        <v>39</v>
      </c>
      <c r="F2216" s="2" t="str">
        <f>_xlfn.XLOOKUP(Table1_1[[#This Row],[CAS_rn]],[1]analyte_order!$C:$C,[1]analyte_order!$B:$B)</f>
        <v>PFHpS</v>
      </c>
      <c r="G2216" t="s">
        <v>123</v>
      </c>
      <c r="H2216" s="2">
        <f>_xlfn.XLOOKUP(Table1_1[[#This Row],[CAS_rn]],[1]analyte_order!$C:$C,[1]analyte_order!$E:$E)</f>
        <v>17</v>
      </c>
      <c r="I2216">
        <v>0.05</v>
      </c>
    </row>
    <row r="2217" spans="1:9" x14ac:dyDescent="0.3">
      <c r="A2217" s="2" t="s">
        <v>104</v>
      </c>
      <c r="B2217" s="3">
        <v>44389.5</v>
      </c>
      <c r="C2217" s="1" t="str">
        <f t="shared" si="36"/>
        <v>21194</v>
      </c>
      <c r="D2217" t="s">
        <v>29</v>
      </c>
      <c r="E2217" s="2" t="s">
        <v>39</v>
      </c>
      <c r="F2217" s="2" t="str">
        <f>_xlfn.XLOOKUP(Table1_1[[#This Row],[CAS_rn]],[1]analyte_order!$C:$C,[1]analyte_order!$B:$B)</f>
        <v>PFOS</v>
      </c>
      <c r="G2217" t="s">
        <v>124</v>
      </c>
      <c r="H2217" s="2">
        <f>_xlfn.XLOOKUP(Table1_1[[#This Row],[CAS_rn]],[1]analyte_order!$C:$C,[1]analyte_order!$E:$E)</f>
        <v>18</v>
      </c>
      <c r="I2217">
        <v>0.86</v>
      </c>
    </row>
    <row r="2218" spans="1:9" x14ac:dyDescent="0.3">
      <c r="A2218" s="2" t="s">
        <v>104</v>
      </c>
      <c r="B2218" s="3">
        <v>44389.5</v>
      </c>
      <c r="C2218" s="1" t="str">
        <f t="shared" si="36"/>
        <v>21194</v>
      </c>
      <c r="D2218" t="s">
        <v>29</v>
      </c>
      <c r="E2218" s="2" t="s">
        <v>39</v>
      </c>
      <c r="F2218" s="2" t="str">
        <f>_xlfn.XLOOKUP(Table1_1[[#This Row],[CAS_rn]],[1]analyte_order!$C:$C,[1]analyte_order!$B:$B)</f>
        <v>PFNS</v>
      </c>
      <c r="G2218" t="s">
        <v>125</v>
      </c>
      <c r="H2218" s="2">
        <f>_xlfn.XLOOKUP(Table1_1[[#This Row],[CAS_rn]],[1]analyte_order!$C:$C,[1]analyte_order!$E:$E)</f>
        <v>19</v>
      </c>
      <c r="I2218">
        <v>0.05</v>
      </c>
    </row>
    <row r="2219" spans="1:9" x14ac:dyDescent="0.3">
      <c r="A2219" s="2" t="s">
        <v>104</v>
      </c>
      <c r="B2219" s="3">
        <v>44389.5</v>
      </c>
      <c r="C2219" s="1" t="str">
        <f t="shared" si="36"/>
        <v>21194</v>
      </c>
      <c r="D2219" t="s">
        <v>29</v>
      </c>
      <c r="E2219" s="2" t="s">
        <v>39</v>
      </c>
      <c r="F2219" s="2" t="str">
        <f>_xlfn.XLOOKUP(Table1_1[[#This Row],[CAS_rn]],[1]analyte_order!$C:$C,[1]analyte_order!$B:$B)</f>
        <v>PFDoS</v>
      </c>
      <c r="G2219" t="s">
        <v>126</v>
      </c>
      <c r="H2219" s="2">
        <f>_xlfn.XLOOKUP(Table1_1[[#This Row],[CAS_rn]],[1]analyte_order!$C:$C,[1]analyte_order!$E:$E)</f>
        <v>21</v>
      </c>
      <c r="I2219">
        <v>0.05</v>
      </c>
    </row>
    <row r="2220" spans="1:9" x14ac:dyDescent="0.3">
      <c r="A2220" s="2" t="s">
        <v>104</v>
      </c>
      <c r="B2220" s="3">
        <v>44389.5</v>
      </c>
      <c r="C2220" s="1" t="str">
        <f t="shared" si="36"/>
        <v>21194</v>
      </c>
      <c r="D2220" t="s">
        <v>29</v>
      </c>
      <c r="E2220" s="2" t="s">
        <v>39</v>
      </c>
      <c r="F2220" s="2" t="str">
        <f>_xlfn.XLOOKUP(Table1_1[[#This Row],[CAS_rn]],[1]analyte_order!$C:$C,[1]analyte_order!$B:$B)</f>
        <v>4:2 FTS</v>
      </c>
      <c r="G2220" t="s">
        <v>127</v>
      </c>
      <c r="H2220" s="2">
        <f>_xlfn.XLOOKUP(Table1_1[[#This Row],[CAS_rn]],[1]analyte_order!$C:$C,[1]analyte_order!$E:$E)</f>
        <v>22</v>
      </c>
      <c r="I2220">
        <v>0.2</v>
      </c>
    </row>
    <row r="2221" spans="1:9" x14ac:dyDescent="0.3">
      <c r="A2221" s="2" t="s">
        <v>104</v>
      </c>
      <c r="B2221" s="3">
        <v>44389.5</v>
      </c>
      <c r="C2221" s="1" t="str">
        <f t="shared" si="36"/>
        <v>21194</v>
      </c>
      <c r="D2221" t="s">
        <v>29</v>
      </c>
      <c r="E2221" s="2" t="s">
        <v>39</v>
      </c>
      <c r="F2221" s="2" t="str">
        <f>_xlfn.XLOOKUP(Table1_1[[#This Row],[CAS_rn]],[1]analyte_order!$C:$C,[1]analyte_order!$B:$B)</f>
        <v>6:2 FTS</v>
      </c>
      <c r="G2221" t="s">
        <v>128</v>
      </c>
      <c r="H2221" s="2">
        <f>_xlfn.XLOOKUP(Table1_1[[#This Row],[CAS_rn]],[1]analyte_order!$C:$C,[1]analyte_order!$E:$E)</f>
        <v>23</v>
      </c>
      <c r="I2221">
        <v>0.4</v>
      </c>
    </row>
    <row r="2222" spans="1:9" x14ac:dyDescent="0.3">
      <c r="A2222" s="2" t="s">
        <v>104</v>
      </c>
      <c r="B2222" s="3">
        <v>44389.5</v>
      </c>
      <c r="C2222" s="1" t="str">
        <f t="shared" si="36"/>
        <v>21194</v>
      </c>
      <c r="D2222" t="s">
        <v>29</v>
      </c>
      <c r="E2222" s="2" t="s">
        <v>39</v>
      </c>
      <c r="F2222" s="2" t="str">
        <f>_xlfn.XLOOKUP(Table1_1[[#This Row],[CAS_rn]],[1]analyte_order!$C:$C,[1]analyte_order!$B:$B)</f>
        <v>8:2 FTS</v>
      </c>
      <c r="G2222" t="s">
        <v>129</v>
      </c>
      <c r="H2222" s="2">
        <f>_xlfn.XLOOKUP(Table1_1[[#This Row],[CAS_rn]],[1]analyte_order!$C:$C,[1]analyte_order!$E:$E)</f>
        <v>24</v>
      </c>
      <c r="I2222">
        <v>0.4</v>
      </c>
    </row>
    <row r="2223" spans="1:9" x14ac:dyDescent="0.3">
      <c r="A2223" s="2" t="s">
        <v>104</v>
      </c>
      <c r="B2223" s="3">
        <v>44389.5</v>
      </c>
      <c r="C2223" s="1" t="str">
        <f t="shared" si="36"/>
        <v>21194</v>
      </c>
      <c r="D2223" t="s">
        <v>29</v>
      </c>
      <c r="E2223" s="2" t="s">
        <v>39</v>
      </c>
      <c r="F2223" s="2" t="str">
        <f>_xlfn.XLOOKUP(Table1_1[[#This Row],[CAS_rn]],[1]analyte_order!$C:$C,[1]analyte_order!$B:$B)</f>
        <v>FOSA</v>
      </c>
      <c r="G2223" t="s">
        <v>130</v>
      </c>
      <c r="H2223" s="2">
        <f>_xlfn.XLOOKUP(Table1_1[[#This Row],[CAS_rn]],[1]analyte_order!$C:$C,[1]analyte_order!$E:$E)</f>
        <v>28</v>
      </c>
      <c r="I2223">
        <v>0.09</v>
      </c>
    </row>
    <row r="2224" spans="1:9" x14ac:dyDescent="0.3">
      <c r="A2224" s="2" t="s">
        <v>104</v>
      </c>
      <c r="B2224" s="3">
        <v>44389.5</v>
      </c>
      <c r="C2224" s="1" t="str">
        <f t="shared" si="36"/>
        <v>21194</v>
      </c>
      <c r="D2224" t="s">
        <v>29</v>
      </c>
      <c r="E2224" s="2" t="s">
        <v>39</v>
      </c>
      <c r="F2224" s="2" t="str">
        <f>_xlfn.XLOOKUP(Table1_1[[#This Row],[CAS_rn]],[1]analyte_order!$C:$C,[1]analyte_order!$B:$B)</f>
        <v>N-MeFOSA</v>
      </c>
      <c r="G2224" t="s">
        <v>131</v>
      </c>
      <c r="H2224" s="2">
        <f>_xlfn.XLOOKUP(Table1_1[[#This Row],[CAS_rn]],[1]analyte_order!$C:$C,[1]analyte_order!$E:$E)</f>
        <v>30</v>
      </c>
      <c r="I2224">
        <v>0.05</v>
      </c>
    </row>
    <row r="2225" spans="1:9" x14ac:dyDescent="0.3">
      <c r="A2225" s="2" t="s">
        <v>104</v>
      </c>
      <c r="B2225" s="3">
        <v>44389.5</v>
      </c>
      <c r="C2225" s="1" t="str">
        <f t="shared" si="36"/>
        <v>21194</v>
      </c>
      <c r="D2225" t="s">
        <v>29</v>
      </c>
      <c r="E2225" s="2" t="s">
        <v>39</v>
      </c>
      <c r="F2225" s="2" t="str">
        <f>_xlfn.XLOOKUP(Table1_1[[#This Row],[CAS_rn]],[1]analyte_order!$C:$C,[1]analyte_order!$B:$B)</f>
        <v>N-MeFOSAA</v>
      </c>
      <c r="G2225" t="s">
        <v>132</v>
      </c>
      <c r="H2225" s="2">
        <f>_xlfn.XLOOKUP(Table1_1[[#This Row],[CAS_rn]],[1]analyte_order!$C:$C,[1]analyte_order!$E:$E)</f>
        <v>26</v>
      </c>
      <c r="I2225">
        <v>0.05</v>
      </c>
    </row>
    <row r="2226" spans="1:9" x14ac:dyDescent="0.3">
      <c r="A2226" s="2" t="s">
        <v>104</v>
      </c>
      <c r="B2226" s="3">
        <v>44389.5</v>
      </c>
      <c r="C2226" s="1" t="str">
        <f t="shared" si="36"/>
        <v>21194</v>
      </c>
      <c r="D2226" t="s">
        <v>29</v>
      </c>
      <c r="E2226" s="2" t="s">
        <v>39</v>
      </c>
      <c r="F2226" s="2" t="str">
        <f>_xlfn.XLOOKUP(Table1_1[[#This Row],[CAS_rn]],[1]analyte_order!$C:$C,[1]analyte_order!$B:$B)</f>
        <v>N-EtFOSA</v>
      </c>
      <c r="G2226" t="s">
        <v>133</v>
      </c>
      <c r="H2226" s="2">
        <f>_xlfn.XLOOKUP(Table1_1[[#This Row],[CAS_rn]],[1]analyte_order!$C:$C,[1]analyte_order!$E:$E)</f>
        <v>31</v>
      </c>
      <c r="I2226">
        <v>0.05</v>
      </c>
    </row>
    <row r="2227" spans="1:9" x14ac:dyDescent="0.3">
      <c r="A2227" s="2" t="s">
        <v>104</v>
      </c>
      <c r="B2227" s="3">
        <v>44389.5</v>
      </c>
      <c r="C2227" s="1" t="str">
        <f t="shared" si="36"/>
        <v>21194</v>
      </c>
      <c r="D2227" t="s">
        <v>29</v>
      </c>
      <c r="E2227" s="2" t="s">
        <v>39</v>
      </c>
      <c r="F2227" s="2" t="str">
        <f>_xlfn.XLOOKUP(Table1_1[[#This Row],[CAS_rn]],[1]analyte_order!$C:$C,[1]analyte_order!$B:$B)</f>
        <v>N-EtFOSAA</v>
      </c>
      <c r="G2227" t="s">
        <v>134</v>
      </c>
      <c r="H2227" s="2">
        <f>_xlfn.XLOOKUP(Table1_1[[#This Row],[CAS_rn]],[1]analyte_order!$C:$C,[1]analyte_order!$E:$E)</f>
        <v>27</v>
      </c>
      <c r="I2227">
        <v>0.05</v>
      </c>
    </row>
    <row r="2228" spans="1:9" x14ac:dyDescent="0.3">
      <c r="A2228" s="2" t="s">
        <v>104</v>
      </c>
      <c r="B2228" s="3">
        <v>44389.5</v>
      </c>
      <c r="C2228" s="1" t="str">
        <f t="shared" si="36"/>
        <v>21194</v>
      </c>
      <c r="D2228" t="s">
        <v>29</v>
      </c>
      <c r="E2228" s="2" t="s">
        <v>39</v>
      </c>
      <c r="F2228" s="2" t="str">
        <f>_xlfn.XLOOKUP(Table1_1[[#This Row],[CAS_rn]],[1]analyte_order!$C:$C,[1]analyte_order!$B:$B)</f>
        <v>N-MeFOSE</v>
      </c>
      <c r="G2228" t="s">
        <v>135</v>
      </c>
      <c r="H2228" s="2">
        <f>_xlfn.XLOOKUP(Table1_1[[#This Row],[CAS_rn]],[1]analyte_order!$C:$C,[1]analyte_order!$E:$E)</f>
        <v>32</v>
      </c>
      <c r="I2228">
        <v>0.5</v>
      </c>
    </row>
    <row r="2229" spans="1:9" x14ac:dyDescent="0.3">
      <c r="A2229" s="2" t="s">
        <v>104</v>
      </c>
      <c r="B2229" s="3">
        <v>44389.5</v>
      </c>
      <c r="C2229" s="1" t="str">
        <f t="shared" si="36"/>
        <v>21194</v>
      </c>
      <c r="D2229" t="s">
        <v>29</v>
      </c>
      <c r="E2229" s="2" t="s">
        <v>39</v>
      </c>
      <c r="F2229" s="2" t="str">
        <f>_xlfn.XLOOKUP(Table1_1[[#This Row],[CAS_rn]],[1]analyte_order!$C:$C,[1]analyte_order!$B:$B)</f>
        <v>N-EtFOSE</v>
      </c>
      <c r="G2229" t="s">
        <v>136</v>
      </c>
      <c r="H2229" s="2">
        <f>_xlfn.XLOOKUP(Table1_1[[#This Row],[CAS_rn]],[1]analyte_order!$C:$C,[1]analyte_order!$E:$E)</f>
        <v>33</v>
      </c>
      <c r="I2229">
        <v>0.5</v>
      </c>
    </row>
    <row r="2230" spans="1:9" x14ac:dyDescent="0.3">
      <c r="A2230" s="2" t="s">
        <v>104</v>
      </c>
      <c r="B2230" s="3">
        <v>44389.5</v>
      </c>
      <c r="C2230" s="1" t="str">
        <f t="shared" si="36"/>
        <v>21194</v>
      </c>
      <c r="D2230" t="s">
        <v>29</v>
      </c>
      <c r="E2230" s="2" t="s">
        <v>39</v>
      </c>
      <c r="F2230" s="2" t="str">
        <f>_xlfn.XLOOKUP(Table1_1[[#This Row],[CAS_rn]],[1]analyte_order!$C:$C,[1]analyte_order!$B:$B)</f>
        <v>HFPO-DA</v>
      </c>
      <c r="G2230" t="s">
        <v>137</v>
      </c>
      <c r="H2230" s="2">
        <f>_xlfn.XLOOKUP(Table1_1[[#This Row],[CAS_rn]],[1]analyte_order!$C:$C,[1]analyte_order!$E:$E)</f>
        <v>34</v>
      </c>
      <c r="I2230">
        <v>0.3</v>
      </c>
    </row>
    <row r="2231" spans="1:9" x14ac:dyDescent="0.3">
      <c r="A2231" s="2" t="s">
        <v>104</v>
      </c>
      <c r="B2231" s="3">
        <v>44389.5</v>
      </c>
      <c r="C2231" s="1" t="str">
        <f t="shared" si="36"/>
        <v>21194</v>
      </c>
      <c r="D2231" t="s">
        <v>29</v>
      </c>
      <c r="E2231" s="2" t="s">
        <v>39</v>
      </c>
      <c r="F2231" s="2" t="str">
        <f>_xlfn.XLOOKUP(Table1_1[[#This Row],[CAS_rn]],[1]analyte_order!$C:$C,[1]analyte_order!$B:$B)</f>
        <v>ADONA</v>
      </c>
      <c r="G2231" t="s">
        <v>138</v>
      </c>
      <c r="H2231" s="2">
        <f>_xlfn.XLOOKUP(Table1_1[[#This Row],[CAS_rn]],[1]analyte_order!$C:$C,[1]analyte_order!$E:$E)</f>
        <v>35</v>
      </c>
      <c r="I2231">
        <v>0.2</v>
      </c>
    </row>
    <row r="2232" spans="1:9" x14ac:dyDescent="0.3">
      <c r="A2232" s="2" t="s">
        <v>104</v>
      </c>
      <c r="B2232" s="3">
        <v>44389.5</v>
      </c>
      <c r="C2232" s="1" t="str">
        <f t="shared" si="36"/>
        <v>21194</v>
      </c>
      <c r="D2232" t="s">
        <v>29</v>
      </c>
      <c r="E2232" s="2" t="s">
        <v>39</v>
      </c>
      <c r="F2232" s="2" t="str">
        <f>_xlfn.XLOOKUP(Table1_1[[#This Row],[CAS_rn]],[1]analyte_order!$C:$C,[1]analyte_order!$B:$B)</f>
        <v>PFMBA</v>
      </c>
      <c r="G2232" t="s">
        <v>139</v>
      </c>
      <c r="H2232" s="2">
        <f>_xlfn.XLOOKUP(Table1_1[[#This Row],[CAS_rn]],[1]analyte_order!$C:$C,[1]analyte_order!$E:$E)</f>
        <v>48</v>
      </c>
      <c r="I2232">
        <v>0.1</v>
      </c>
    </row>
    <row r="2233" spans="1:9" x14ac:dyDescent="0.3">
      <c r="A2233" s="2" t="s">
        <v>104</v>
      </c>
      <c r="B2233" s="3">
        <v>44389.5</v>
      </c>
      <c r="C2233" s="1" t="str">
        <f t="shared" si="36"/>
        <v>21194</v>
      </c>
      <c r="D2233" t="s">
        <v>29</v>
      </c>
      <c r="E2233" s="2" t="s">
        <v>39</v>
      </c>
      <c r="F2233" s="2" t="str">
        <f>_xlfn.XLOOKUP(Table1_1[[#This Row],[CAS_rn]],[1]analyte_order!$C:$C,[1]analyte_order!$B:$B)</f>
        <v>NFDHA</v>
      </c>
      <c r="G2233" t="s">
        <v>140</v>
      </c>
      <c r="H2233" s="2">
        <f>_xlfn.XLOOKUP(Table1_1[[#This Row],[CAS_rn]],[1]analyte_order!$C:$C,[1]analyte_order!$E:$E)</f>
        <v>50</v>
      </c>
      <c r="I2233">
        <v>0.1</v>
      </c>
    </row>
    <row r="2234" spans="1:9" x14ac:dyDescent="0.3">
      <c r="A2234" s="2" t="s">
        <v>104</v>
      </c>
      <c r="B2234" s="3">
        <v>44389.5</v>
      </c>
      <c r="C2234" s="1" t="str">
        <f t="shared" si="36"/>
        <v>21194</v>
      </c>
      <c r="D2234" t="s">
        <v>29</v>
      </c>
      <c r="E2234" s="2" t="s">
        <v>39</v>
      </c>
      <c r="F2234" s="2" t="str">
        <f>_xlfn.XLOOKUP(Table1_1[[#This Row],[CAS_rn]],[1]analyte_order!$C:$C,[1]analyte_order!$B:$B)</f>
        <v>9Cl-PF3ONS</v>
      </c>
      <c r="G2234" t="s">
        <v>141</v>
      </c>
      <c r="H2234" s="2">
        <f>_xlfn.XLOOKUP(Table1_1[[#This Row],[CAS_rn]],[1]analyte_order!$C:$C,[1]analyte_order!$E:$E)</f>
        <v>36</v>
      </c>
      <c r="I2234">
        <v>0.2</v>
      </c>
    </row>
    <row r="2235" spans="1:9" x14ac:dyDescent="0.3">
      <c r="A2235" s="2" t="s">
        <v>104</v>
      </c>
      <c r="B2235" s="3">
        <v>44389.5</v>
      </c>
      <c r="C2235" s="1" t="str">
        <f t="shared" si="36"/>
        <v>21194</v>
      </c>
      <c r="D2235" t="s">
        <v>29</v>
      </c>
      <c r="E2235" s="2" t="s">
        <v>39</v>
      </c>
      <c r="F2235" s="2" t="str">
        <f>_xlfn.XLOOKUP(Table1_1[[#This Row],[CAS_rn]],[1]analyte_order!$C:$C,[1]analyte_order!$B:$B)</f>
        <v>11Cl-PF3OUdS</v>
      </c>
      <c r="G2235" t="s">
        <v>142</v>
      </c>
      <c r="H2235" s="2">
        <f>_xlfn.XLOOKUP(Table1_1[[#This Row],[CAS_rn]],[1]analyte_order!$C:$C,[1]analyte_order!$E:$E)</f>
        <v>37</v>
      </c>
      <c r="I2235">
        <v>0.2</v>
      </c>
    </row>
    <row r="2236" spans="1:9" x14ac:dyDescent="0.3">
      <c r="A2236" s="2" t="s">
        <v>104</v>
      </c>
      <c r="B2236" s="3">
        <v>44389.5</v>
      </c>
      <c r="C2236" s="1" t="str">
        <f t="shared" si="36"/>
        <v>21194</v>
      </c>
      <c r="D2236" t="s">
        <v>29</v>
      </c>
      <c r="E2236" s="2" t="s">
        <v>39</v>
      </c>
      <c r="F2236" s="2" t="str">
        <f>_xlfn.XLOOKUP(Table1_1[[#This Row],[CAS_rn]],[1]analyte_order!$C:$C,[1]analyte_order!$B:$B)</f>
        <v>PFEESA</v>
      </c>
      <c r="G2236" t="s">
        <v>143</v>
      </c>
      <c r="H2236" s="2">
        <f>_xlfn.XLOOKUP(Table1_1[[#This Row],[CAS_rn]],[1]analyte_order!$C:$C,[1]analyte_order!$E:$E)</f>
        <v>47</v>
      </c>
      <c r="I2236">
        <v>0.1</v>
      </c>
    </row>
    <row r="2237" spans="1:9" x14ac:dyDescent="0.3">
      <c r="A2237" s="2" t="s">
        <v>104</v>
      </c>
      <c r="B2237" s="3">
        <v>44389.5</v>
      </c>
      <c r="C2237" s="1" t="str">
        <f t="shared" si="36"/>
        <v>21194</v>
      </c>
      <c r="D2237" t="s">
        <v>29</v>
      </c>
      <c r="E2237" s="2" t="s">
        <v>39</v>
      </c>
      <c r="F2237" s="2" t="str">
        <f>_xlfn.XLOOKUP(Table1_1[[#This Row],[CAS_rn]],[1]analyte_order!$C:$C,[1]analyte_order!$B:$B)</f>
        <v>3:3 FTCA</v>
      </c>
      <c r="G2237" t="s">
        <v>144</v>
      </c>
      <c r="H2237" s="2">
        <f>_xlfn.XLOOKUP(Table1_1[[#This Row],[CAS_rn]],[1]analyte_order!$C:$C,[1]analyte_order!$E:$E)</f>
        <v>38</v>
      </c>
      <c r="I2237">
        <v>0.25</v>
      </c>
    </row>
    <row r="2238" spans="1:9" x14ac:dyDescent="0.3">
      <c r="A2238" s="2" t="s">
        <v>104</v>
      </c>
      <c r="B2238" s="3">
        <v>44389.5</v>
      </c>
      <c r="C2238" s="1" t="str">
        <f t="shared" si="36"/>
        <v>21194</v>
      </c>
      <c r="D2238" t="s">
        <v>29</v>
      </c>
      <c r="E2238" s="2" t="s">
        <v>39</v>
      </c>
      <c r="F2238" s="2" t="str">
        <f>_xlfn.XLOOKUP(Table1_1[[#This Row],[CAS_rn]],[1]analyte_order!$C:$C,[1]analyte_order!$B:$B)</f>
        <v>5:3 FTCA</v>
      </c>
      <c r="G2238" t="s">
        <v>145</v>
      </c>
      <c r="H2238" s="2">
        <f>_xlfn.XLOOKUP(Table1_1[[#This Row],[CAS_rn]],[1]analyte_order!$C:$C,[1]analyte_order!$E:$E)</f>
        <v>39</v>
      </c>
      <c r="I2238">
        <v>1.25</v>
      </c>
    </row>
    <row r="2239" spans="1:9" x14ac:dyDescent="0.3">
      <c r="A2239" s="2" t="s">
        <v>104</v>
      </c>
      <c r="B2239" s="3">
        <v>44389.5</v>
      </c>
      <c r="C2239" s="1" t="str">
        <f t="shared" si="36"/>
        <v>21194</v>
      </c>
      <c r="D2239" t="s">
        <v>29</v>
      </c>
      <c r="E2239" s="2" t="s">
        <v>39</v>
      </c>
      <c r="F2239" s="2" t="str">
        <f>_xlfn.XLOOKUP(Table1_1[[#This Row],[CAS_rn]],[1]analyte_order!$C:$C,[1]analyte_order!$B:$B)</f>
        <v>7:3 FTCA</v>
      </c>
      <c r="G2239" t="s">
        <v>146</v>
      </c>
      <c r="H2239" s="2">
        <f>_xlfn.XLOOKUP(Table1_1[[#This Row],[CAS_rn]],[1]analyte_order!$C:$C,[1]analyte_order!$E:$E)</f>
        <v>40</v>
      </c>
      <c r="I2239">
        <v>1.25</v>
      </c>
    </row>
    <row r="2240" spans="1:9" x14ac:dyDescent="0.3">
      <c r="A2240" s="2" t="s">
        <v>104</v>
      </c>
      <c r="B2240" s="3">
        <v>44389.5</v>
      </c>
      <c r="C2240" s="1" t="str">
        <f t="shared" si="36"/>
        <v>21194</v>
      </c>
      <c r="D2240" t="s">
        <v>29</v>
      </c>
      <c r="E2240" s="2" t="s">
        <v>39</v>
      </c>
      <c r="F2240" s="2" t="str">
        <f>_xlfn.XLOOKUP(Table1_1[[#This Row],[CAS_rn]],[1]analyte_order!$C:$C,[1]analyte_order!$B:$B)</f>
        <v>PFDS</v>
      </c>
      <c r="G2240" t="s">
        <v>147</v>
      </c>
      <c r="H2240" s="2">
        <f>_xlfn.XLOOKUP(Table1_1[[#This Row],[CAS_rn]],[1]analyte_order!$C:$C,[1]analyte_order!$E:$E)</f>
        <v>20</v>
      </c>
      <c r="I2240">
        <v>0.05</v>
      </c>
    </row>
    <row r="2241" spans="1:9" x14ac:dyDescent="0.3">
      <c r="A2241" s="2" t="s">
        <v>104</v>
      </c>
      <c r="B2241" s="3">
        <v>44389.5</v>
      </c>
      <c r="C2241" s="1" t="str">
        <f t="shared" si="36"/>
        <v>21194</v>
      </c>
      <c r="D2241" t="s">
        <v>29</v>
      </c>
      <c r="E2241" s="2" t="s">
        <v>39</v>
      </c>
      <c r="F2241" s="2" t="str">
        <f>_xlfn.XLOOKUP(Table1_1[[#This Row],[CAS_rn]],[1]analyte_order!$C:$C,[1]analyte_order!$B:$B)</f>
        <v>PFMPA</v>
      </c>
      <c r="G2241" t="s">
        <v>148</v>
      </c>
      <c r="H2241" s="2">
        <f>_xlfn.XLOOKUP(Table1_1[[#This Row],[CAS_rn]],[1]analyte_order!$C:$C,[1]analyte_order!$E:$E)</f>
        <v>49</v>
      </c>
      <c r="I2241">
        <v>0.1</v>
      </c>
    </row>
    <row r="2242" spans="1:9" x14ac:dyDescent="0.3">
      <c r="A2242" s="2" t="s">
        <v>105</v>
      </c>
      <c r="B2242" s="3">
        <v>44391.5</v>
      </c>
      <c r="C2242" s="1" t="str">
        <f t="shared" si="36"/>
        <v>21196</v>
      </c>
      <c r="D2242" t="s">
        <v>26</v>
      </c>
      <c r="E2242" s="2" t="s">
        <v>39</v>
      </c>
      <c r="F2242" s="2" t="str">
        <f>_xlfn.XLOOKUP(Table1_1[[#This Row],[CAS_rn]],[1]analyte_order!$C:$C,[1]analyte_order!$B:$B)</f>
        <v>PFBA</v>
      </c>
      <c r="G2242" t="s">
        <v>109</v>
      </c>
      <c r="H2242" s="2">
        <f>_xlfn.XLOOKUP(Table1_1[[#This Row],[CAS_rn]],[1]analyte_order!$C:$C,[1]analyte_order!$E:$E)</f>
        <v>1</v>
      </c>
      <c r="I2242">
        <v>0.2</v>
      </c>
    </row>
    <row r="2243" spans="1:9" x14ac:dyDescent="0.3">
      <c r="A2243" s="2" t="s">
        <v>105</v>
      </c>
      <c r="B2243" s="3">
        <v>44391.5</v>
      </c>
      <c r="C2243" s="1" t="str">
        <f t="shared" si="36"/>
        <v>21196</v>
      </c>
      <c r="D2243" t="s">
        <v>26</v>
      </c>
      <c r="E2243" s="2" t="s">
        <v>39</v>
      </c>
      <c r="F2243" s="2" t="str">
        <f>_xlfn.XLOOKUP(Table1_1[[#This Row],[CAS_rn]],[1]analyte_order!$C:$C,[1]analyte_order!$B:$B)</f>
        <v>PFPeA</v>
      </c>
      <c r="G2243" t="s">
        <v>110</v>
      </c>
      <c r="H2243" s="2">
        <f>_xlfn.XLOOKUP(Table1_1[[#This Row],[CAS_rn]],[1]analyte_order!$C:$C,[1]analyte_order!$E:$E)</f>
        <v>2</v>
      </c>
      <c r="I2243">
        <v>0.1</v>
      </c>
    </row>
    <row r="2244" spans="1:9" x14ac:dyDescent="0.3">
      <c r="A2244" s="2" t="s">
        <v>105</v>
      </c>
      <c r="B2244" s="3">
        <v>44391.5</v>
      </c>
      <c r="C2244" s="1" t="str">
        <f t="shared" si="36"/>
        <v>21196</v>
      </c>
      <c r="D2244" t="s">
        <v>26</v>
      </c>
      <c r="E2244" s="2" t="s">
        <v>39</v>
      </c>
      <c r="F2244" s="2" t="str">
        <f>_xlfn.XLOOKUP(Table1_1[[#This Row],[CAS_rn]],[1]analyte_order!$C:$C,[1]analyte_order!$B:$B)</f>
        <v>PFHxA</v>
      </c>
      <c r="G2244" t="s">
        <v>111</v>
      </c>
      <c r="H2244" s="2">
        <f>_xlfn.XLOOKUP(Table1_1[[#This Row],[CAS_rn]],[1]analyte_order!$C:$C,[1]analyte_order!$E:$E)</f>
        <v>3</v>
      </c>
      <c r="I2244">
        <v>0.3</v>
      </c>
    </row>
    <row r="2245" spans="1:9" x14ac:dyDescent="0.3">
      <c r="A2245" s="2" t="s">
        <v>105</v>
      </c>
      <c r="B2245" s="3">
        <v>44391.5</v>
      </c>
      <c r="C2245" s="1" t="str">
        <f t="shared" si="36"/>
        <v>21196</v>
      </c>
      <c r="D2245" t="s">
        <v>26</v>
      </c>
      <c r="E2245" s="2" t="s">
        <v>39</v>
      </c>
      <c r="F2245" s="2" t="str">
        <f>_xlfn.XLOOKUP(Table1_1[[#This Row],[CAS_rn]],[1]analyte_order!$C:$C,[1]analyte_order!$B:$B)</f>
        <v>PFHpA</v>
      </c>
      <c r="G2245" t="s">
        <v>112</v>
      </c>
      <c r="H2245" s="2">
        <f>_xlfn.XLOOKUP(Table1_1[[#This Row],[CAS_rn]],[1]analyte_order!$C:$C,[1]analyte_order!$E:$E)</f>
        <v>4</v>
      </c>
      <c r="I2245">
        <v>0.09</v>
      </c>
    </row>
    <row r="2246" spans="1:9" x14ac:dyDescent="0.3">
      <c r="A2246" s="2" t="s">
        <v>105</v>
      </c>
      <c r="B2246" s="3">
        <v>44391.5</v>
      </c>
      <c r="C2246" s="1" t="str">
        <f t="shared" si="36"/>
        <v>21196</v>
      </c>
      <c r="D2246" t="s">
        <v>26</v>
      </c>
      <c r="E2246" s="2" t="s">
        <v>39</v>
      </c>
      <c r="F2246" s="2" t="str">
        <f>_xlfn.XLOOKUP(Table1_1[[#This Row],[CAS_rn]],[1]analyte_order!$C:$C,[1]analyte_order!$B:$B)</f>
        <v>PFOA</v>
      </c>
      <c r="G2246" t="s">
        <v>113</v>
      </c>
      <c r="H2246" s="2">
        <f>_xlfn.XLOOKUP(Table1_1[[#This Row],[CAS_rn]],[1]analyte_order!$C:$C,[1]analyte_order!$E:$E)</f>
        <v>5</v>
      </c>
      <c r="I2246">
        <v>0.52</v>
      </c>
    </row>
    <row r="2247" spans="1:9" x14ac:dyDescent="0.3">
      <c r="A2247" s="2" t="s">
        <v>105</v>
      </c>
      <c r="B2247" s="3">
        <v>44391.5</v>
      </c>
      <c r="C2247" s="1" t="str">
        <f t="shared" si="36"/>
        <v>21196</v>
      </c>
      <c r="D2247" t="s">
        <v>26</v>
      </c>
      <c r="E2247" s="2" t="s">
        <v>39</v>
      </c>
      <c r="F2247" s="2" t="str">
        <f>_xlfn.XLOOKUP(Table1_1[[#This Row],[CAS_rn]],[1]analyte_order!$C:$C,[1]analyte_order!$B:$B)</f>
        <v>PFNA</v>
      </c>
      <c r="G2247" t="s">
        <v>114</v>
      </c>
      <c r="H2247" s="2">
        <f>_xlfn.XLOOKUP(Table1_1[[#This Row],[CAS_rn]],[1]analyte_order!$C:$C,[1]analyte_order!$E:$E)</f>
        <v>6</v>
      </c>
      <c r="I2247">
        <v>0.05</v>
      </c>
    </row>
    <row r="2248" spans="1:9" x14ac:dyDescent="0.3">
      <c r="A2248" s="2" t="s">
        <v>105</v>
      </c>
      <c r="B2248" s="3">
        <v>44391.5</v>
      </c>
      <c r="C2248" s="1" t="str">
        <f t="shared" si="36"/>
        <v>21196</v>
      </c>
      <c r="D2248" t="s">
        <v>26</v>
      </c>
      <c r="E2248" s="2" t="s">
        <v>39</v>
      </c>
      <c r="F2248" s="2" t="str">
        <f>_xlfn.XLOOKUP(Table1_1[[#This Row],[CAS_rn]],[1]analyte_order!$C:$C,[1]analyte_order!$B:$B)</f>
        <v>PFDA</v>
      </c>
      <c r="G2248" t="s">
        <v>115</v>
      </c>
      <c r="H2248" s="2">
        <f>_xlfn.XLOOKUP(Table1_1[[#This Row],[CAS_rn]],[1]analyte_order!$C:$C,[1]analyte_order!$E:$E)</f>
        <v>7</v>
      </c>
      <c r="I2248">
        <v>0.05</v>
      </c>
    </row>
    <row r="2249" spans="1:9" x14ac:dyDescent="0.3">
      <c r="A2249" s="2" t="s">
        <v>105</v>
      </c>
      <c r="B2249" s="3">
        <v>44391.5</v>
      </c>
      <c r="C2249" s="1" t="str">
        <f t="shared" si="36"/>
        <v>21196</v>
      </c>
      <c r="D2249" t="s">
        <v>26</v>
      </c>
      <c r="E2249" s="2" t="s">
        <v>39</v>
      </c>
      <c r="F2249" s="2" t="str">
        <f>_xlfn.XLOOKUP(Table1_1[[#This Row],[CAS_rn]],[1]analyte_order!$C:$C,[1]analyte_order!$B:$B)</f>
        <v>PFUnA</v>
      </c>
      <c r="G2249" t="s">
        <v>116</v>
      </c>
      <c r="H2249" s="2">
        <f>_xlfn.XLOOKUP(Table1_1[[#This Row],[CAS_rn]],[1]analyte_order!$C:$C,[1]analyte_order!$E:$E)</f>
        <v>8</v>
      </c>
      <c r="I2249">
        <v>0.05</v>
      </c>
    </row>
    <row r="2250" spans="1:9" x14ac:dyDescent="0.3">
      <c r="A2250" s="2" t="s">
        <v>105</v>
      </c>
      <c r="B2250" s="3">
        <v>44391.5</v>
      </c>
      <c r="C2250" s="1" t="str">
        <f t="shared" si="36"/>
        <v>21196</v>
      </c>
      <c r="D2250" t="s">
        <v>26</v>
      </c>
      <c r="E2250" s="2" t="s">
        <v>39</v>
      </c>
      <c r="F2250" s="2" t="str">
        <f>_xlfn.XLOOKUP(Table1_1[[#This Row],[CAS_rn]],[1]analyte_order!$C:$C,[1]analyte_order!$B:$B)</f>
        <v>PFDoA</v>
      </c>
      <c r="G2250" t="s">
        <v>117</v>
      </c>
      <c r="H2250" s="2">
        <f>_xlfn.XLOOKUP(Table1_1[[#This Row],[CAS_rn]],[1]analyte_order!$C:$C,[1]analyte_order!$E:$E)</f>
        <v>9</v>
      </c>
      <c r="I2250">
        <v>0.05</v>
      </c>
    </row>
    <row r="2251" spans="1:9" x14ac:dyDescent="0.3">
      <c r="A2251" s="2" t="s">
        <v>105</v>
      </c>
      <c r="B2251" s="3">
        <v>44391.5</v>
      </c>
      <c r="C2251" s="1" t="str">
        <f t="shared" ref="C2251:C2314" si="37">TEXT(B2251,"yy")&amp;TEXT((B2251-DATEVALUE("1/1/"&amp;TEXT(B2251,"yy"))+1),"000")</f>
        <v>21196</v>
      </c>
      <c r="D2251" t="s">
        <v>26</v>
      </c>
      <c r="E2251" s="2" t="s">
        <v>39</v>
      </c>
      <c r="F2251" s="2" t="str">
        <f>_xlfn.XLOOKUP(Table1_1[[#This Row],[CAS_rn]],[1]analyte_order!$C:$C,[1]analyte_order!$B:$B)</f>
        <v>PFTrDA</v>
      </c>
      <c r="G2251" t="s">
        <v>118</v>
      </c>
      <c r="H2251" s="2">
        <f>_xlfn.XLOOKUP(Table1_1[[#This Row],[CAS_rn]],[1]analyte_order!$C:$C,[1]analyte_order!$E:$E)</f>
        <v>10</v>
      </c>
      <c r="I2251">
        <v>0.05</v>
      </c>
    </row>
    <row r="2252" spans="1:9" x14ac:dyDescent="0.3">
      <c r="A2252" s="2" t="s">
        <v>105</v>
      </c>
      <c r="B2252" s="3">
        <v>44391.5</v>
      </c>
      <c r="C2252" s="1" t="str">
        <f t="shared" si="37"/>
        <v>21196</v>
      </c>
      <c r="D2252" t="s">
        <v>26</v>
      </c>
      <c r="E2252" s="2" t="s">
        <v>39</v>
      </c>
      <c r="F2252" s="2" t="str">
        <f>_xlfn.XLOOKUP(Table1_1[[#This Row],[CAS_rn]],[1]analyte_order!$C:$C,[1]analyte_order!$B:$B)</f>
        <v>PFTeDA</v>
      </c>
      <c r="G2252" t="s">
        <v>119</v>
      </c>
      <c r="H2252" s="2">
        <f>_xlfn.XLOOKUP(Table1_1[[#This Row],[CAS_rn]],[1]analyte_order!$C:$C,[1]analyte_order!$E:$E)</f>
        <v>11</v>
      </c>
      <c r="I2252">
        <v>0.05</v>
      </c>
    </row>
    <row r="2253" spans="1:9" x14ac:dyDescent="0.3">
      <c r="A2253" s="2" t="s">
        <v>105</v>
      </c>
      <c r="B2253" s="3">
        <v>44391.5</v>
      </c>
      <c r="C2253" s="1" t="str">
        <f t="shared" si="37"/>
        <v>21196</v>
      </c>
      <c r="D2253" t="s">
        <v>26</v>
      </c>
      <c r="E2253" s="2" t="s">
        <v>39</v>
      </c>
      <c r="F2253" s="2" t="str">
        <f>_xlfn.XLOOKUP(Table1_1[[#This Row],[CAS_rn]],[1]analyte_order!$C:$C,[1]analyte_order!$B:$B)</f>
        <v>PFBS</v>
      </c>
      <c r="G2253" t="s">
        <v>120</v>
      </c>
      <c r="H2253" s="2">
        <f>_xlfn.XLOOKUP(Table1_1[[#This Row],[CAS_rn]],[1]analyte_order!$C:$C,[1]analyte_order!$E:$E)</f>
        <v>14</v>
      </c>
      <c r="I2253">
        <v>0.05</v>
      </c>
    </row>
    <row r="2254" spans="1:9" x14ac:dyDescent="0.3">
      <c r="A2254" s="2" t="s">
        <v>105</v>
      </c>
      <c r="B2254" s="3">
        <v>44391.5</v>
      </c>
      <c r="C2254" s="1" t="str">
        <f t="shared" si="37"/>
        <v>21196</v>
      </c>
      <c r="D2254" t="s">
        <v>26</v>
      </c>
      <c r="E2254" s="2" t="s">
        <v>39</v>
      </c>
      <c r="F2254" s="2" t="str">
        <f>_xlfn.XLOOKUP(Table1_1[[#This Row],[CAS_rn]],[1]analyte_order!$C:$C,[1]analyte_order!$B:$B)</f>
        <v>PFPeS</v>
      </c>
      <c r="G2254" t="s">
        <v>121</v>
      </c>
      <c r="H2254" s="2">
        <f>_xlfn.XLOOKUP(Table1_1[[#This Row],[CAS_rn]],[1]analyte_order!$C:$C,[1]analyte_order!$E:$E)</f>
        <v>15</v>
      </c>
      <c r="I2254">
        <v>0.05</v>
      </c>
    </row>
    <row r="2255" spans="1:9" x14ac:dyDescent="0.3">
      <c r="A2255" s="2" t="s">
        <v>105</v>
      </c>
      <c r="B2255" s="3">
        <v>44391.5</v>
      </c>
      <c r="C2255" s="1" t="str">
        <f t="shared" si="37"/>
        <v>21196</v>
      </c>
      <c r="D2255" t="s">
        <v>26</v>
      </c>
      <c r="E2255" s="2" t="s">
        <v>39</v>
      </c>
      <c r="F2255" s="2" t="str">
        <f>_xlfn.XLOOKUP(Table1_1[[#This Row],[CAS_rn]],[1]analyte_order!$C:$C,[1]analyte_order!$B:$B)</f>
        <v>PFHxS</v>
      </c>
      <c r="G2255" t="s">
        <v>122</v>
      </c>
      <c r="H2255" s="2">
        <f>_xlfn.XLOOKUP(Table1_1[[#This Row],[CAS_rn]],[1]analyte_order!$C:$C,[1]analyte_order!$E:$E)</f>
        <v>16</v>
      </c>
      <c r="I2255">
        <v>0.46</v>
      </c>
    </row>
    <row r="2256" spans="1:9" x14ac:dyDescent="0.3">
      <c r="A2256" s="2" t="s">
        <v>105</v>
      </c>
      <c r="B2256" s="3">
        <v>44391.5</v>
      </c>
      <c r="C2256" s="1" t="str">
        <f t="shared" si="37"/>
        <v>21196</v>
      </c>
      <c r="D2256" t="s">
        <v>26</v>
      </c>
      <c r="E2256" s="2" t="s">
        <v>39</v>
      </c>
      <c r="F2256" s="2" t="str">
        <f>_xlfn.XLOOKUP(Table1_1[[#This Row],[CAS_rn]],[1]analyte_order!$C:$C,[1]analyte_order!$B:$B)</f>
        <v>PFHpS</v>
      </c>
      <c r="G2256" t="s">
        <v>123</v>
      </c>
      <c r="H2256" s="2">
        <f>_xlfn.XLOOKUP(Table1_1[[#This Row],[CAS_rn]],[1]analyte_order!$C:$C,[1]analyte_order!$E:$E)</f>
        <v>17</v>
      </c>
      <c r="I2256">
        <v>0.05</v>
      </c>
    </row>
    <row r="2257" spans="1:9" x14ac:dyDescent="0.3">
      <c r="A2257" s="2" t="s">
        <v>105</v>
      </c>
      <c r="B2257" s="3">
        <v>44391.5</v>
      </c>
      <c r="C2257" s="1" t="str">
        <f t="shared" si="37"/>
        <v>21196</v>
      </c>
      <c r="D2257" t="s">
        <v>26</v>
      </c>
      <c r="E2257" s="2" t="s">
        <v>39</v>
      </c>
      <c r="F2257" s="2" t="str">
        <f>_xlfn.XLOOKUP(Table1_1[[#This Row],[CAS_rn]],[1]analyte_order!$C:$C,[1]analyte_order!$B:$B)</f>
        <v>PFOS</v>
      </c>
      <c r="G2257" t="s">
        <v>124</v>
      </c>
      <c r="H2257" s="2">
        <f>_xlfn.XLOOKUP(Table1_1[[#This Row],[CAS_rn]],[1]analyte_order!$C:$C,[1]analyte_order!$E:$E)</f>
        <v>18</v>
      </c>
      <c r="I2257">
        <v>0.91</v>
      </c>
    </row>
    <row r="2258" spans="1:9" x14ac:dyDescent="0.3">
      <c r="A2258" s="2" t="s">
        <v>105</v>
      </c>
      <c r="B2258" s="3">
        <v>44391.5</v>
      </c>
      <c r="C2258" s="1" t="str">
        <f t="shared" si="37"/>
        <v>21196</v>
      </c>
      <c r="D2258" t="s">
        <v>26</v>
      </c>
      <c r="E2258" s="2" t="s">
        <v>39</v>
      </c>
      <c r="F2258" s="2" t="str">
        <f>_xlfn.XLOOKUP(Table1_1[[#This Row],[CAS_rn]],[1]analyte_order!$C:$C,[1]analyte_order!$B:$B)</f>
        <v>PFNS</v>
      </c>
      <c r="G2258" t="s">
        <v>125</v>
      </c>
      <c r="H2258" s="2">
        <f>_xlfn.XLOOKUP(Table1_1[[#This Row],[CAS_rn]],[1]analyte_order!$C:$C,[1]analyte_order!$E:$E)</f>
        <v>19</v>
      </c>
      <c r="I2258">
        <v>0.05</v>
      </c>
    </row>
    <row r="2259" spans="1:9" x14ac:dyDescent="0.3">
      <c r="A2259" s="2" t="s">
        <v>105</v>
      </c>
      <c r="B2259" s="3">
        <v>44391.5</v>
      </c>
      <c r="C2259" s="1" t="str">
        <f t="shared" si="37"/>
        <v>21196</v>
      </c>
      <c r="D2259" t="s">
        <v>26</v>
      </c>
      <c r="E2259" s="2" t="s">
        <v>39</v>
      </c>
      <c r="F2259" s="2" t="str">
        <f>_xlfn.XLOOKUP(Table1_1[[#This Row],[CAS_rn]],[1]analyte_order!$C:$C,[1]analyte_order!$B:$B)</f>
        <v>PFDoS</v>
      </c>
      <c r="G2259" t="s">
        <v>126</v>
      </c>
      <c r="H2259" s="2">
        <f>_xlfn.XLOOKUP(Table1_1[[#This Row],[CAS_rn]],[1]analyte_order!$C:$C,[1]analyte_order!$E:$E)</f>
        <v>21</v>
      </c>
      <c r="I2259">
        <v>0.05</v>
      </c>
    </row>
    <row r="2260" spans="1:9" x14ac:dyDescent="0.3">
      <c r="A2260" s="2" t="s">
        <v>105</v>
      </c>
      <c r="B2260" s="3">
        <v>44391.5</v>
      </c>
      <c r="C2260" s="1" t="str">
        <f t="shared" si="37"/>
        <v>21196</v>
      </c>
      <c r="D2260" t="s">
        <v>26</v>
      </c>
      <c r="E2260" s="2" t="s">
        <v>39</v>
      </c>
      <c r="F2260" s="2" t="str">
        <f>_xlfn.XLOOKUP(Table1_1[[#This Row],[CAS_rn]],[1]analyte_order!$C:$C,[1]analyte_order!$B:$B)</f>
        <v>4:2 FTS</v>
      </c>
      <c r="G2260" t="s">
        <v>127</v>
      </c>
      <c r="H2260" s="2">
        <f>_xlfn.XLOOKUP(Table1_1[[#This Row],[CAS_rn]],[1]analyte_order!$C:$C,[1]analyte_order!$E:$E)</f>
        <v>22</v>
      </c>
      <c r="I2260">
        <v>0.2</v>
      </c>
    </row>
    <row r="2261" spans="1:9" x14ac:dyDescent="0.3">
      <c r="A2261" s="2" t="s">
        <v>105</v>
      </c>
      <c r="B2261" s="3">
        <v>44391.5</v>
      </c>
      <c r="C2261" s="1" t="str">
        <f t="shared" si="37"/>
        <v>21196</v>
      </c>
      <c r="D2261" t="s">
        <v>26</v>
      </c>
      <c r="E2261" s="2" t="s">
        <v>39</v>
      </c>
      <c r="F2261" s="2" t="str">
        <f>_xlfn.XLOOKUP(Table1_1[[#This Row],[CAS_rn]],[1]analyte_order!$C:$C,[1]analyte_order!$B:$B)</f>
        <v>6:2 FTS</v>
      </c>
      <c r="G2261" t="s">
        <v>128</v>
      </c>
      <c r="H2261" s="2">
        <f>_xlfn.XLOOKUP(Table1_1[[#This Row],[CAS_rn]],[1]analyte_order!$C:$C,[1]analyte_order!$E:$E)</f>
        <v>23</v>
      </c>
      <c r="I2261">
        <v>0.4</v>
      </c>
    </row>
    <row r="2262" spans="1:9" x14ac:dyDescent="0.3">
      <c r="A2262" s="2" t="s">
        <v>105</v>
      </c>
      <c r="B2262" s="3">
        <v>44391.5</v>
      </c>
      <c r="C2262" s="1" t="str">
        <f t="shared" si="37"/>
        <v>21196</v>
      </c>
      <c r="D2262" t="s">
        <v>26</v>
      </c>
      <c r="E2262" s="2" t="s">
        <v>39</v>
      </c>
      <c r="F2262" s="2" t="str">
        <f>_xlfn.XLOOKUP(Table1_1[[#This Row],[CAS_rn]],[1]analyte_order!$C:$C,[1]analyte_order!$B:$B)</f>
        <v>8:2 FTS</v>
      </c>
      <c r="G2262" t="s">
        <v>129</v>
      </c>
      <c r="H2262" s="2">
        <f>_xlfn.XLOOKUP(Table1_1[[#This Row],[CAS_rn]],[1]analyte_order!$C:$C,[1]analyte_order!$E:$E)</f>
        <v>24</v>
      </c>
      <c r="I2262">
        <v>0.4</v>
      </c>
    </row>
    <row r="2263" spans="1:9" x14ac:dyDescent="0.3">
      <c r="A2263" s="2" t="s">
        <v>105</v>
      </c>
      <c r="B2263" s="3">
        <v>44391.5</v>
      </c>
      <c r="C2263" s="1" t="str">
        <f t="shared" si="37"/>
        <v>21196</v>
      </c>
      <c r="D2263" t="s">
        <v>26</v>
      </c>
      <c r="E2263" s="2" t="s">
        <v>39</v>
      </c>
      <c r="F2263" s="2" t="str">
        <f>_xlfn.XLOOKUP(Table1_1[[#This Row],[CAS_rn]],[1]analyte_order!$C:$C,[1]analyte_order!$B:$B)</f>
        <v>FOSA</v>
      </c>
      <c r="G2263" t="s">
        <v>130</v>
      </c>
      <c r="H2263" s="2">
        <f>_xlfn.XLOOKUP(Table1_1[[#This Row],[CAS_rn]],[1]analyte_order!$C:$C,[1]analyte_order!$E:$E)</f>
        <v>28</v>
      </c>
      <c r="I2263">
        <v>0.09</v>
      </c>
    </row>
    <row r="2264" spans="1:9" x14ac:dyDescent="0.3">
      <c r="A2264" s="2" t="s">
        <v>105</v>
      </c>
      <c r="B2264" s="3">
        <v>44391.5</v>
      </c>
      <c r="C2264" s="1" t="str">
        <f t="shared" si="37"/>
        <v>21196</v>
      </c>
      <c r="D2264" t="s">
        <v>26</v>
      </c>
      <c r="E2264" s="2" t="s">
        <v>39</v>
      </c>
      <c r="F2264" s="2" t="str">
        <f>_xlfn.XLOOKUP(Table1_1[[#This Row],[CAS_rn]],[1]analyte_order!$C:$C,[1]analyte_order!$B:$B)</f>
        <v>N-MeFOSA</v>
      </c>
      <c r="G2264" t="s">
        <v>131</v>
      </c>
      <c r="H2264" s="2">
        <f>_xlfn.XLOOKUP(Table1_1[[#This Row],[CAS_rn]],[1]analyte_order!$C:$C,[1]analyte_order!$E:$E)</f>
        <v>30</v>
      </c>
      <c r="I2264">
        <v>0.05</v>
      </c>
    </row>
    <row r="2265" spans="1:9" x14ac:dyDescent="0.3">
      <c r="A2265" s="2" t="s">
        <v>105</v>
      </c>
      <c r="B2265" s="3">
        <v>44391.5</v>
      </c>
      <c r="C2265" s="1" t="str">
        <f t="shared" si="37"/>
        <v>21196</v>
      </c>
      <c r="D2265" t="s">
        <v>26</v>
      </c>
      <c r="E2265" s="2" t="s">
        <v>39</v>
      </c>
      <c r="F2265" s="2" t="str">
        <f>_xlfn.XLOOKUP(Table1_1[[#This Row],[CAS_rn]],[1]analyte_order!$C:$C,[1]analyte_order!$B:$B)</f>
        <v>N-MeFOSAA</v>
      </c>
      <c r="G2265" t="s">
        <v>132</v>
      </c>
      <c r="H2265" s="2">
        <f>_xlfn.XLOOKUP(Table1_1[[#This Row],[CAS_rn]],[1]analyte_order!$C:$C,[1]analyte_order!$E:$E)</f>
        <v>26</v>
      </c>
      <c r="I2265">
        <v>0.05</v>
      </c>
    </row>
    <row r="2266" spans="1:9" x14ac:dyDescent="0.3">
      <c r="A2266" s="2" t="s">
        <v>105</v>
      </c>
      <c r="B2266" s="3">
        <v>44391.5</v>
      </c>
      <c r="C2266" s="1" t="str">
        <f t="shared" si="37"/>
        <v>21196</v>
      </c>
      <c r="D2266" t="s">
        <v>26</v>
      </c>
      <c r="E2266" s="2" t="s">
        <v>39</v>
      </c>
      <c r="F2266" s="2" t="str">
        <f>_xlfn.XLOOKUP(Table1_1[[#This Row],[CAS_rn]],[1]analyte_order!$C:$C,[1]analyte_order!$B:$B)</f>
        <v>N-EtFOSA</v>
      </c>
      <c r="G2266" t="s">
        <v>133</v>
      </c>
      <c r="H2266" s="2">
        <f>_xlfn.XLOOKUP(Table1_1[[#This Row],[CAS_rn]],[1]analyte_order!$C:$C,[1]analyte_order!$E:$E)</f>
        <v>31</v>
      </c>
      <c r="I2266">
        <v>0.05</v>
      </c>
    </row>
    <row r="2267" spans="1:9" x14ac:dyDescent="0.3">
      <c r="A2267" s="2" t="s">
        <v>105</v>
      </c>
      <c r="B2267" s="3">
        <v>44391.5</v>
      </c>
      <c r="C2267" s="1" t="str">
        <f t="shared" si="37"/>
        <v>21196</v>
      </c>
      <c r="D2267" t="s">
        <v>26</v>
      </c>
      <c r="E2267" s="2" t="s">
        <v>39</v>
      </c>
      <c r="F2267" s="2" t="str">
        <f>_xlfn.XLOOKUP(Table1_1[[#This Row],[CAS_rn]],[1]analyte_order!$C:$C,[1]analyte_order!$B:$B)</f>
        <v>N-EtFOSAA</v>
      </c>
      <c r="G2267" t="s">
        <v>134</v>
      </c>
      <c r="H2267" s="2">
        <f>_xlfn.XLOOKUP(Table1_1[[#This Row],[CAS_rn]],[1]analyte_order!$C:$C,[1]analyte_order!$E:$E)</f>
        <v>27</v>
      </c>
      <c r="I2267">
        <v>0.05</v>
      </c>
    </row>
    <row r="2268" spans="1:9" x14ac:dyDescent="0.3">
      <c r="A2268" s="2" t="s">
        <v>105</v>
      </c>
      <c r="B2268" s="3">
        <v>44391.5</v>
      </c>
      <c r="C2268" s="1" t="str">
        <f t="shared" si="37"/>
        <v>21196</v>
      </c>
      <c r="D2268" t="s">
        <v>26</v>
      </c>
      <c r="E2268" s="2" t="s">
        <v>39</v>
      </c>
      <c r="F2268" s="2" t="str">
        <f>_xlfn.XLOOKUP(Table1_1[[#This Row],[CAS_rn]],[1]analyte_order!$C:$C,[1]analyte_order!$B:$B)</f>
        <v>N-MeFOSE</v>
      </c>
      <c r="G2268" t="s">
        <v>135</v>
      </c>
      <c r="H2268" s="2">
        <f>_xlfn.XLOOKUP(Table1_1[[#This Row],[CAS_rn]],[1]analyte_order!$C:$C,[1]analyte_order!$E:$E)</f>
        <v>32</v>
      </c>
      <c r="I2268">
        <v>0.5</v>
      </c>
    </row>
    <row r="2269" spans="1:9" x14ac:dyDescent="0.3">
      <c r="A2269" s="2" t="s">
        <v>105</v>
      </c>
      <c r="B2269" s="3">
        <v>44391.5</v>
      </c>
      <c r="C2269" s="1" t="str">
        <f t="shared" si="37"/>
        <v>21196</v>
      </c>
      <c r="D2269" t="s">
        <v>26</v>
      </c>
      <c r="E2269" s="2" t="s">
        <v>39</v>
      </c>
      <c r="F2269" s="2" t="str">
        <f>_xlfn.XLOOKUP(Table1_1[[#This Row],[CAS_rn]],[1]analyte_order!$C:$C,[1]analyte_order!$B:$B)</f>
        <v>N-EtFOSE</v>
      </c>
      <c r="G2269" t="s">
        <v>136</v>
      </c>
      <c r="H2269" s="2">
        <f>_xlfn.XLOOKUP(Table1_1[[#This Row],[CAS_rn]],[1]analyte_order!$C:$C,[1]analyte_order!$E:$E)</f>
        <v>33</v>
      </c>
      <c r="I2269">
        <v>0.5</v>
      </c>
    </row>
    <row r="2270" spans="1:9" x14ac:dyDescent="0.3">
      <c r="A2270" s="2" t="s">
        <v>105</v>
      </c>
      <c r="B2270" s="3">
        <v>44391.5</v>
      </c>
      <c r="C2270" s="1" t="str">
        <f t="shared" si="37"/>
        <v>21196</v>
      </c>
      <c r="D2270" t="s">
        <v>26</v>
      </c>
      <c r="E2270" s="2" t="s">
        <v>39</v>
      </c>
      <c r="F2270" s="2" t="str">
        <f>_xlfn.XLOOKUP(Table1_1[[#This Row],[CAS_rn]],[1]analyte_order!$C:$C,[1]analyte_order!$B:$B)</f>
        <v>HFPO-DA</v>
      </c>
      <c r="G2270" t="s">
        <v>137</v>
      </c>
      <c r="H2270" s="2">
        <f>_xlfn.XLOOKUP(Table1_1[[#This Row],[CAS_rn]],[1]analyte_order!$C:$C,[1]analyte_order!$E:$E)</f>
        <v>34</v>
      </c>
      <c r="I2270">
        <v>0.3</v>
      </c>
    </row>
    <row r="2271" spans="1:9" x14ac:dyDescent="0.3">
      <c r="A2271" s="2" t="s">
        <v>105</v>
      </c>
      <c r="B2271" s="3">
        <v>44391.5</v>
      </c>
      <c r="C2271" s="1" t="str">
        <f t="shared" si="37"/>
        <v>21196</v>
      </c>
      <c r="D2271" t="s">
        <v>26</v>
      </c>
      <c r="E2271" s="2" t="s">
        <v>39</v>
      </c>
      <c r="F2271" s="2" t="str">
        <f>_xlfn.XLOOKUP(Table1_1[[#This Row],[CAS_rn]],[1]analyte_order!$C:$C,[1]analyte_order!$B:$B)</f>
        <v>ADONA</v>
      </c>
      <c r="G2271" t="s">
        <v>138</v>
      </c>
      <c r="H2271" s="2">
        <f>_xlfn.XLOOKUP(Table1_1[[#This Row],[CAS_rn]],[1]analyte_order!$C:$C,[1]analyte_order!$E:$E)</f>
        <v>35</v>
      </c>
      <c r="I2271">
        <v>0.2</v>
      </c>
    </row>
    <row r="2272" spans="1:9" x14ac:dyDescent="0.3">
      <c r="A2272" s="2" t="s">
        <v>105</v>
      </c>
      <c r="B2272" s="3">
        <v>44391.5</v>
      </c>
      <c r="C2272" s="1" t="str">
        <f t="shared" si="37"/>
        <v>21196</v>
      </c>
      <c r="D2272" t="s">
        <v>26</v>
      </c>
      <c r="E2272" s="2" t="s">
        <v>39</v>
      </c>
      <c r="F2272" s="2" t="str">
        <f>_xlfn.XLOOKUP(Table1_1[[#This Row],[CAS_rn]],[1]analyte_order!$C:$C,[1]analyte_order!$B:$B)</f>
        <v>PFMBA</v>
      </c>
      <c r="G2272" t="s">
        <v>139</v>
      </c>
      <c r="H2272" s="2">
        <f>_xlfn.XLOOKUP(Table1_1[[#This Row],[CAS_rn]],[1]analyte_order!$C:$C,[1]analyte_order!$E:$E)</f>
        <v>48</v>
      </c>
      <c r="I2272">
        <v>0.1</v>
      </c>
    </row>
    <row r="2273" spans="1:9" x14ac:dyDescent="0.3">
      <c r="A2273" s="2" t="s">
        <v>105</v>
      </c>
      <c r="B2273" s="3">
        <v>44391.5</v>
      </c>
      <c r="C2273" s="1" t="str">
        <f t="shared" si="37"/>
        <v>21196</v>
      </c>
      <c r="D2273" t="s">
        <v>26</v>
      </c>
      <c r="E2273" s="2" t="s">
        <v>39</v>
      </c>
      <c r="F2273" s="2" t="str">
        <f>_xlfn.XLOOKUP(Table1_1[[#This Row],[CAS_rn]],[1]analyte_order!$C:$C,[1]analyte_order!$B:$B)</f>
        <v>NFDHA</v>
      </c>
      <c r="G2273" t="s">
        <v>140</v>
      </c>
      <c r="H2273" s="2">
        <f>_xlfn.XLOOKUP(Table1_1[[#This Row],[CAS_rn]],[1]analyte_order!$C:$C,[1]analyte_order!$E:$E)</f>
        <v>50</v>
      </c>
      <c r="I2273">
        <v>0.1</v>
      </c>
    </row>
    <row r="2274" spans="1:9" x14ac:dyDescent="0.3">
      <c r="A2274" s="2" t="s">
        <v>105</v>
      </c>
      <c r="B2274" s="3">
        <v>44391.5</v>
      </c>
      <c r="C2274" s="1" t="str">
        <f t="shared" si="37"/>
        <v>21196</v>
      </c>
      <c r="D2274" t="s">
        <v>26</v>
      </c>
      <c r="E2274" s="2" t="s">
        <v>39</v>
      </c>
      <c r="F2274" s="2" t="str">
        <f>_xlfn.XLOOKUP(Table1_1[[#This Row],[CAS_rn]],[1]analyte_order!$C:$C,[1]analyte_order!$B:$B)</f>
        <v>9Cl-PF3ONS</v>
      </c>
      <c r="G2274" t="s">
        <v>141</v>
      </c>
      <c r="H2274" s="2">
        <f>_xlfn.XLOOKUP(Table1_1[[#This Row],[CAS_rn]],[1]analyte_order!$C:$C,[1]analyte_order!$E:$E)</f>
        <v>36</v>
      </c>
      <c r="I2274">
        <v>0.2</v>
      </c>
    </row>
    <row r="2275" spans="1:9" x14ac:dyDescent="0.3">
      <c r="A2275" s="2" t="s">
        <v>105</v>
      </c>
      <c r="B2275" s="3">
        <v>44391.5</v>
      </c>
      <c r="C2275" s="1" t="str">
        <f t="shared" si="37"/>
        <v>21196</v>
      </c>
      <c r="D2275" t="s">
        <v>26</v>
      </c>
      <c r="E2275" s="2" t="s">
        <v>39</v>
      </c>
      <c r="F2275" s="2" t="str">
        <f>_xlfn.XLOOKUP(Table1_1[[#This Row],[CAS_rn]],[1]analyte_order!$C:$C,[1]analyte_order!$B:$B)</f>
        <v>11Cl-PF3OUdS</v>
      </c>
      <c r="G2275" t="s">
        <v>142</v>
      </c>
      <c r="H2275" s="2">
        <f>_xlfn.XLOOKUP(Table1_1[[#This Row],[CAS_rn]],[1]analyte_order!$C:$C,[1]analyte_order!$E:$E)</f>
        <v>37</v>
      </c>
      <c r="I2275">
        <v>0.2</v>
      </c>
    </row>
    <row r="2276" spans="1:9" x14ac:dyDescent="0.3">
      <c r="A2276" s="2" t="s">
        <v>105</v>
      </c>
      <c r="B2276" s="3">
        <v>44391.5</v>
      </c>
      <c r="C2276" s="1" t="str">
        <f t="shared" si="37"/>
        <v>21196</v>
      </c>
      <c r="D2276" t="s">
        <v>26</v>
      </c>
      <c r="E2276" s="2" t="s">
        <v>39</v>
      </c>
      <c r="F2276" s="2" t="str">
        <f>_xlfn.XLOOKUP(Table1_1[[#This Row],[CAS_rn]],[1]analyte_order!$C:$C,[1]analyte_order!$B:$B)</f>
        <v>PFEESA</v>
      </c>
      <c r="G2276" t="s">
        <v>143</v>
      </c>
      <c r="H2276" s="2">
        <f>_xlfn.XLOOKUP(Table1_1[[#This Row],[CAS_rn]],[1]analyte_order!$C:$C,[1]analyte_order!$E:$E)</f>
        <v>47</v>
      </c>
      <c r="I2276">
        <v>0.1</v>
      </c>
    </row>
    <row r="2277" spans="1:9" x14ac:dyDescent="0.3">
      <c r="A2277" s="2" t="s">
        <v>105</v>
      </c>
      <c r="B2277" s="3">
        <v>44391.5</v>
      </c>
      <c r="C2277" s="1" t="str">
        <f t="shared" si="37"/>
        <v>21196</v>
      </c>
      <c r="D2277" t="s">
        <v>26</v>
      </c>
      <c r="E2277" s="2" t="s">
        <v>39</v>
      </c>
      <c r="F2277" s="2" t="str">
        <f>_xlfn.XLOOKUP(Table1_1[[#This Row],[CAS_rn]],[1]analyte_order!$C:$C,[1]analyte_order!$B:$B)</f>
        <v>3:3 FTCA</v>
      </c>
      <c r="G2277" t="s">
        <v>144</v>
      </c>
      <c r="H2277" s="2">
        <f>_xlfn.XLOOKUP(Table1_1[[#This Row],[CAS_rn]],[1]analyte_order!$C:$C,[1]analyte_order!$E:$E)</f>
        <v>38</v>
      </c>
      <c r="I2277">
        <v>0.25</v>
      </c>
    </row>
    <row r="2278" spans="1:9" x14ac:dyDescent="0.3">
      <c r="A2278" s="2" t="s">
        <v>105</v>
      </c>
      <c r="B2278" s="3">
        <v>44391.5</v>
      </c>
      <c r="C2278" s="1" t="str">
        <f t="shared" si="37"/>
        <v>21196</v>
      </c>
      <c r="D2278" t="s">
        <v>26</v>
      </c>
      <c r="E2278" s="2" t="s">
        <v>39</v>
      </c>
      <c r="F2278" s="2" t="str">
        <f>_xlfn.XLOOKUP(Table1_1[[#This Row],[CAS_rn]],[1]analyte_order!$C:$C,[1]analyte_order!$B:$B)</f>
        <v>5:3 FTCA</v>
      </c>
      <c r="G2278" t="s">
        <v>145</v>
      </c>
      <c r="H2278" s="2">
        <f>_xlfn.XLOOKUP(Table1_1[[#This Row],[CAS_rn]],[1]analyte_order!$C:$C,[1]analyte_order!$E:$E)</f>
        <v>39</v>
      </c>
      <c r="I2278">
        <v>1.25</v>
      </c>
    </row>
    <row r="2279" spans="1:9" x14ac:dyDescent="0.3">
      <c r="A2279" s="2" t="s">
        <v>105</v>
      </c>
      <c r="B2279" s="3">
        <v>44391.5</v>
      </c>
      <c r="C2279" s="1" t="str">
        <f t="shared" si="37"/>
        <v>21196</v>
      </c>
      <c r="D2279" t="s">
        <v>26</v>
      </c>
      <c r="E2279" s="2" t="s">
        <v>39</v>
      </c>
      <c r="F2279" s="2" t="str">
        <f>_xlfn.XLOOKUP(Table1_1[[#This Row],[CAS_rn]],[1]analyte_order!$C:$C,[1]analyte_order!$B:$B)</f>
        <v>7:3 FTCA</v>
      </c>
      <c r="G2279" t="s">
        <v>146</v>
      </c>
      <c r="H2279" s="2">
        <f>_xlfn.XLOOKUP(Table1_1[[#This Row],[CAS_rn]],[1]analyte_order!$C:$C,[1]analyte_order!$E:$E)</f>
        <v>40</v>
      </c>
      <c r="I2279">
        <v>1.25</v>
      </c>
    </row>
    <row r="2280" spans="1:9" x14ac:dyDescent="0.3">
      <c r="A2280" s="2" t="s">
        <v>105</v>
      </c>
      <c r="B2280" s="3">
        <v>44391.5</v>
      </c>
      <c r="C2280" s="1" t="str">
        <f t="shared" si="37"/>
        <v>21196</v>
      </c>
      <c r="D2280" t="s">
        <v>26</v>
      </c>
      <c r="E2280" s="2" t="s">
        <v>39</v>
      </c>
      <c r="F2280" s="2" t="str">
        <f>_xlfn.XLOOKUP(Table1_1[[#This Row],[CAS_rn]],[1]analyte_order!$C:$C,[1]analyte_order!$B:$B)</f>
        <v>PFDS</v>
      </c>
      <c r="G2280" t="s">
        <v>147</v>
      </c>
      <c r="H2280" s="2">
        <f>_xlfn.XLOOKUP(Table1_1[[#This Row],[CAS_rn]],[1]analyte_order!$C:$C,[1]analyte_order!$E:$E)</f>
        <v>20</v>
      </c>
      <c r="I2280">
        <v>0.05</v>
      </c>
    </row>
    <row r="2281" spans="1:9" x14ac:dyDescent="0.3">
      <c r="A2281" s="2" t="s">
        <v>105</v>
      </c>
      <c r="B2281" s="3">
        <v>44391.5</v>
      </c>
      <c r="C2281" s="1" t="str">
        <f t="shared" si="37"/>
        <v>21196</v>
      </c>
      <c r="D2281" t="s">
        <v>26</v>
      </c>
      <c r="E2281" s="2" t="s">
        <v>39</v>
      </c>
      <c r="F2281" s="2" t="str">
        <f>_xlfn.XLOOKUP(Table1_1[[#This Row],[CAS_rn]],[1]analyte_order!$C:$C,[1]analyte_order!$B:$B)</f>
        <v>PFMPA</v>
      </c>
      <c r="G2281" t="s">
        <v>148</v>
      </c>
      <c r="H2281" s="2">
        <f>_xlfn.XLOOKUP(Table1_1[[#This Row],[CAS_rn]],[1]analyte_order!$C:$C,[1]analyte_order!$E:$E)</f>
        <v>49</v>
      </c>
      <c r="I2281">
        <v>0.1</v>
      </c>
    </row>
    <row r="2282" spans="1:9" x14ac:dyDescent="0.3">
      <c r="A2282" s="2" t="s">
        <v>106</v>
      </c>
      <c r="B2282" s="3">
        <v>44391.5</v>
      </c>
      <c r="C2282" s="1" t="str">
        <f t="shared" si="37"/>
        <v>21196</v>
      </c>
      <c r="D2282" t="s">
        <v>31</v>
      </c>
      <c r="E2282" s="2" t="s">
        <v>39</v>
      </c>
      <c r="F2282" s="2" t="str">
        <f>_xlfn.XLOOKUP(Table1_1[[#This Row],[CAS_rn]],[1]analyte_order!$C:$C,[1]analyte_order!$B:$B)</f>
        <v>PFBA</v>
      </c>
      <c r="G2282" t="s">
        <v>109</v>
      </c>
      <c r="H2282" s="2">
        <f>_xlfn.XLOOKUP(Table1_1[[#This Row],[CAS_rn]],[1]analyte_order!$C:$C,[1]analyte_order!$E:$E)</f>
        <v>1</v>
      </c>
      <c r="I2282">
        <v>0.2</v>
      </c>
    </row>
    <row r="2283" spans="1:9" x14ac:dyDescent="0.3">
      <c r="A2283" s="2" t="s">
        <v>106</v>
      </c>
      <c r="B2283" s="3">
        <v>44391.5</v>
      </c>
      <c r="C2283" s="1" t="str">
        <f t="shared" si="37"/>
        <v>21196</v>
      </c>
      <c r="D2283" t="s">
        <v>31</v>
      </c>
      <c r="E2283" s="2" t="s">
        <v>39</v>
      </c>
      <c r="F2283" s="2" t="str">
        <f>_xlfn.XLOOKUP(Table1_1[[#This Row],[CAS_rn]],[1]analyte_order!$C:$C,[1]analyte_order!$B:$B)</f>
        <v>PFPeA</v>
      </c>
      <c r="G2283" t="s">
        <v>110</v>
      </c>
      <c r="H2283" s="2">
        <f>_xlfn.XLOOKUP(Table1_1[[#This Row],[CAS_rn]],[1]analyte_order!$C:$C,[1]analyte_order!$E:$E)</f>
        <v>2</v>
      </c>
      <c r="I2283">
        <v>0.1</v>
      </c>
    </row>
    <row r="2284" spans="1:9" x14ac:dyDescent="0.3">
      <c r="A2284" s="2" t="s">
        <v>106</v>
      </c>
      <c r="B2284" s="3">
        <v>44391.5</v>
      </c>
      <c r="C2284" s="1" t="str">
        <f t="shared" si="37"/>
        <v>21196</v>
      </c>
      <c r="D2284" t="s">
        <v>31</v>
      </c>
      <c r="E2284" s="2" t="s">
        <v>39</v>
      </c>
      <c r="F2284" s="2" t="str">
        <f>_xlfn.XLOOKUP(Table1_1[[#This Row],[CAS_rn]],[1]analyte_order!$C:$C,[1]analyte_order!$B:$B)</f>
        <v>PFHxA</v>
      </c>
      <c r="G2284" t="s">
        <v>111</v>
      </c>
      <c r="H2284" s="2">
        <f>_xlfn.XLOOKUP(Table1_1[[#This Row],[CAS_rn]],[1]analyte_order!$C:$C,[1]analyte_order!$E:$E)</f>
        <v>3</v>
      </c>
      <c r="I2284">
        <v>0.17</v>
      </c>
    </row>
    <row r="2285" spans="1:9" x14ac:dyDescent="0.3">
      <c r="A2285" s="2" t="s">
        <v>106</v>
      </c>
      <c r="B2285" s="3">
        <v>44391.5</v>
      </c>
      <c r="C2285" s="1" t="str">
        <f t="shared" si="37"/>
        <v>21196</v>
      </c>
      <c r="D2285" t="s">
        <v>31</v>
      </c>
      <c r="E2285" s="2" t="s">
        <v>39</v>
      </c>
      <c r="F2285" s="2" t="str">
        <f>_xlfn.XLOOKUP(Table1_1[[#This Row],[CAS_rn]],[1]analyte_order!$C:$C,[1]analyte_order!$B:$B)</f>
        <v>PFHpA</v>
      </c>
      <c r="G2285" t="s">
        <v>112</v>
      </c>
      <c r="H2285" s="2">
        <f>_xlfn.XLOOKUP(Table1_1[[#This Row],[CAS_rn]],[1]analyte_order!$C:$C,[1]analyte_order!$E:$E)</f>
        <v>4</v>
      </c>
      <c r="I2285">
        <v>0.09</v>
      </c>
    </row>
    <row r="2286" spans="1:9" x14ac:dyDescent="0.3">
      <c r="A2286" s="2" t="s">
        <v>106</v>
      </c>
      <c r="B2286" s="3">
        <v>44391.5</v>
      </c>
      <c r="C2286" s="1" t="str">
        <f t="shared" si="37"/>
        <v>21196</v>
      </c>
      <c r="D2286" t="s">
        <v>31</v>
      </c>
      <c r="E2286" s="2" t="s">
        <v>39</v>
      </c>
      <c r="F2286" s="2" t="str">
        <f>_xlfn.XLOOKUP(Table1_1[[#This Row],[CAS_rn]],[1]analyte_order!$C:$C,[1]analyte_order!$B:$B)</f>
        <v>PFOA</v>
      </c>
      <c r="G2286" t="s">
        <v>113</v>
      </c>
      <c r="H2286" s="2">
        <f>_xlfn.XLOOKUP(Table1_1[[#This Row],[CAS_rn]],[1]analyte_order!$C:$C,[1]analyte_order!$E:$E)</f>
        <v>5</v>
      </c>
      <c r="I2286">
        <v>0.28000000000000003</v>
      </c>
    </row>
    <row r="2287" spans="1:9" x14ac:dyDescent="0.3">
      <c r="A2287" s="2" t="s">
        <v>106</v>
      </c>
      <c r="B2287" s="3">
        <v>44391.5</v>
      </c>
      <c r="C2287" s="1" t="str">
        <f t="shared" si="37"/>
        <v>21196</v>
      </c>
      <c r="D2287" t="s">
        <v>31</v>
      </c>
      <c r="E2287" s="2" t="s">
        <v>39</v>
      </c>
      <c r="F2287" s="2" t="str">
        <f>_xlfn.XLOOKUP(Table1_1[[#This Row],[CAS_rn]],[1]analyte_order!$C:$C,[1]analyte_order!$B:$B)</f>
        <v>PFNA</v>
      </c>
      <c r="G2287" t="s">
        <v>114</v>
      </c>
      <c r="H2287" s="2">
        <f>_xlfn.XLOOKUP(Table1_1[[#This Row],[CAS_rn]],[1]analyte_order!$C:$C,[1]analyte_order!$E:$E)</f>
        <v>6</v>
      </c>
      <c r="I2287">
        <v>4.9500000000000002E-2</v>
      </c>
    </row>
    <row r="2288" spans="1:9" x14ac:dyDescent="0.3">
      <c r="A2288" s="2" t="s">
        <v>106</v>
      </c>
      <c r="B2288" s="3">
        <v>44391.5</v>
      </c>
      <c r="C2288" s="1" t="str">
        <f t="shared" si="37"/>
        <v>21196</v>
      </c>
      <c r="D2288" t="s">
        <v>31</v>
      </c>
      <c r="E2288" s="2" t="s">
        <v>39</v>
      </c>
      <c r="F2288" s="2" t="str">
        <f>_xlfn.XLOOKUP(Table1_1[[#This Row],[CAS_rn]],[1]analyte_order!$C:$C,[1]analyte_order!$B:$B)</f>
        <v>PFDA</v>
      </c>
      <c r="G2288" t="s">
        <v>115</v>
      </c>
      <c r="H2288" s="2">
        <f>_xlfn.XLOOKUP(Table1_1[[#This Row],[CAS_rn]],[1]analyte_order!$C:$C,[1]analyte_order!$E:$E)</f>
        <v>7</v>
      </c>
      <c r="I2288">
        <v>4.9500000000000002E-2</v>
      </c>
    </row>
    <row r="2289" spans="1:9" x14ac:dyDescent="0.3">
      <c r="A2289" s="2" t="s">
        <v>106</v>
      </c>
      <c r="B2289" s="3">
        <v>44391.5</v>
      </c>
      <c r="C2289" s="1" t="str">
        <f t="shared" si="37"/>
        <v>21196</v>
      </c>
      <c r="D2289" t="s">
        <v>31</v>
      </c>
      <c r="E2289" s="2" t="s">
        <v>39</v>
      </c>
      <c r="F2289" s="2" t="str">
        <f>_xlfn.XLOOKUP(Table1_1[[#This Row],[CAS_rn]],[1]analyte_order!$C:$C,[1]analyte_order!$B:$B)</f>
        <v>PFUnA</v>
      </c>
      <c r="G2289" t="s">
        <v>116</v>
      </c>
      <c r="H2289" s="2">
        <f>_xlfn.XLOOKUP(Table1_1[[#This Row],[CAS_rn]],[1]analyte_order!$C:$C,[1]analyte_order!$E:$E)</f>
        <v>8</v>
      </c>
      <c r="I2289">
        <v>4.9500000000000002E-2</v>
      </c>
    </row>
    <row r="2290" spans="1:9" x14ac:dyDescent="0.3">
      <c r="A2290" s="2" t="s">
        <v>106</v>
      </c>
      <c r="B2290" s="3">
        <v>44391.5</v>
      </c>
      <c r="C2290" s="1" t="str">
        <f t="shared" si="37"/>
        <v>21196</v>
      </c>
      <c r="D2290" t="s">
        <v>31</v>
      </c>
      <c r="E2290" s="2" t="s">
        <v>39</v>
      </c>
      <c r="F2290" s="2" t="str">
        <f>_xlfn.XLOOKUP(Table1_1[[#This Row],[CAS_rn]],[1]analyte_order!$C:$C,[1]analyte_order!$B:$B)</f>
        <v>PFDoA</v>
      </c>
      <c r="G2290" t="s">
        <v>117</v>
      </c>
      <c r="H2290" s="2">
        <f>_xlfn.XLOOKUP(Table1_1[[#This Row],[CAS_rn]],[1]analyte_order!$C:$C,[1]analyte_order!$E:$E)</f>
        <v>9</v>
      </c>
      <c r="I2290">
        <v>4.9500000000000002E-2</v>
      </c>
    </row>
    <row r="2291" spans="1:9" x14ac:dyDescent="0.3">
      <c r="A2291" s="2" t="s">
        <v>106</v>
      </c>
      <c r="B2291" s="3">
        <v>44391.5</v>
      </c>
      <c r="C2291" s="1" t="str">
        <f t="shared" si="37"/>
        <v>21196</v>
      </c>
      <c r="D2291" t="s">
        <v>31</v>
      </c>
      <c r="E2291" s="2" t="s">
        <v>39</v>
      </c>
      <c r="F2291" s="2" t="str">
        <f>_xlfn.XLOOKUP(Table1_1[[#This Row],[CAS_rn]],[1]analyte_order!$C:$C,[1]analyte_order!$B:$B)</f>
        <v>PFTrDA</v>
      </c>
      <c r="G2291" t="s">
        <v>118</v>
      </c>
      <c r="H2291" s="2">
        <f>_xlfn.XLOOKUP(Table1_1[[#This Row],[CAS_rn]],[1]analyte_order!$C:$C,[1]analyte_order!$E:$E)</f>
        <v>10</v>
      </c>
      <c r="I2291">
        <v>4.9500000000000002E-2</v>
      </c>
    </row>
    <row r="2292" spans="1:9" x14ac:dyDescent="0.3">
      <c r="A2292" s="2" t="s">
        <v>106</v>
      </c>
      <c r="B2292" s="3">
        <v>44391.5</v>
      </c>
      <c r="C2292" s="1" t="str">
        <f t="shared" si="37"/>
        <v>21196</v>
      </c>
      <c r="D2292" t="s">
        <v>31</v>
      </c>
      <c r="E2292" s="2" t="s">
        <v>39</v>
      </c>
      <c r="F2292" s="2" t="str">
        <f>_xlfn.XLOOKUP(Table1_1[[#This Row],[CAS_rn]],[1]analyte_order!$C:$C,[1]analyte_order!$B:$B)</f>
        <v>PFTeDA</v>
      </c>
      <c r="G2292" t="s">
        <v>119</v>
      </c>
      <c r="H2292" s="2">
        <f>_xlfn.XLOOKUP(Table1_1[[#This Row],[CAS_rn]],[1]analyte_order!$C:$C,[1]analyte_order!$E:$E)</f>
        <v>11</v>
      </c>
      <c r="I2292">
        <v>4.9500000000000002E-2</v>
      </c>
    </row>
    <row r="2293" spans="1:9" x14ac:dyDescent="0.3">
      <c r="A2293" s="2" t="s">
        <v>106</v>
      </c>
      <c r="B2293" s="3">
        <v>44391.5</v>
      </c>
      <c r="C2293" s="1" t="str">
        <f t="shared" si="37"/>
        <v>21196</v>
      </c>
      <c r="D2293" t="s">
        <v>31</v>
      </c>
      <c r="E2293" s="2" t="s">
        <v>39</v>
      </c>
      <c r="F2293" s="2" t="str">
        <f>_xlfn.XLOOKUP(Table1_1[[#This Row],[CAS_rn]],[1]analyte_order!$C:$C,[1]analyte_order!$B:$B)</f>
        <v>PFBS</v>
      </c>
      <c r="G2293" t="s">
        <v>120</v>
      </c>
      <c r="H2293" s="2">
        <f>_xlfn.XLOOKUP(Table1_1[[#This Row],[CAS_rn]],[1]analyte_order!$C:$C,[1]analyte_order!$E:$E)</f>
        <v>14</v>
      </c>
      <c r="I2293">
        <v>4.9500000000000002E-2</v>
      </c>
    </row>
    <row r="2294" spans="1:9" x14ac:dyDescent="0.3">
      <c r="A2294" s="2" t="s">
        <v>106</v>
      </c>
      <c r="B2294" s="3">
        <v>44391.5</v>
      </c>
      <c r="C2294" s="1" t="str">
        <f t="shared" si="37"/>
        <v>21196</v>
      </c>
      <c r="D2294" t="s">
        <v>31</v>
      </c>
      <c r="E2294" s="2" t="s">
        <v>39</v>
      </c>
      <c r="F2294" s="2" t="str">
        <f>_xlfn.XLOOKUP(Table1_1[[#This Row],[CAS_rn]],[1]analyte_order!$C:$C,[1]analyte_order!$B:$B)</f>
        <v>PFPeS</v>
      </c>
      <c r="G2294" t="s">
        <v>121</v>
      </c>
      <c r="H2294" s="2">
        <f>_xlfn.XLOOKUP(Table1_1[[#This Row],[CAS_rn]],[1]analyte_order!$C:$C,[1]analyte_order!$E:$E)</f>
        <v>15</v>
      </c>
      <c r="I2294">
        <v>4.9500000000000002E-2</v>
      </c>
    </row>
    <row r="2295" spans="1:9" x14ac:dyDescent="0.3">
      <c r="A2295" s="2" t="s">
        <v>106</v>
      </c>
      <c r="B2295" s="3">
        <v>44391.5</v>
      </c>
      <c r="C2295" s="1" t="str">
        <f t="shared" si="37"/>
        <v>21196</v>
      </c>
      <c r="D2295" t="s">
        <v>31</v>
      </c>
      <c r="E2295" s="2" t="s">
        <v>39</v>
      </c>
      <c r="F2295" s="2" t="str">
        <f>_xlfn.XLOOKUP(Table1_1[[#This Row],[CAS_rn]],[1]analyte_order!$C:$C,[1]analyte_order!$B:$B)</f>
        <v>PFHxS</v>
      </c>
      <c r="G2295" t="s">
        <v>122</v>
      </c>
      <c r="H2295" s="2">
        <f>_xlfn.XLOOKUP(Table1_1[[#This Row],[CAS_rn]],[1]analyte_order!$C:$C,[1]analyte_order!$E:$E)</f>
        <v>16</v>
      </c>
      <c r="I2295">
        <v>0.59</v>
      </c>
    </row>
    <row r="2296" spans="1:9" x14ac:dyDescent="0.3">
      <c r="A2296" s="2" t="s">
        <v>106</v>
      </c>
      <c r="B2296" s="3">
        <v>44391.5</v>
      </c>
      <c r="C2296" s="1" t="str">
        <f t="shared" si="37"/>
        <v>21196</v>
      </c>
      <c r="D2296" t="s">
        <v>31</v>
      </c>
      <c r="E2296" s="2" t="s">
        <v>39</v>
      </c>
      <c r="F2296" s="2" t="str">
        <f>_xlfn.XLOOKUP(Table1_1[[#This Row],[CAS_rn]],[1]analyte_order!$C:$C,[1]analyte_order!$B:$B)</f>
        <v>PFHpS</v>
      </c>
      <c r="G2296" t="s">
        <v>123</v>
      </c>
      <c r="H2296" s="2">
        <f>_xlfn.XLOOKUP(Table1_1[[#This Row],[CAS_rn]],[1]analyte_order!$C:$C,[1]analyte_order!$E:$E)</f>
        <v>17</v>
      </c>
      <c r="I2296">
        <v>4.9500000000000002E-2</v>
      </c>
    </row>
    <row r="2297" spans="1:9" x14ac:dyDescent="0.3">
      <c r="A2297" s="2" t="s">
        <v>106</v>
      </c>
      <c r="B2297" s="3">
        <v>44391.5</v>
      </c>
      <c r="C2297" s="1" t="str">
        <f t="shared" si="37"/>
        <v>21196</v>
      </c>
      <c r="D2297" t="s">
        <v>31</v>
      </c>
      <c r="E2297" s="2" t="s">
        <v>39</v>
      </c>
      <c r="F2297" s="2" t="str">
        <f>_xlfn.XLOOKUP(Table1_1[[#This Row],[CAS_rn]],[1]analyte_order!$C:$C,[1]analyte_order!$B:$B)</f>
        <v>PFOS</v>
      </c>
      <c r="G2297" t="s">
        <v>124</v>
      </c>
      <c r="H2297" s="2">
        <f>_xlfn.XLOOKUP(Table1_1[[#This Row],[CAS_rn]],[1]analyte_order!$C:$C,[1]analyte_order!$E:$E)</f>
        <v>18</v>
      </c>
      <c r="I2297">
        <v>2.2999999999999998</v>
      </c>
    </row>
    <row r="2298" spans="1:9" x14ac:dyDescent="0.3">
      <c r="A2298" s="2" t="s">
        <v>106</v>
      </c>
      <c r="B2298" s="3">
        <v>44391.5</v>
      </c>
      <c r="C2298" s="1" t="str">
        <f t="shared" si="37"/>
        <v>21196</v>
      </c>
      <c r="D2298" t="s">
        <v>31</v>
      </c>
      <c r="E2298" s="2" t="s">
        <v>39</v>
      </c>
      <c r="F2298" s="2" t="str">
        <f>_xlfn.XLOOKUP(Table1_1[[#This Row],[CAS_rn]],[1]analyte_order!$C:$C,[1]analyte_order!$B:$B)</f>
        <v>PFNS</v>
      </c>
      <c r="G2298" t="s">
        <v>125</v>
      </c>
      <c r="H2298" s="2">
        <f>_xlfn.XLOOKUP(Table1_1[[#This Row],[CAS_rn]],[1]analyte_order!$C:$C,[1]analyte_order!$E:$E)</f>
        <v>19</v>
      </c>
      <c r="I2298">
        <v>4.9500000000000002E-2</v>
      </c>
    </row>
    <row r="2299" spans="1:9" x14ac:dyDescent="0.3">
      <c r="A2299" s="2" t="s">
        <v>106</v>
      </c>
      <c r="B2299" s="3">
        <v>44391.5</v>
      </c>
      <c r="C2299" s="1" t="str">
        <f t="shared" si="37"/>
        <v>21196</v>
      </c>
      <c r="D2299" t="s">
        <v>31</v>
      </c>
      <c r="E2299" s="2" t="s">
        <v>39</v>
      </c>
      <c r="F2299" s="2" t="str">
        <f>_xlfn.XLOOKUP(Table1_1[[#This Row],[CAS_rn]],[1]analyte_order!$C:$C,[1]analyte_order!$B:$B)</f>
        <v>PFDoS</v>
      </c>
      <c r="G2299" t="s">
        <v>126</v>
      </c>
      <c r="H2299" s="2">
        <f>_xlfn.XLOOKUP(Table1_1[[#This Row],[CAS_rn]],[1]analyte_order!$C:$C,[1]analyte_order!$E:$E)</f>
        <v>21</v>
      </c>
      <c r="I2299">
        <v>4.9500000000000002E-2</v>
      </c>
    </row>
    <row r="2300" spans="1:9" x14ac:dyDescent="0.3">
      <c r="A2300" s="2" t="s">
        <v>106</v>
      </c>
      <c r="B2300" s="3">
        <v>44391.5</v>
      </c>
      <c r="C2300" s="1" t="str">
        <f t="shared" si="37"/>
        <v>21196</v>
      </c>
      <c r="D2300" t="s">
        <v>31</v>
      </c>
      <c r="E2300" s="2" t="s">
        <v>39</v>
      </c>
      <c r="F2300" s="2" t="str">
        <f>_xlfn.XLOOKUP(Table1_1[[#This Row],[CAS_rn]],[1]analyte_order!$C:$C,[1]analyte_order!$B:$B)</f>
        <v>4:2 FTS</v>
      </c>
      <c r="G2300" t="s">
        <v>127</v>
      </c>
      <c r="H2300" s="2">
        <f>_xlfn.XLOOKUP(Table1_1[[#This Row],[CAS_rn]],[1]analyte_order!$C:$C,[1]analyte_order!$E:$E)</f>
        <v>22</v>
      </c>
      <c r="I2300">
        <v>0.2</v>
      </c>
    </row>
    <row r="2301" spans="1:9" x14ac:dyDescent="0.3">
      <c r="A2301" s="2" t="s">
        <v>106</v>
      </c>
      <c r="B2301" s="3">
        <v>44391.5</v>
      </c>
      <c r="C2301" s="1" t="str">
        <f t="shared" si="37"/>
        <v>21196</v>
      </c>
      <c r="D2301" t="s">
        <v>31</v>
      </c>
      <c r="E2301" s="2" t="s">
        <v>39</v>
      </c>
      <c r="F2301" s="2" t="str">
        <f>_xlfn.XLOOKUP(Table1_1[[#This Row],[CAS_rn]],[1]analyte_order!$C:$C,[1]analyte_order!$B:$B)</f>
        <v>6:2 FTS</v>
      </c>
      <c r="G2301" t="s">
        <v>128</v>
      </c>
      <c r="H2301" s="2">
        <f>_xlfn.XLOOKUP(Table1_1[[#This Row],[CAS_rn]],[1]analyte_order!$C:$C,[1]analyte_order!$E:$E)</f>
        <v>23</v>
      </c>
      <c r="I2301">
        <v>0.39500000000000002</v>
      </c>
    </row>
    <row r="2302" spans="1:9" x14ac:dyDescent="0.3">
      <c r="A2302" s="2" t="s">
        <v>106</v>
      </c>
      <c r="B2302" s="3">
        <v>44391.5</v>
      </c>
      <c r="C2302" s="1" t="str">
        <f t="shared" si="37"/>
        <v>21196</v>
      </c>
      <c r="D2302" t="s">
        <v>31</v>
      </c>
      <c r="E2302" s="2" t="s">
        <v>39</v>
      </c>
      <c r="F2302" s="2" t="str">
        <f>_xlfn.XLOOKUP(Table1_1[[#This Row],[CAS_rn]],[1]analyte_order!$C:$C,[1]analyte_order!$B:$B)</f>
        <v>8:2 FTS</v>
      </c>
      <c r="G2302" t="s">
        <v>129</v>
      </c>
      <c r="H2302" s="2">
        <f>_xlfn.XLOOKUP(Table1_1[[#This Row],[CAS_rn]],[1]analyte_order!$C:$C,[1]analyte_order!$E:$E)</f>
        <v>24</v>
      </c>
      <c r="I2302">
        <v>0.39500000000000002</v>
      </c>
    </row>
    <row r="2303" spans="1:9" x14ac:dyDescent="0.3">
      <c r="A2303" s="2" t="s">
        <v>106</v>
      </c>
      <c r="B2303" s="3">
        <v>44391.5</v>
      </c>
      <c r="C2303" s="1" t="str">
        <f t="shared" si="37"/>
        <v>21196</v>
      </c>
      <c r="D2303" t="s">
        <v>31</v>
      </c>
      <c r="E2303" s="2" t="s">
        <v>39</v>
      </c>
      <c r="F2303" s="2" t="str">
        <f>_xlfn.XLOOKUP(Table1_1[[#This Row],[CAS_rn]],[1]analyte_order!$C:$C,[1]analyte_order!$B:$B)</f>
        <v>FOSA</v>
      </c>
      <c r="G2303" t="s">
        <v>130</v>
      </c>
      <c r="H2303" s="2">
        <f>_xlfn.XLOOKUP(Table1_1[[#This Row],[CAS_rn]],[1]analyte_order!$C:$C,[1]analyte_order!$E:$E)</f>
        <v>28</v>
      </c>
      <c r="I2303">
        <v>0.13</v>
      </c>
    </row>
    <row r="2304" spans="1:9" x14ac:dyDescent="0.3">
      <c r="A2304" s="2" t="s">
        <v>106</v>
      </c>
      <c r="B2304" s="3">
        <v>44391.5</v>
      </c>
      <c r="C2304" s="1" t="str">
        <f t="shared" si="37"/>
        <v>21196</v>
      </c>
      <c r="D2304" t="s">
        <v>31</v>
      </c>
      <c r="E2304" s="2" t="s">
        <v>39</v>
      </c>
      <c r="F2304" s="2" t="str">
        <f>_xlfn.XLOOKUP(Table1_1[[#This Row],[CAS_rn]],[1]analyte_order!$C:$C,[1]analyte_order!$B:$B)</f>
        <v>N-MeFOSA</v>
      </c>
      <c r="G2304" t="s">
        <v>131</v>
      </c>
      <c r="H2304" s="2">
        <f>_xlfn.XLOOKUP(Table1_1[[#This Row],[CAS_rn]],[1]analyte_order!$C:$C,[1]analyte_order!$E:$E)</f>
        <v>30</v>
      </c>
      <c r="I2304">
        <v>4.9500000000000002E-2</v>
      </c>
    </row>
    <row r="2305" spans="1:9" x14ac:dyDescent="0.3">
      <c r="A2305" s="2" t="s">
        <v>106</v>
      </c>
      <c r="B2305" s="3">
        <v>44391.5</v>
      </c>
      <c r="C2305" s="1" t="str">
        <f t="shared" si="37"/>
        <v>21196</v>
      </c>
      <c r="D2305" t="s">
        <v>31</v>
      </c>
      <c r="E2305" s="2" t="s">
        <v>39</v>
      </c>
      <c r="F2305" s="2" t="str">
        <f>_xlfn.XLOOKUP(Table1_1[[#This Row],[CAS_rn]],[1]analyte_order!$C:$C,[1]analyte_order!$B:$B)</f>
        <v>N-MeFOSAA</v>
      </c>
      <c r="G2305" t="s">
        <v>132</v>
      </c>
      <c r="H2305" s="2">
        <f>_xlfn.XLOOKUP(Table1_1[[#This Row],[CAS_rn]],[1]analyte_order!$C:$C,[1]analyte_order!$E:$E)</f>
        <v>26</v>
      </c>
      <c r="I2305">
        <v>4.9500000000000002E-2</v>
      </c>
    </row>
    <row r="2306" spans="1:9" x14ac:dyDescent="0.3">
      <c r="A2306" s="2" t="s">
        <v>106</v>
      </c>
      <c r="B2306" s="3">
        <v>44391.5</v>
      </c>
      <c r="C2306" s="1" t="str">
        <f t="shared" si="37"/>
        <v>21196</v>
      </c>
      <c r="D2306" t="s">
        <v>31</v>
      </c>
      <c r="E2306" s="2" t="s">
        <v>39</v>
      </c>
      <c r="F2306" s="2" t="str">
        <f>_xlfn.XLOOKUP(Table1_1[[#This Row],[CAS_rn]],[1]analyte_order!$C:$C,[1]analyte_order!$B:$B)</f>
        <v>N-EtFOSA</v>
      </c>
      <c r="G2306" t="s">
        <v>133</v>
      </c>
      <c r="H2306" s="2">
        <f>_xlfn.XLOOKUP(Table1_1[[#This Row],[CAS_rn]],[1]analyte_order!$C:$C,[1]analyte_order!$E:$E)</f>
        <v>31</v>
      </c>
      <c r="I2306">
        <v>4.9500000000000002E-2</v>
      </c>
    </row>
    <row r="2307" spans="1:9" x14ac:dyDescent="0.3">
      <c r="A2307" s="2" t="s">
        <v>106</v>
      </c>
      <c r="B2307" s="3">
        <v>44391.5</v>
      </c>
      <c r="C2307" s="1" t="str">
        <f t="shared" si="37"/>
        <v>21196</v>
      </c>
      <c r="D2307" t="s">
        <v>31</v>
      </c>
      <c r="E2307" s="2" t="s">
        <v>39</v>
      </c>
      <c r="F2307" s="2" t="str">
        <f>_xlfn.XLOOKUP(Table1_1[[#This Row],[CAS_rn]],[1]analyte_order!$C:$C,[1]analyte_order!$B:$B)</f>
        <v>N-EtFOSAA</v>
      </c>
      <c r="G2307" t="s">
        <v>134</v>
      </c>
      <c r="H2307" s="2">
        <f>_xlfn.XLOOKUP(Table1_1[[#This Row],[CAS_rn]],[1]analyte_order!$C:$C,[1]analyte_order!$E:$E)</f>
        <v>27</v>
      </c>
      <c r="I2307">
        <v>4.9500000000000002E-2</v>
      </c>
    </row>
    <row r="2308" spans="1:9" x14ac:dyDescent="0.3">
      <c r="A2308" s="2" t="s">
        <v>106</v>
      </c>
      <c r="B2308" s="3">
        <v>44391.5</v>
      </c>
      <c r="C2308" s="1" t="str">
        <f t="shared" si="37"/>
        <v>21196</v>
      </c>
      <c r="D2308" t="s">
        <v>31</v>
      </c>
      <c r="E2308" s="2" t="s">
        <v>39</v>
      </c>
      <c r="F2308" s="2" t="str">
        <f>_xlfn.XLOOKUP(Table1_1[[#This Row],[CAS_rn]],[1]analyte_order!$C:$C,[1]analyte_order!$B:$B)</f>
        <v>N-MeFOSE</v>
      </c>
      <c r="G2308" t="s">
        <v>135</v>
      </c>
      <c r="H2308" s="2">
        <f>_xlfn.XLOOKUP(Table1_1[[#This Row],[CAS_rn]],[1]analyte_order!$C:$C,[1]analyte_order!$E:$E)</f>
        <v>32</v>
      </c>
      <c r="I2308">
        <v>0.495</v>
      </c>
    </row>
    <row r="2309" spans="1:9" x14ac:dyDescent="0.3">
      <c r="A2309" s="2" t="s">
        <v>106</v>
      </c>
      <c r="B2309" s="3">
        <v>44391.5</v>
      </c>
      <c r="C2309" s="1" t="str">
        <f t="shared" si="37"/>
        <v>21196</v>
      </c>
      <c r="D2309" t="s">
        <v>31</v>
      </c>
      <c r="E2309" s="2" t="s">
        <v>39</v>
      </c>
      <c r="F2309" s="2" t="str">
        <f>_xlfn.XLOOKUP(Table1_1[[#This Row],[CAS_rn]],[1]analyte_order!$C:$C,[1]analyte_order!$B:$B)</f>
        <v>N-EtFOSE</v>
      </c>
      <c r="G2309" t="s">
        <v>136</v>
      </c>
      <c r="H2309" s="2">
        <f>_xlfn.XLOOKUP(Table1_1[[#This Row],[CAS_rn]],[1]analyte_order!$C:$C,[1]analyte_order!$E:$E)</f>
        <v>33</v>
      </c>
      <c r="I2309">
        <v>0.495</v>
      </c>
    </row>
    <row r="2310" spans="1:9" x14ac:dyDescent="0.3">
      <c r="A2310" s="2" t="s">
        <v>106</v>
      </c>
      <c r="B2310" s="3">
        <v>44391.5</v>
      </c>
      <c r="C2310" s="1" t="str">
        <f t="shared" si="37"/>
        <v>21196</v>
      </c>
      <c r="D2310" t="s">
        <v>31</v>
      </c>
      <c r="E2310" s="2" t="s">
        <v>39</v>
      </c>
      <c r="F2310" s="2" t="str">
        <f>_xlfn.XLOOKUP(Table1_1[[#This Row],[CAS_rn]],[1]analyte_order!$C:$C,[1]analyte_order!$B:$B)</f>
        <v>HFPO-DA</v>
      </c>
      <c r="G2310" t="s">
        <v>137</v>
      </c>
      <c r="H2310" s="2">
        <f>_xlfn.XLOOKUP(Table1_1[[#This Row],[CAS_rn]],[1]analyte_order!$C:$C,[1]analyte_order!$E:$E)</f>
        <v>34</v>
      </c>
      <c r="I2310">
        <v>0.3</v>
      </c>
    </row>
    <row r="2311" spans="1:9" x14ac:dyDescent="0.3">
      <c r="A2311" s="2" t="s">
        <v>106</v>
      </c>
      <c r="B2311" s="3">
        <v>44391.5</v>
      </c>
      <c r="C2311" s="1" t="str">
        <f t="shared" si="37"/>
        <v>21196</v>
      </c>
      <c r="D2311" t="s">
        <v>31</v>
      </c>
      <c r="E2311" s="2" t="s">
        <v>39</v>
      </c>
      <c r="F2311" s="2" t="str">
        <f>_xlfn.XLOOKUP(Table1_1[[#This Row],[CAS_rn]],[1]analyte_order!$C:$C,[1]analyte_order!$B:$B)</f>
        <v>ADONA</v>
      </c>
      <c r="G2311" t="s">
        <v>138</v>
      </c>
      <c r="H2311" s="2">
        <f>_xlfn.XLOOKUP(Table1_1[[#This Row],[CAS_rn]],[1]analyte_order!$C:$C,[1]analyte_order!$E:$E)</f>
        <v>35</v>
      </c>
      <c r="I2311">
        <v>0.2</v>
      </c>
    </row>
    <row r="2312" spans="1:9" x14ac:dyDescent="0.3">
      <c r="A2312" s="2" t="s">
        <v>106</v>
      </c>
      <c r="B2312" s="3">
        <v>44391.5</v>
      </c>
      <c r="C2312" s="1" t="str">
        <f t="shared" si="37"/>
        <v>21196</v>
      </c>
      <c r="D2312" t="s">
        <v>31</v>
      </c>
      <c r="E2312" s="2" t="s">
        <v>39</v>
      </c>
      <c r="F2312" s="2" t="str">
        <f>_xlfn.XLOOKUP(Table1_1[[#This Row],[CAS_rn]],[1]analyte_order!$C:$C,[1]analyte_order!$B:$B)</f>
        <v>PFMBA</v>
      </c>
      <c r="G2312" t="s">
        <v>139</v>
      </c>
      <c r="H2312" s="2">
        <f>_xlfn.XLOOKUP(Table1_1[[#This Row],[CAS_rn]],[1]analyte_order!$C:$C,[1]analyte_order!$E:$E)</f>
        <v>48</v>
      </c>
      <c r="I2312">
        <v>0.1</v>
      </c>
    </row>
    <row r="2313" spans="1:9" x14ac:dyDescent="0.3">
      <c r="A2313" s="2" t="s">
        <v>106</v>
      </c>
      <c r="B2313" s="3">
        <v>44391.5</v>
      </c>
      <c r="C2313" s="1" t="str">
        <f t="shared" si="37"/>
        <v>21196</v>
      </c>
      <c r="D2313" t="s">
        <v>31</v>
      </c>
      <c r="E2313" s="2" t="s">
        <v>39</v>
      </c>
      <c r="F2313" s="2" t="str">
        <f>_xlfn.XLOOKUP(Table1_1[[#This Row],[CAS_rn]],[1]analyte_order!$C:$C,[1]analyte_order!$B:$B)</f>
        <v>NFDHA</v>
      </c>
      <c r="G2313" t="s">
        <v>140</v>
      </c>
      <c r="H2313" s="2">
        <f>_xlfn.XLOOKUP(Table1_1[[#This Row],[CAS_rn]],[1]analyte_order!$C:$C,[1]analyte_order!$E:$E)</f>
        <v>50</v>
      </c>
      <c r="I2313">
        <v>0.1</v>
      </c>
    </row>
    <row r="2314" spans="1:9" x14ac:dyDescent="0.3">
      <c r="A2314" s="2" t="s">
        <v>106</v>
      </c>
      <c r="B2314" s="3">
        <v>44391.5</v>
      </c>
      <c r="C2314" s="1" t="str">
        <f t="shared" si="37"/>
        <v>21196</v>
      </c>
      <c r="D2314" t="s">
        <v>31</v>
      </c>
      <c r="E2314" s="2" t="s">
        <v>39</v>
      </c>
      <c r="F2314" s="2" t="str">
        <f>_xlfn.XLOOKUP(Table1_1[[#This Row],[CAS_rn]],[1]analyte_order!$C:$C,[1]analyte_order!$B:$B)</f>
        <v>9Cl-PF3ONS</v>
      </c>
      <c r="G2314" t="s">
        <v>141</v>
      </c>
      <c r="H2314" s="2">
        <f>_xlfn.XLOOKUP(Table1_1[[#This Row],[CAS_rn]],[1]analyte_order!$C:$C,[1]analyte_order!$E:$E)</f>
        <v>36</v>
      </c>
      <c r="I2314">
        <v>0.2</v>
      </c>
    </row>
    <row r="2315" spans="1:9" x14ac:dyDescent="0.3">
      <c r="A2315" s="2" t="s">
        <v>106</v>
      </c>
      <c r="B2315" s="3">
        <v>44391.5</v>
      </c>
      <c r="C2315" s="1" t="str">
        <f t="shared" ref="C2315:C2378" si="38">TEXT(B2315,"yy")&amp;TEXT((B2315-DATEVALUE("1/1/"&amp;TEXT(B2315,"yy"))+1),"000")</f>
        <v>21196</v>
      </c>
      <c r="D2315" t="s">
        <v>31</v>
      </c>
      <c r="E2315" s="2" t="s">
        <v>39</v>
      </c>
      <c r="F2315" s="2" t="str">
        <f>_xlfn.XLOOKUP(Table1_1[[#This Row],[CAS_rn]],[1]analyte_order!$C:$C,[1]analyte_order!$B:$B)</f>
        <v>11Cl-PF3OUdS</v>
      </c>
      <c r="G2315" t="s">
        <v>142</v>
      </c>
      <c r="H2315" s="2">
        <f>_xlfn.XLOOKUP(Table1_1[[#This Row],[CAS_rn]],[1]analyte_order!$C:$C,[1]analyte_order!$E:$E)</f>
        <v>37</v>
      </c>
      <c r="I2315">
        <v>0.2</v>
      </c>
    </row>
    <row r="2316" spans="1:9" x14ac:dyDescent="0.3">
      <c r="A2316" s="2" t="s">
        <v>106</v>
      </c>
      <c r="B2316" s="3">
        <v>44391.5</v>
      </c>
      <c r="C2316" s="1" t="str">
        <f t="shared" si="38"/>
        <v>21196</v>
      </c>
      <c r="D2316" t="s">
        <v>31</v>
      </c>
      <c r="E2316" s="2" t="s">
        <v>39</v>
      </c>
      <c r="F2316" s="2" t="str">
        <f>_xlfn.XLOOKUP(Table1_1[[#This Row],[CAS_rn]],[1]analyte_order!$C:$C,[1]analyte_order!$B:$B)</f>
        <v>PFEESA</v>
      </c>
      <c r="G2316" t="s">
        <v>143</v>
      </c>
      <c r="H2316" s="2">
        <f>_xlfn.XLOOKUP(Table1_1[[#This Row],[CAS_rn]],[1]analyte_order!$C:$C,[1]analyte_order!$E:$E)</f>
        <v>47</v>
      </c>
      <c r="I2316">
        <v>0.1</v>
      </c>
    </row>
    <row r="2317" spans="1:9" x14ac:dyDescent="0.3">
      <c r="A2317" s="2" t="s">
        <v>106</v>
      </c>
      <c r="B2317" s="3">
        <v>44391.5</v>
      </c>
      <c r="C2317" s="1" t="str">
        <f t="shared" si="38"/>
        <v>21196</v>
      </c>
      <c r="D2317" t="s">
        <v>31</v>
      </c>
      <c r="E2317" s="2" t="s">
        <v>39</v>
      </c>
      <c r="F2317" s="2" t="str">
        <f>_xlfn.XLOOKUP(Table1_1[[#This Row],[CAS_rn]],[1]analyte_order!$C:$C,[1]analyte_order!$B:$B)</f>
        <v>3:3 FTCA</v>
      </c>
      <c r="G2317" t="s">
        <v>144</v>
      </c>
      <c r="H2317" s="2">
        <f>_xlfn.XLOOKUP(Table1_1[[#This Row],[CAS_rn]],[1]analyte_order!$C:$C,[1]analyte_order!$E:$E)</f>
        <v>38</v>
      </c>
      <c r="I2317">
        <v>0.25</v>
      </c>
    </row>
    <row r="2318" spans="1:9" x14ac:dyDescent="0.3">
      <c r="A2318" s="2" t="s">
        <v>106</v>
      </c>
      <c r="B2318" s="3">
        <v>44391.5</v>
      </c>
      <c r="C2318" s="1" t="str">
        <f t="shared" si="38"/>
        <v>21196</v>
      </c>
      <c r="D2318" t="s">
        <v>31</v>
      </c>
      <c r="E2318" s="2" t="s">
        <v>39</v>
      </c>
      <c r="F2318" s="2" t="str">
        <f>_xlfn.XLOOKUP(Table1_1[[#This Row],[CAS_rn]],[1]analyte_order!$C:$C,[1]analyte_order!$B:$B)</f>
        <v>5:3 FTCA</v>
      </c>
      <c r="G2318" t="s">
        <v>145</v>
      </c>
      <c r="H2318" s="2">
        <f>_xlfn.XLOOKUP(Table1_1[[#This Row],[CAS_rn]],[1]analyte_order!$C:$C,[1]analyte_order!$E:$E)</f>
        <v>39</v>
      </c>
      <c r="I2318">
        <v>1.25</v>
      </c>
    </row>
    <row r="2319" spans="1:9" x14ac:dyDescent="0.3">
      <c r="A2319" s="2" t="s">
        <v>106</v>
      </c>
      <c r="B2319" s="3">
        <v>44391.5</v>
      </c>
      <c r="C2319" s="1" t="str">
        <f t="shared" si="38"/>
        <v>21196</v>
      </c>
      <c r="D2319" t="s">
        <v>31</v>
      </c>
      <c r="E2319" s="2" t="s">
        <v>39</v>
      </c>
      <c r="F2319" s="2" t="str">
        <f>_xlfn.XLOOKUP(Table1_1[[#This Row],[CAS_rn]],[1]analyte_order!$C:$C,[1]analyte_order!$B:$B)</f>
        <v>7:3 FTCA</v>
      </c>
      <c r="G2319" t="s">
        <v>146</v>
      </c>
      <c r="H2319" s="2">
        <f>_xlfn.XLOOKUP(Table1_1[[#This Row],[CAS_rn]],[1]analyte_order!$C:$C,[1]analyte_order!$E:$E)</f>
        <v>40</v>
      </c>
      <c r="I2319">
        <v>1.25</v>
      </c>
    </row>
    <row r="2320" spans="1:9" x14ac:dyDescent="0.3">
      <c r="A2320" s="2" t="s">
        <v>106</v>
      </c>
      <c r="B2320" s="3">
        <v>44391.5</v>
      </c>
      <c r="C2320" s="1" t="str">
        <f t="shared" si="38"/>
        <v>21196</v>
      </c>
      <c r="D2320" t="s">
        <v>31</v>
      </c>
      <c r="E2320" s="2" t="s">
        <v>39</v>
      </c>
      <c r="F2320" s="2" t="str">
        <f>_xlfn.XLOOKUP(Table1_1[[#This Row],[CAS_rn]],[1]analyte_order!$C:$C,[1]analyte_order!$B:$B)</f>
        <v>PFDS</v>
      </c>
      <c r="G2320" t="s">
        <v>147</v>
      </c>
      <c r="H2320" s="2">
        <f>_xlfn.XLOOKUP(Table1_1[[#This Row],[CAS_rn]],[1]analyte_order!$C:$C,[1]analyte_order!$E:$E)</f>
        <v>20</v>
      </c>
      <c r="I2320">
        <v>4.9500000000000002E-2</v>
      </c>
    </row>
    <row r="2321" spans="1:9" x14ac:dyDescent="0.3">
      <c r="A2321" s="2" t="s">
        <v>106</v>
      </c>
      <c r="B2321" s="3">
        <v>44391.5</v>
      </c>
      <c r="C2321" s="1" t="str">
        <f t="shared" si="38"/>
        <v>21196</v>
      </c>
      <c r="D2321" t="s">
        <v>31</v>
      </c>
      <c r="E2321" s="2" t="s">
        <v>39</v>
      </c>
      <c r="F2321" s="2" t="str">
        <f>_xlfn.XLOOKUP(Table1_1[[#This Row],[CAS_rn]],[1]analyte_order!$C:$C,[1]analyte_order!$B:$B)</f>
        <v>PFMPA</v>
      </c>
      <c r="G2321" t="s">
        <v>148</v>
      </c>
      <c r="H2321" s="2">
        <f>_xlfn.XLOOKUP(Table1_1[[#This Row],[CAS_rn]],[1]analyte_order!$C:$C,[1]analyte_order!$E:$E)</f>
        <v>49</v>
      </c>
      <c r="I2321">
        <v>0.1</v>
      </c>
    </row>
    <row r="2322" spans="1:9" x14ac:dyDescent="0.3">
      <c r="A2322" s="2" t="s">
        <v>107</v>
      </c>
      <c r="B2322" s="3">
        <v>44391.5</v>
      </c>
      <c r="C2322" s="1" t="str">
        <f t="shared" si="38"/>
        <v>21196</v>
      </c>
      <c r="D2322" t="s">
        <v>33</v>
      </c>
      <c r="E2322" s="2" t="s">
        <v>39</v>
      </c>
      <c r="F2322" s="2" t="str">
        <f>_xlfn.XLOOKUP(Table1_1[[#This Row],[CAS_rn]],[1]analyte_order!$C:$C,[1]analyte_order!$B:$B)</f>
        <v>PFBA</v>
      </c>
      <c r="G2322" t="s">
        <v>109</v>
      </c>
      <c r="H2322" s="2">
        <f>_xlfn.XLOOKUP(Table1_1[[#This Row],[CAS_rn]],[1]analyte_order!$C:$C,[1]analyte_order!$E:$E)</f>
        <v>1</v>
      </c>
      <c r="I2322">
        <v>0.2</v>
      </c>
    </row>
    <row r="2323" spans="1:9" x14ac:dyDescent="0.3">
      <c r="A2323" s="2" t="s">
        <v>107</v>
      </c>
      <c r="B2323" s="3">
        <v>44391.5</v>
      </c>
      <c r="C2323" s="1" t="str">
        <f t="shared" si="38"/>
        <v>21196</v>
      </c>
      <c r="D2323" t="s">
        <v>33</v>
      </c>
      <c r="E2323" s="2" t="s">
        <v>39</v>
      </c>
      <c r="F2323" s="2" t="str">
        <f>_xlfn.XLOOKUP(Table1_1[[#This Row],[CAS_rn]],[1]analyte_order!$C:$C,[1]analyte_order!$B:$B)</f>
        <v>PFPeA</v>
      </c>
      <c r="G2323" t="s">
        <v>110</v>
      </c>
      <c r="H2323" s="2">
        <f>_xlfn.XLOOKUP(Table1_1[[#This Row],[CAS_rn]],[1]analyte_order!$C:$C,[1]analyte_order!$E:$E)</f>
        <v>2</v>
      </c>
      <c r="I2323">
        <v>0.1</v>
      </c>
    </row>
    <row r="2324" spans="1:9" x14ac:dyDescent="0.3">
      <c r="A2324" s="2" t="s">
        <v>107</v>
      </c>
      <c r="B2324" s="3">
        <v>44391.5</v>
      </c>
      <c r="C2324" s="1" t="str">
        <f t="shared" si="38"/>
        <v>21196</v>
      </c>
      <c r="D2324" t="s">
        <v>33</v>
      </c>
      <c r="E2324" s="2" t="s">
        <v>39</v>
      </c>
      <c r="F2324" s="2" t="str">
        <f>_xlfn.XLOOKUP(Table1_1[[#This Row],[CAS_rn]],[1]analyte_order!$C:$C,[1]analyte_order!$B:$B)</f>
        <v>PFHxA</v>
      </c>
      <c r="G2324" t="s">
        <v>111</v>
      </c>
      <c r="H2324" s="2">
        <f>_xlfn.XLOOKUP(Table1_1[[#This Row],[CAS_rn]],[1]analyte_order!$C:$C,[1]analyte_order!$E:$E)</f>
        <v>3</v>
      </c>
      <c r="I2324">
        <v>0.14000000000000001</v>
      </c>
    </row>
    <row r="2325" spans="1:9" x14ac:dyDescent="0.3">
      <c r="A2325" s="2" t="s">
        <v>107</v>
      </c>
      <c r="B2325" s="3">
        <v>44391.5</v>
      </c>
      <c r="C2325" s="1" t="str">
        <f t="shared" si="38"/>
        <v>21196</v>
      </c>
      <c r="D2325" t="s">
        <v>33</v>
      </c>
      <c r="E2325" s="2" t="s">
        <v>39</v>
      </c>
      <c r="F2325" s="2" t="str">
        <f>_xlfn.XLOOKUP(Table1_1[[#This Row],[CAS_rn]],[1]analyte_order!$C:$C,[1]analyte_order!$B:$B)</f>
        <v>PFHpA</v>
      </c>
      <c r="G2325" t="s">
        <v>112</v>
      </c>
      <c r="H2325" s="2">
        <f>_xlfn.XLOOKUP(Table1_1[[#This Row],[CAS_rn]],[1]analyte_order!$C:$C,[1]analyte_order!$E:$E)</f>
        <v>4</v>
      </c>
      <c r="I2325">
        <v>0.09</v>
      </c>
    </row>
    <row r="2326" spans="1:9" x14ac:dyDescent="0.3">
      <c r="A2326" s="2" t="s">
        <v>107</v>
      </c>
      <c r="B2326" s="3">
        <v>44391.5</v>
      </c>
      <c r="C2326" s="1" t="str">
        <f t="shared" si="38"/>
        <v>21196</v>
      </c>
      <c r="D2326" t="s">
        <v>33</v>
      </c>
      <c r="E2326" s="2" t="s">
        <v>39</v>
      </c>
      <c r="F2326" s="2" t="str">
        <f>_xlfn.XLOOKUP(Table1_1[[#This Row],[CAS_rn]],[1]analyte_order!$C:$C,[1]analyte_order!$B:$B)</f>
        <v>PFOA</v>
      </c>
      <c r="G2326" t="s">
        <v>113</v>
      </c>
      <c r="H2326" s="2">
        <f>_xlfn.XLOOKUP(Table1_1[[#This Row],[CAS_rn]],[1]analyte_order!$C:$C,[1]analyte_order!$E:$E)</f>
        <v>5</v>
      </c>
      <c r="I2326">
        <v>0.23</v>
      </c>
    </row>
    <row r="2327" spans="1:9" x14ac:dyDescent="0.3">
      <c r="A2327" s="2" t="s">
        <v>107</v>
      </c>
      <c r="B2327" s="3">
        <v>44391.5</v>
      </c>
      <c r="C2327" s="1" t="str">
        <f t="shared" si="38"/>
        <v>21196</v>
      </c>
      <c r="D2327" t="s">
        <v>33</v>
      </c>
      <c r="E2327" s="2" t="s">
        <v>39</v>
      </c>
      <c r="F2327" s="2" t="str">
        <f>_xlfn.XLOOKUP(Table1_1[[#This Row],[CAS_rn]],[1]analyte_order!$C:$C,[1]analyte_order!$B:$B)</f>
        <v>PFNA</v>
      </c>
      <c r="G2327" t="s">
        <v>114</v>
      </c>
      <c r="H2327" s="2">
        <f>_xlfn.XLOOKUP(Table1_1[[#This Row],[CAS_rn]],[1]analyte_order!$C:$C,[1]analyte_order!$E:$E)</f>
        <v>6</v>
      </c>
      <c r="I2327">
        <v>4.9500000000000002E-2</v>
      </c>
    </row>
    <row r="2328" spans="1:9" x14ac:dyDescent="0.3">
      <c r="A2328" s="2" t="s">
        <v>107</v>
      </c>
      <c r="B2328" s="3">
        <v>44391.5</v>
      </c>
      <c r="C2328" s="1" t="str">
        <f t="shared" si="38"/>
        <v>21196</v>
      </c>
      <c r="D2328" t="s">
        <v>33</v>
      </c>
      <c r="E2328" s="2" t="s">
        <v>39</v>
      </c>
      <c r="F2328" s="2" t="str">
        <f>_xlfn.XLOOKUP(Table1_1[[#This Row],[CAS_rn]],[1]analyte_order!$C:$C,[1]analyte_order!$B:$B)</f>
        <v>PFDA</v>
      </c>
      <c r="G2328" t="s">
        <v>115</v>
      </c>
      <c r="H2328" s="2">
        <f>_xlfn.XLOOKUP(Table1_1[[#This Row],[CAS_rn]],[1]analyte_order!$C:$C,[1]analyte_order!$E:$E)</f>
        <v>7</v>
      </c>
      <c r="I2328">
        <v>4.9500000000000002E-2</v>
      </c>
    </row>
    <row r="2329" spans="1:9" x14ac:dyDescent="0.3">
      <c r="A2329" s="2" t="s">
        <v>107</v>
      </c>
      <c r="B2329" s="3">
        <v>44391.5</v>
      </c>
      <c r="C2329" s="1" t="str">
        <f t="shared" si="38"/>
        <v>21196</v>
      </c>
      <c r="D2329" t="s">
        <v>33</v>
      </c>
      <c r="E2329" s="2" t="s">
        <v>39</v>
      </c>
      <c r="F2329" s="2" t="str">
        <f>_xlfn.XLOOKUP(Table1_1[[#This Row],[CAS_rn]],[1]analyte_order!$C:$C,[1]analyte_order!$B:$B)</f>
        <v>PFUnA</v>
      </c>
      <c r="G2329" t="s">
        <v>116</v>
      </c>
      <c r="H2329" s="2">
        <f>_xlfn.XLOOKUP(Table1_1[[#This Row],[CAS_rn]],[1]analyte_order!$C:$C,[1]analyte_order!$E:$E)</f>
        <v>8</v>
      </c>
      <c r="I2329">
        <v>4.9500000000000002E-2</v>
      </c>
    </row>
    <row r="2330" spans="1:9" x14ac:dyDescent="0.3">
      <c r="A2330" s="2" t="s">
        <v>107</v>
      </c>
      <c r="B2330" s="3">
        <v>44391.5</v>
      </c>
      <c r="C2330" s="1" t="str">
        <f t="shared" si="38"/>
        <v>21196</v>
      </c>
      <c r="D2330" t="s">
        <v>33</v>
      </c>
      <c r="E2330" s="2" t="s">
        <v>39</v>
      </c>
      <c r="F2330" s="2" t="str">
        <f>_xlfn.XLOOKUP(Table1_1[[#This Row],[CAS_rn]],[1]analyte_order!$C:$C,[1]analyte_order!$B:$B)</f>
        <v>PFDoA</v>
      </c>
      <c r="G2330" t="s">
        <v>117</v>
      </c>
      <c r="H2330" s="2">
        <f>_xlfn.XLOOKUP(Table1_1[[#This Row],[CAS_rn]],[1]analyte_order!$C:$C,[1]analyte_order!$E:$E)</f>
        <v>9</v>
      </c>
      <c r="I2330">
        <v>4.9500000000000002E-2</v>
      </c>
    </row>
    <row r="2331" spans="1:9" x14ac:dyDescent="0.3">
      <c r="A2331" s="2" t="s">
        <v>107</v>
      </c>
      <c r="B2331" s="3">
        <v>44391.5</v>
      </c>
      <c r="C2331" s="1" t="str">
        <f t="shared" si="38"/>
        <v>21196</v>
      </c>
      <c r="D2331" t="s">
        <v>33</v>
      </c>
      <c r="E2331" s="2" t="s">
        <v>39</v>
      </c>
      <c r="F2331" s="2" t="str">
        <f>_xlfn.XLOOKUP(Table1_1[[#This Row],[CAS_rn]],[1]analyte_order!$C:$C,[1]analyte_order!$B:$B)</f>
        <v>PFTrDA</v>
      </c>
      <c r="G2331" t="s">
        <v>118</v>
      </c>
      <c r="H2331" s="2">
        <f>_xlfn.XLOOKUP(Table1_1[[#This Row],[CAS_rn]],[1]analyte_order!$C:$C,[1]analyte_order!$E:$E)</f>
        <v>10</v>
      </c>
      <c r="I2331">
        <v>4.9500000000000002E-2</v>
      </c>
    </row>
    <row r="2332" spans="1:9" x14ac:dyDescent="0.3">
      <c r="A2332" s="2" t="s">
        <v>107</v>
      </c>
      <c r="B2332" s="3">
        <v>44391.5</v>
      </c>
      <c r="C2332" s="1" t="str">
        <f t="shared" si="38"/>
        <v>21196</v>
      </c>
      <c r="D2332" t="s">
        <v>33</v>
      </c>
      <c r="E2332" s="2" t="s">
        <v>39</v>
      </c>
      <c r="F2332" s="2" t="str">
        <f>_xlfn.XLOOKUP(Table1_1[[#This Row],[CAS_rn]],[1]analyte_order!$C:$C,[1]analyte_order!$B:$B)</f>
        <v>PFTeDA</v>
      </c>
      <c r="G2332" t="s">
        <v>119</v>
      </c>
      <c r="H2332" s="2">
        <f>_xlfn.XLOOKUP(Table1_1[[#This Row],[CAS_rn]],[1]analyte_order!$C:$C,[1]analyte_order!$E:$E)</f>
        <v>11</v>
      </c>
      <c r="I2332">
        <v>4.9500000000000002E-2</v>
      </c>
    </row>
    <row r="2333" spans="1:9" x14ac:dyDescent="0.3">
      <c r="A2333" s="2" t="s">
        <v>107</v>
      </c>
      <c r="B2333" s="3">
        <v>44391.5</v>
      </c>
      <c r="C2333" s="1" t="str">
        <f t="shared" si="38"/>
        <v>21196</v>
      </c>
      <c r="D2333" t="s">
        <v>33</v>
      </c>
      <c r="E2333" s="2" t="s">
        <v>39</v>
      </c>
      <c r="F2333" s="2" t="str">
        <f>_xlfn.XLOOKUP(Table1_1[[#This Row],[CAS_rn]],[1]analyte_order!$C:$C,[1]analyte_order!$B:$B)</f>
        <v>PFBS</v>
      </c>
      <c r="G2333" t="s">
        <v>120</v>
      </c>
      <c r="H2333" s="2">
        <f>_xlfn.XLOOKUP(Table1_1[[#This Row],[CAS_rn]],[1]analyte_order!$C:$C,[1]analyte_order!$E:$E)</f>
        <v>14</v>
      </c>
      <c r="I2333">
        <v>4.9500000000000002E-2</v>
      </c>
    </row>
    <row r="2334" spans="1:9" x14ac:dyDescent="0.3">
      <c r="A2334" s="2" t="s">
        <v>107</v>
      </c>
      <c r="B2334" s="3">
        <v>44391.5</v>
      </c>
      <c r="C2334" s="1" t="str">
        <f t="shared" si="38"/>
        <v>21196</v>
      </c>
      <c r="D2334" t="s">
        <v>33</v>
      </c>
      <c r="E2334" s="2" t="s">
        <v>39</v>
      </c>
      <c r="F2334" s="2" t="str">
        <f>_xlfn.XLOOKUP(Table1_1[[#This Row],[CAS_rn]],[1]analyte_order!$C:$C,[1]analyte_order!$B:$B)</f>
        <v>PFPeS</v>
      </c>
      <c r="G2334" t="s">
        <v>121</v>
      </c>
      <c r="H2334" s="2">
        <f>_xlfn.XLOOKUP(Table1_1[[#This Row],[CAS_rn]],[1]analyte_order!$C:$C,[1]analyte_order!$E:$E)</f>
        <v>15</v>
      </c>
      <c r="I2334">
        <v>4.9500000000000002E-2</v>
      </c>
    </row>
    <row r="2335" spans="1:9" x14ac:dyDescent="0.3">
      <c r="A2335" s="2" t="s">
        <v>107</v>
      </c>
      <c r="B2335" s="3">
        <v>44391.5</v>
      </c>
      <c r="C2335" s="1" t="str">
        <f t="shared" si="38"/>
        <v>21196</v>
      </c>
      <c r="D2335" t="s">
        <v>33</v>
      </c>
      <c r="E2335" s="2" t="s">
        <v>39</v>
      </c>
      <c r="F2335" s="2" t="str">
        <f>_xlfn.XLOOKUP(Table1_1[[#This Row],[CAS_rn]],[1]analyte_order!$C:$C,[1]analyte_order!$B:$B)</f>
        <v>PFHxS</v>
      </c>
      <c r="G2335" t="s">
        <v>122</v>
      </c>
      <c r="H2335" s="2">
        <f>_xlfn.XLOOKUP(Table1_1[[#This Row],[CAS_rn]],[1]analyte_order!$C:$C,[1]analyte_order!$E:$E)</f>
        <v>16</v>
      </c>
      <c r="I2335">
        <v>0.45</v>
      </c>
    </row>
    <row r="2336" spans="1:9" x14ac:dyDescent="0.3">
      <c r="A2336" s="2" t="s">
        <v>107</v>
      </c>
      <c r="B2336" s="3">
        <v>44391.5</v>
      </c>
      <c r="C2336" s="1" t="str">
        <f t="shared" si="38"/>
        <v>21196</v>
      </c>
      <c r="D2336" t="s">
        <v>33</v>
      </c>
      <c r="E2336" s="2" t="s">
        <v>39</v>
      </c>
      <c r="F2336" s="2" t="str">
        <f>_xlfn.XLOOKUP(Table1_1[[#This Row],[CAS_rn]],[1]analyte_order!$C:$C,[1]analyte_order!$B:$B)</f>
        <v>PFHpS</v>
      </c>
      <c r="G2336" t="s">
        <v>123</v>
      </c>
      <c r="H2336" s="2">
        <f>_xlfn.XLOOKUP(Table1_1[[#This Row],[CAS_rn]],[1]analyte_order!$C:$C,[1]analyte_order!$E:$E)</f>
        <v>17</v>
      </c>
      <c r="I2336">
        <v>4.9500000000000002E-2</v>
      </c>
    </row>
    <row r="2337" spans="1:9" x14ac:dyDescent="0.3">
      <c r="A2337" s="2" t="s">
        <v>107</v>
      </c>
      <c r="B2337" s="3">
        <v>44391.5</v>
      </c>
      <c r="C2337" s="1" t="str">
        <f t="shared" si="38"/>
        <v>21196</v>
      </c>
      <c r="D2337" t="s">
        <v>33</v>
      </c>
      <c r="E2337" s="2" t="s">
        <v>39</v>
      </c>
      <c r="F2337" s="2" t="str">
        <f>_xlfn.XLOOKUP(Table1_1[[#This Row],[CAS_rn]],[1]analyte_order!$C:$C,[1]analyte_order!$B:$B)</f>
        <v>PFOS</v>
      </c>
      <c r="G2337" t="s">
        <v>124</v>
      </c>
      <c r="H2337" s="2">
        <f>_xlfn.XLOOKUP(Table1_1[[#This Row],[CAS_rn]],[1]analyte_order!$C:$C,[1]analyte_order!$E:$E)</f>
        <v>18</v>
      </c>
      <c r="I2337">
        <v>1.7</v>
      </c>
    </row>
    <row r="2338" spans="1:9" x14ac:dyDescent="0.3">
      <c r="A2338" s="2" t="s">
        <v>107</v>
      </c>
      <c r="B2338" s="3">
        <v>44391.5</v>
      </c>
      <c r="C2338" s="1" t="str">
        <f t="shared" si="38"/>
        <v>21196</v>
      </c>
      <c r="D2338" t="s">
        <v>33</v>
      </c>
      <c r="E2338" s="2" t="s">
        <v>39</v>
      </c>
      <c r="F2338" s="2" t="str">
        <f>_xlfn.XLOOKUP(Table1_1[[#This Row],[CAS_rn]],[1]analyte_order!$C:$C,[1]analyte_order!$B:$B)</f>
        <v>PFNS</v>
      </c>
      <c r="G2338" t="s">
        <v>125</v>
      </c>
      <c r="H2338" s="2">
        <f>_xlfn.XLOOKUP(Table1_1[[#This Row],[CAS_rn]],[1]analyte_order!$C:$C,[1]analyte_order!$E:$E)</f>
        <v>19</v>
      </c>
      <c r="I2338">
        <v>4.9500000000000002E-2</v>
      </c>
    </row>
    <row r="2339" spans="1:9" x14ac:dyDescent="0.3">
      <c r="A2339" s="2" t="s">
        <v>107</v>
      </c>
      <c r="B2339" s="3">
        <v>44391.5</v>
      </c>
      <c r="C2339" s="1" t="str">
        <f t="shared" si="38"/>
        <v>21196</v>
      </c>
      <c r="D2339" t="s">
        <v>33</v>
      </c>
      <c r="E2339" s="2" t="s">
        <v>39</v>
      </c>
      <c r="F2339" s="2" t="str">
        <f>_xlfn.XLOOKUP(Table1_1[[#This Row],[CAS_rn]],[1]analyte_order!$C:$C,[1]analyte_order!$B:$B)</f>
        <v>PFDoS</v>
      </c>
      <c r="G2339" t="s">
        <v>126</v>
      </c>
      <c r="H2339" s="2">
        <f>_xlfn.XLOOKUP(Table1_1[[#This Row],[CAS_rn]],[1]analyte_order!$C:$C,[1]analyte_order!$E:$E)</f>
        <v>21</v>
      </c>
      <c r="I2339">
        <v>4.9500000000000002E-2</v>
      </c>
    </row>
    <row r="2340" spans="1:9" x14ac:dyDescent="0.3">
      <c r="A2340" s="2" t="s">
        <v>107</v>
      </c>
      <c r="B2340" s="3">
        <v>44391.5</v>
      </c>
      <c r="C2340" s="1" t="str">
        <f t="shared" si="38"/>
        <v>21196</v>
      </c>
      <c r="D2340" t="s">
        <v>33</v>
      </c>
      <c r="E2340" s="2" t="s">
        <v>39</v>
      </c>
      <c r="F2340" s="2" t="str">
        <f>_xlfn.XLOOKUP(Table1_1[[#This Row],[CAS_rn]],[1]analyte_order!$C:$C,[1]analyte_order!$B:$B)</f>
        <v>4:2 FTS</v>
      </c>
      <c r="G2340" t="s">
        <v>127</v>
      </c>
      <c r="H2340" s="2">
        <f>_xlfn.XLOOKUP(Table1_1[[#This Row],[CAS_rn]],[1]analyte_order!$C:$C,[1]analyte_order!$E:$E)</f>
        <v>22</v>
      </c>
      <c r="I2340">
        <v>0.2</v>
      </c>
    </row>
    <row r="2341" spans="1:9" x14ac:dyDescent="0.3">
      <c r="A2341" s="2" t="s">
        <v>107</v>
      </c>
      <c r="B2341" s="3">
        <v>44391.5</v>
      </c>
      <c r="C2341" s="1" t="str">
        <f t="shared" si="38"/>
        <v>21196</v>
      </c>
      <c r="D2341" t="s">
        <v>33</v>
      </c>
      <c r="E2341" s="2" t="s">
        <v>39</v>
      </c>
      <c r="F2341" s="2" t="str">
        <f>_xlfn.XLOOKUP(Table1_1[[#This Row],[CAS_rn]],[1]analyte_order!$C:$C,[1]analyte_order!$B:$B)</f>
        <v>6:2 FTS</v>
      </c>
      <c r="G2341" t="s">
        <v>128</v>
      </c>
      <c r="H2341" s="2">
        <f>_xlfn.XLOOKUP(Table1_1[[#This Row],[CAS_rn]],[1]analyte_order!$C:$C,[1]analyte_order!$E:$E)</f>
        <v>23</v>
      </c>
      <c r="I2341">
        <v>0.39500000000000002</v>
      </c>
    </row>
    <row r="2342" spans="1:9" x14ac:dyDescent="0.3">
      <c r="A2342" s="2" t="s">
        <v>107</v>
      </c>
      <c r="B2342" s="3">
        <v>44391.5</v>
      </c>
      <c r="C2342" s="1" t="str">
        <f t="shared" si="38"/>
        <v>21196</v>
      </c>
      <c r="D2342" t="s">
        <v>33</v>
      </c>
      <c r="E2342" s="2" t="s">
        <v>39</v>
      </c>
      <c r="F2342" s="2" t="str">
        <f>_xlfn.XLOOKUP(Table1_1[[#This Row],[CAS_rn]],[1]analyte_order!$C:$C,[1]analyte_order!$B:$B)</f>
        <v>8:2 FTS</v>
      </c>
      <c r="G2342" t="s">
        <v>129</v>
      </c>
      <c r="H2342" s="2">
        <f>_xlfn.XLOOKUP(Table1_1[[#This Row],[CAS_rn]],[1]analyte_order!$C:$C,[1]analyte_order!$E:$E)</f>
        <v>24</v>
      </c>
      <c r="I2342">
        <v>0.39500000000000002</v>
      </c>
    </row>
    <row r="2343" spans="1:9" x14ac:dyDescent="0.3">
      <c r="A2343" s="2" t="s">
        <v>107</v>
      </c>
      <c r="B2343" s="3">
        <v>44391.5</v>
      </c>
      <c r="C2343" s="1" t="str">
        <f t="shared" si="38"/>
        <v>21196</v>
      </c>
      <c r="D2343" t="s">
        <v>33</v>
      </c>
      <c r="E2343" s="2" t="s">
        <v>39</v>
      </c>
      <c r="F2343" s="2" t="str">
        <f>_xlfn.XLOOKUP(Table1_1[[#This Row],[CAS_rn]],[1]analyte_order!$C:$C,[1]analyte_order!$B:$B)</f>
        <v>FOSA</v>
      </c>
      <c r="G2343" t="s">
        <v>130</v>
      </c>
      <c r="H2343" s="2">
        <f>_xlfn.XLOOKUP(Table1_1[[#This Row],[CAS_rn]],[1]analyte_order!$C:$C,[1]analyte_order!$E:$E)</f>
        <v>28</v>
      </c>
      <c r="I2343">
        <v>0.09</v>
      </c>
    </row>
    <row r="2344" spans="1:9" x14ac:dyDescent="0.3">
      <c r="A2344" s="2" t="s">
        <v>107</v>
      </c>
      <c r="B2344" s="3">
        <v>44391.5</v>
      </c>
      <c r="C2344" s="1" t="str">
        <f t="shared" si="38"/>
        <v>21196</v>
      </c>
      <c r="D2344" t="s">
        <v>33</v>
      </c>
      <c r="E2344" s="2" t="s">
        <v>39</v>
      </c>
      <c r="F2344" s="2" t="str">
        <f>_xlfn.XLOOKUP(Table1_1[[#This Row],[CAS_rn]],[1]analyte_order!$C:$C,[1]analyte_order!$B:$B)</f>
        <v>N-MeFOSA</v>
      </c>
      <c r="G2344" t="s">
        <v>131</v>
      </c>
      <c r="H2344" s="2">
        <f>_xlfn.XLOOKUP(Table1_1[[#This Row],[CAS_rn]],[1]analyte_order!$C:$C,[1]analyte_order!$E:$E)</f>
        <v>30</v>
      </c>
      <c r="I2344">
        <v>4.9500000000000002E-2</v>
      </c>
    </row>
    <row r="2345" spans="1:9" x14ac:dyDescent="0.3">
      <c r="A2345" s="2" t="s">
        <v>107</v>
      </c>
      <c r="B2345" s="3">
        <v>44391.5</v>
      </c>
      <c r="C2345" s="1" t="str">
        <f t="shared" si="38"/>
        <v>21196</v>
      </c>
      <c r="D2345" t="s">
        <v>33</v>
      </c>
      <c r="E2345" s="2" t="s">
        <v>39</v>
      </c>
      <c r="F2345" s="2" t="str">
        <f>_xlfn.XLOOKUP(Table1_1[[#This Row],[CAS_rn]],[1]analyte_order!$C:$C,[1]analyte_order!$B:$B)</f>
        <v>N-MeFOSAA</v>
      </c>
      <c r="G2345" t="s">
        <v>132</v>
      </c>
      <c r="H2345" s="2">
        <f>_xlfn.XLOOKUP(Table1_1[[#This Row],[CAS_rn]],[1]analyte_order!$C:$C,[1]analyte_order!$E:$E)</f>
        <v>26</v>
      </c>
      <c r="I2345">
        <v>4.9500000000000002E-2</v>
      </c>
    </row>
    <row r="2346" spans="1:9" x14ac:dyDescent="0.3">
      <c r="A2346" s="2" t="s">
        <v>107</v>
      </c>
      <c r="B2346" s="3">
        <v>44391.5</v>
      </c>
      <c r="C2346" s="1" t="str">
        <f t="shared" si="38"/>
        <v>21196</v>
      </c>
      <c r="D2346" t="s">
        <v>33</v>
      </c>
      <c r="E2346" s="2" t="s">
        <v>39</v>
      </c>
      <c r="F2346" s="2" t="str">
        <f>_xlfn.XLOOKUP(Table1_1[[#This Row],[CAS_rn]],[1]analyte_order!$C:$C,[1]analyte_order!$B:$B)</f>
        <v>N-EtFOSA</v>
      </c>
      <c r="G2346" t="s">
        <v>133</v>
      </c>
      <c r="H2346" s="2">
        <f>_xlfn.XLOOKUP(Table1_1[[#This Row],[CAS_rn]],[1]analyte_order!$C:$C,[1]analyte_order!$E:$E)</f>
        <v>31</v>
      </c>
      <c r="I2346">
        <v>4.9500000000000002E-2</v>
      </c>
    </row>
    <row r="2347" spans="1:9" x14ac:dyDescent="0.3">
      <c r="A2347" s="2" t="s">
        <v>107</v>
      </c>
      <c r="B2347" s="3">
        <v>44391.5</v>
      </c>
      <c r="C2347" s="1" t="str">
        <f t="shared" si="38"/>
        <v>21196</v>
      </c>
      <c r="D2347" t="s">
        <v>33</v>
      </c>
      <c r="E2347" s="2" t="s">
        <v>39</v>
      </c>
      <c r="F2347" s="2" t="str">
        <f>_xlfn.XLOOKUP(Table1_1[[#This Row],[CAS_rn]],[1]analyte_order!$C:$C,[1]analyte_order!$B:$B)</f>
        <v>N-EtFOSAA</v>
      </c>
      <c r="G2347" t="s">
        <v>134</v>
      </c>
      <c r="H2347" s="2">
        <f>_xlfn.XLOOKUP(Table1_1[[#This Row],[CAS_rn]],[1]analyte_order!$C:$C,[1]analyte_order!$E:$E)</f>
        <v>27</v>
      </c>
      <c r="I2347">
        <v>4.9500000000000002E-2</v>
      </c>
    </row>
    <row r="2348" spans="1:9" x14ac:dyDescent="0.3">
      <c r="A2348" s="2" t="s">
        <v>107</v>
      </c>
      <c r="B2348" s="3">
        <v>44391.5</v>
      </c>
      <c r="C2348" s="1" t="str">
        <f t="shared" si="38"/>
        <v>21196</v>
      </c>
      <c r="D2348" t="s">
        <v>33</v>
      </c>
      <c r="E2348" s="2" t="s">
        <v>39</v>
      </c>
      <c r="F2348" s="2" t="str">
        <f>_xlfn.XLOOKUP(Table1_1[[#This Row],[CAS_rn]],[1]analyte_order!$C:$C,[1]analyte_order!$B:$B)</f>
        <v>N-MeFOSE</v>
      </c>
      <c r="G2348" t="s">
        <v>135</v>
      </c>
      <c r="H2348" s="2">
        <f>_xlfn.XLOOKUP(Table1_1[[#This Row],[CAS_rn]],[1]analyte_order!$C:$C,[1]analyte_order!$E:$E)</f>
        <v>32</v>
      </c>
      <c r="I2348">
        <v>0.495</v>
      </c>
    </row>
    <row r="2349" spans="1:9" x14ac:dyDescent="0.3">
      <c r="A2349" s="2" t="s">
        <v>107</v>
      </c>
      <c r="B2349" s="3">
        <v>44391.5</v>
      </c>
      <c r="C2349" s="1" t="str">
        <f t="shared" si="38"/>
        <v>21196</v>
      </c>
      <c r="D2349" t="s">
        <v>33</v>
      </c>
      <c r="E2349" s="2" t="s">
        <v>39</v>
      </c>
      <c r="F2349" s="2" t="str">
        <f>_xlfn.XLOOKUP(Table1_1[[#This Row],[CAS_rn]],[1]analyte_order!$C:$C,[1]analyte_order!$B:$B)</f>
        <v>N-EtFOSE</v>
      </c>
      <c r="G2349" t="s">
        <v>136</v>
      </c>
      <c r="H2349" s="2">
        <f>_xlfn.XLOOKUP(Table1_1[[#This Row],[CAS_rn]],[1]analyte_order!$C:$C,[1]analyte_order!$E:$E)</f>
        <v>33</v>
      </c>
      <c r="I2349">
        <v>0.495</v>
      </c>
    </row>
    <row r="2350" spans="1:9" x14ac:dyDescent="0.3">
      <c r="A2350" s="2" t="s">
        <v>107</v>
      </c>
      <c r="B2350" s="3">
        <v>44391.5</v>
      </c>
      <c r="C2350" s="1" t="str">
        <f t="shared" si="38"/>
        <v>21196</v>
      </c>
      <c r="D2350" t="s">
        <v>33</v>
      </c>
      <c r="E2350" s="2" t="s">
        <v>39</v>
      </c>
      <c r="F2350" s="2" t="str">
        <f>_xlfn.XLOOKUP(Table1_1[[#This Row],[CAS_rn]],[1]analyte_order!$C:$C,[1]analyte_order!$B:$B)</f>
        <v>HFPO-DA</v>
      </c>
      <c r="G2350" t="s">
        <v>137</v>
      </c>
      <c r="H2350" s="2">
        <f>_xlfn.XLOOKUP(Table1_1[[#This Row],[CAS_rn]],[1]analyte_order!$C:$C,[1]analyte_order!$E:$E)</f>
        <v>34</v>
      </c>
      <c r="I2350">
        <v>0.3</v>
      </c>
    </row>
    <row r="2351" spans="1:9" x14ac:dyDescent="0.3">
      <c r="A2351" s="2" t="s">
        <v>107</v>
      </c>
      <c r="B2351" s="3">
        <v>44391.5</v>
      </c>
      <c r="C2351" s="1" t="str">
        <f t="shared" si="38"/>
        <v>21196</v>
      </c>
      <c r="D2351" t="s">
        <v>33</v>
      </c>
      <c r="E2351" s="2" t="s">
        <v>39</v>
      </c>
      <c r="F2351" s="2" t="str">
        <f>_xlfn.XLOOKUP(Table1_1[[#This Row],[CAS_rn]],[1]analyte_order!$C:$C,[1]analyte_order!$B:$B)</f>
        <v>ADONA</v>
      </c>
      <c r="G2351" t="s">
        <v>138</v>
      </c>
      <c r="H2351" s="2">
        <f>_xlfn.XLOOKUP(Table1_1[[#This Row],[CAS_rn]],[1]analyte_order!$C:$C,[1]analyte_order!$E:$E)</f>
        <v>35</v>
      </c>
      <c r="I2351">
        <v>0.2</v>
      </c>
    </row>
    <row r="2352" spans="1:9" x14ac:dyDescent="0.3">
      <c r="A2352" s="2" t="s">
        <v>107</v>
      </c>
      <c r="B2352" s="3">
        <v>44391.5</v>
      </c>
      <c r="C2352" s="1" t="str">
        <f t="shared" si="38"/>
        <v>21196</v>
      </c>
      <c r="D2352" t="s">
        <v>33</v>
      </c>
      <c r="E2352" s="2" t="s">
        <v>39</v>
      </c>
      <c r="F2352" s="2" t="str">
        <f>_xlfn.XLOOKUP(Table1_1[[#This Row],[CAS_rn]],[1]analyte_order!$C:$C,[1]analyte_order!$B:$B)</f>
        <v>PFMBA</v>
      </c>
      <c r="G2352" t="s">
        <v>139</v>
      </c>
      <c r="H2352" s="2">
        <f>_xlfn.XLOOKUP(Table1_1[[#This Row],[CAS_rn]],[1]analyte_order!$C:$C,[1]analyte_order!$E:$E)</f>
        <v>48</v>
      </c>
      <c r="I2352">
        <v>0.1</v>
      </c>
    </row>
    <row r="2353" spans="1:9" x14ac:dyDescent="0.3">
      <c r="A2353" s="2" t="s">
        <v>107</v>
      </c>
      <c r="B2353" s="3">
        <v>44391.5</v>
      </c>
      <c r="C2353" s="1" t="str">
        <f t="shared" si="38"/>
        <v>21196</v>
      </c>
      <c r="D2353" t="s">
        <v>33</v>
      </c>
      <c r="E2353" s="2" t="s">
        <v>39</v>
      </c>
      <c r="F2353" s="2" t="str">
        <f>_xlfn.XLOOKUP(Table1_1[[#This Row],[CAS_rn]],[1]analyte_order!$C:$C,[1]analyte_order!$B:$B)</f>
        <v>NFDHA</v>
      </c>
      <c r="G2353" t="s">
        <v>140</v>
      </c>
      <c r="H2353" s="2">
        <f>_xlfn.XLOOKUP(Table1_1[[#This Row],[CAS_rn]],[1]analyte_order!$C:$C,[1]analyte_order!$E:$E)</f>
        <v>50</v>
      </c>
      <c r="I2353">
        <v>0.1</v>
      </c>
    </row>
    <row r="2354" spans="1:9" x14ac:dyDescent="0.3">
      <c r="A2354" s="2" t="s">
        <v>107</v>
      </c>
      <c r="B2354" s="3">
        <v>44391.5</v>
      </c>
      <c r="C2354" s="1" t="str">
        <f t="shared" si="38"/>
        <v>21196</v>
      </c>
      <c r="D2354" t="s">
        <v>33</v>
      </c>
      <c r="E2354" s="2" t="s">
        <v>39</v>
      </c>
      <c r="F2354" s="2" t="str">
        <f>_xlfn.XLOOKUP(Table1_1[[#This Row],[CAS_rn]],[1]analyte_order!$C:$C,[1]analyte_order!$B:$B)</f>
        <v>9Cl-PF3ONS</v>
      </c>
      <c r="G2354" t="s">
        <v>141</v>
      </c>
      <c r="H2354" s="2">
        <f>_xlfn.XLOOKUP(Table1_1[[#This Row],[CAS_rn]],[1]analyte_order!$C:$C,[1]analyte_order!$E:$E)</f>
        <v>36</v>
      </c>
      <c r="I2354">
        <v>0.2</v>
      </c>
    </row>
    <row r="2355" spans="1:9" x14ac:dyDescent="0.3">
      <c r="A2355" s="2" t="s">
        <v>107</v>
      </c>
      <c r="B2355" s="3">
        <v>44391.5</v>
      </c>
      <c r="C2355" s="1" t="str">
        <f t="shared" si="38"/>
        <v>21196</v>
      </c>
      <c r="D2355" t="s">
        <v>33</v>
      </c>
      <c r="E2355" s="2" t="s">
        <v>39</v>
      </c>
      <c r="F2355" s="2" t="str">
        <f>_xlfn.XLOOKUP(Table1_1[[#This Row],[CAS_rn]],[1]analyte_order!$C:$C,[1]analyte_order!$B:$B)</f>
        <v>11Cl-PF3OUdS</v>
      </c>
      <c r="G2355" t="s">
        <v>142</v>
      </c>
      <c r="H2355" s="2">
        <f>_xlfn.XLOOKUP(Table1_1[[#This Row],[CAS_rn]],[1]analyte_order!$C:$C,[1]analyte_order!$E:$E)</f>
        <v>37</v>
      </c>
      <c r="I2355">
        <v>0.2</v>
      </c>
    </row>
    <row r="2356" spans="1:9" x14ac:dyDescent="0.3">
      <c r="A2356" s="2" t="s">
        <v>107</v>
      </c>
      <c r="B2356" s="3">
        <v>44391.5</v>
      </c>
      <c r="C2356" s="1" t="str">
        <f t="shared" si="38"/>
        <v>21196</v>
      </c>
      <c r="D2356" t="s">
        <v>33</v>
      </c>
      <c r="E2356" s="2" t="s">
        <v>39</v>
      </c>
      <c r="F2356" s="2" t="str">
        <f>_xlfn.XLOOKUP(Table1_1[[#This Row],[CAS_rn]],[1]analyte_order!$C:$C,[1]analyte_order!$B:$B)</f>
        <v>PFEESA</v>
      </c>
      <c r="G2356" t="s">
        <v>143</v>
      </c>
      <c r="H2356" s="2">
        <f>_xlfn.XLOOKUP(Table1_1[[#This Row],[CAS_rn]],[1]analyte_order!$C:$C,[1]analyte_order!$E:$E)</f>
        <v>47</v>
      </c>
      <c r="I2356">
        <v>0.1</v>
      </c>
    </row>
    <row r="2357" spans="1:9" x14ac:dyDescent="0.3">
      <c r="A2357" s="2" t="s">
        <v>107</v>
      </c>
      <c r="B2357" s="3">
        <v>44391.5</v>
      </c>
      <c r="C2357" s="1" t="str">
        <f t="shared" si="38"/>
        <v>21196</v>
      </c>
      <c r="D2357" t="s">
        <v>33</v>
      </c>
      <c r="E2357" s="2" t="s">
        <v>39</v>
      </c>
      <c r="F2357" s="2" t="str">
        <f>_xlfn.XLOOKUP(Table1_1[[#This Row],[CAS_rn]],[1]analyte_order!$C:$C,[1]analyte_order!$B:$B)</f>
        <v>3:3 FTCA</v>
      </c>
      <c r="G2357" t="s">
        <v>144</v>
      </c>
      <c r="H2357" s="2">
        <f>_xlfn.XLOOKUP(Table1_1[[#This Row],[CAS_rn]],[1]analyte_order!$C:$C,[1]analyte_order!$E:$E)</f>
        <v>38</v>
      </c>
      <c r="I2357">
        <v>0.25</v>
      </c>
    </row>
    <row r="2358" spans="1:9" x14ac:dyDescent="0.3">
      <c r="A2358" s="2" t="s">
        <v>107</v>
      </c>
      <c r="B2358" s="3">
        <v>44391.5</v>
      </c>
      <c r="C2358" s="1" t="str">
        <f t="shared" si="38"/>
        <v>21196</v>
      </c>
      <c r="D2358" t="s">
        <v>33</v>
      </c>
      <c r="E2358" s="2" t="s">
        <v>39</v>
      </c>
      <c r="F2358" s="2" t="str">
        <f>_xlfn.XLOOKUP(Table1_1[[#This Row],[CAS_rn]],[1]analyte_order!$C:$C,[1]analyte_order!$B:$B)</f>
        <v>5:3 FTCA</v>
      </c>
      <c r="G2358" t="s">
        <v>145</v>
      </c>
      <c r="H2358" s="2">
        <f>_xlfn.XLOOKUP(Table1_1[[#This Row],[CAS_rn]],[1]analyte_order!$C:$C,[1]analyte_order!$E:$E)</f>
        <v>39</v>
      </c>
      <c r="I2358">
        <v>1.25</v>
      </c>
    </row>
    <row r="2359" spans="1:9" x14ac:dyDescent="0.3">
      <c r="A2359" s="2" t="s">
        <v>107</v>
      </c>
      <c r="B2359" s="3">
        <v>44391.5</v>
      </c>
      <c r="C2359" s="1" t="str">
        <f t="shared" si="38"/>
        <v>21196</v>
      </c>
      <c r="D2359" t="s">
        <v>33</v>
      </c>
      <c r="E2359" s="2" t="s">
        <v>39</v>
      </c>
      <c r="F2359" s="2" t="str">
        <f>_xlfn.XLOOKUP(Table1_1[[#This Row],[CAS_rn]],[1]analyte_order!$C:$C,[1]analyte_order!$B:$B)</f>
        <v>7:3 FTCA</v>
      </c>
      <c r="G2359" t="s">
        <v>146</v>
      </c>
      <c r="H2359" s="2">
        <f>_xlfn.XLOOKUP(Table1_1[[#This Row],[CAS_rn]],[1]analyte_order!$C:$C,[1]analyte_order!$E:$E)</f>
        <v>40</v>
      </c>
      <c r="I2359">
        <v>1.25</v>
      </c>
    </row>
    <row r="2360" spans="1:9" x14ac:dyDescent="0.3">
      <c r="A2360" s="2" t="s">
        <v>107</v>
      </c>
      <c r="B2360" s="3">
        <v>44391.5</v>
      </c>
      <c r="C2360" s="1" t="str">
        <f t="shared" si="38"/>
        <v>21196</v>
      </c>
      <c r="D2360" t="s">
        <v>33</v>
      </c>
      <c r="E2360" s="2" t="s">
        <v>39</v>
      </c>
      <c r="F2360" s="2" t="str">
        <f>_xlfn.XLOOKUP(Table1_1[[#This Row],[CAS_rn]],[1]analyte_order!$C:$C,[1]analyte_order!$B:$B)</f>
        <v>PFDS</v>
      </c>
      <c r="G2360" t="s">
        <v>147</v>
      </c>
      <c r="H2360" s="2">
        <f>_xlfn.XLOOKUP(Table1_1[[#This Row],[CAS_rn]],[1]analyte_order!$C:$C,[1]analyte_order!$E:$E)</f>
        <v>20</v>
      </c>
      <c r="I2360">
        <v>4.9500000000000002E-2</v>
      </c>
    </row>
    <row r="2361" spans="1:9" x14ac:dyDescent="0.3">
      <c r="A2361" s="2" t="s">
        <v>107</v>
      </c>
      <c r="B2361" s="3">
        <v>44391.5</v>
      </c>
      <c r="C2361" s="1" t="str">
        <f t="shared" si="38"/>
        <v>21196</v>
      </c>
      <c r="D2361" t="s">
        <v>33</v>
      </c>
      <c r="E2361" s="2" t="s">
        <v>39</v>
      </c>
      <c r="F2361" s="2" t="str">
        <f>_xlfn.XLOOKUP(Table1_1[[#This Row],[CAS_rn]],[1]analyte_order!$C:$C,[1]analyte_order!$B:$B)</f>
        <v>PFMPA</v>
      </c>
      <c r="G2361" t="s">
        <v>148</v>
      </c>
      <c r="H2361" s="2">
        <f>_xlfn.XLOOKUP(Table1_1[[#This Row],[CAS_rn]],[1]analyte_order!$C:$C,[1]analyte_order!$E:$E)</f>
        <v>49</v>
      </c>
      <c r="I2361">
        <v>0.1</v>
      </c>
    </row>
    <row r="2362" spans="1:9" x14ac:dyDescent="0.3">
      <c r="A2362" s="2" t="s">
        <v>108</v>
      </c>
      <c r="B2362" s="3">
        <v>44391.5</v>
      </c>
      <c r="C2362" s="1" t="str">
        <f t="shared" si="38"/>
        <v>21196</v>
      </c>
      <c r="D2362" t="s">
        <v>29</v>
      </c>
      <c r="E2362" s="2" t="s">
        <v>39</v>
      </c>
      <c r="F2362" s="2" t="str">
        <f>_xlfn.XLOOKUP(Table1_1[[#This Row],[CAS_rn]],[1]analyte_order!$C:$C,[1]analyte_order!$B:$B)</f>
        <v>PFBA</v>
      </c>
      <c r="G2362" t="s">
        <v>109</v>
      </c>
      <c r="H2362" s="2">
        <f>_xlfn.XLOOKUP(Table1_1[[#This Row],[CAS_rn]],[1]analyte_order!$C:$C,[1]analyte_order!$E:$E)</f>
        <v>1</v>
      </c>
      <c r="I2362">
        <v>0.2</v>
      </c>
    </row>
    <row r="2363" spans="1:9" x14ac:dyDescent="0.3">
      <c r="A2363" s="2" t="s">
        <v>108</v>
      </c>
      <c r="B2363" s="3">
        <v>44391.5</v>
      </c>
      <c r="C2363" s="1" t="str">
        <f t="shared" si="38"/>
        <v>21196</v>
      </c>
      <c r="D2363" t="s">
        <v>29</v>
      </c>
      <c r="E2363" s="2" t="s">
        <v>39</v>
      </c>
      <c r="F2363" s="2" t="str">
        <f>_xlfn.XLOOKUP(Table1_1[[#This Row],[CAS_rn]],[1]analyte_order!$C:$C,[1]analyte_order!$B:$B)</f>
        <v>PFPeA</v>
      </c>
      <c r="G2363" t="s">
        <v>110</v>
      </c>
      <c r="H2363" s="2">
        <f>_xlfn.XLOOKUP(Table1_1[[#This Row],[CAS_rn]],[1]analyte_order!$C:$C,[1]analyte_order!$E:$E)</f>
        <v>2</v>
      </c>
      <c r="I2363">
        <v>0.1</v>
      </c>
    </row>
    <row r="2364" spans="1:9" x14ac:dyDescent="0.3">
      <c r="A2364" s="2" t="s">
        <v>108</v>
      </c>
      <c r="B2364" s="3">
        <v>44391.5</v>
      </c>
      <c r="C2364" s="1" t="str">
        <f t="shared" si="38"/>
        <v>21196</v>
      </c>
      <c r="D2364" t="s">
        <v>29</v>
      </c>
      <c r="E2364" s="2" t="s">
        <v>39</v>
      </c>
      <c r="F2364" s="2" t="str">
        <f>_xlfn.XLOOKUP(Table1_1[[#This Row],[CAS_rn]],[1]analyte_order!$C:$C,[1]analyte_order!$B:$B)</f>
        <v>PFHxA</v>
      </c>
      <c r="G2364" t="s">
        <v>111</v>
      </c>
      <c r="H2364" s="2">
        <f>_xlfn.XLOOKUP(Table1_1[[#This Row],[CAS_rn]],[1]analyte_order!$C:$C,[1]analyte_order!$E:$E)</f>
        <v>3</v>
      </c>
      <c r="I2364">
        <v>0.22</v>
      </c>
    </row>
    <row r="2365" spans="1:9" x14ac:dyDescent="0.3">
      <c r="A2365" s="2" t="s">
        <v>108</v>
      </c>
      <c r="B2365" s="3">
        <v>44391.5</v>
      </c>
      <c r="C2365" s="1" t="str">
        <f t="shared" si="38"/>
        <v>21196</v>
      </c>
      <c r="D2365" t="s">
        <v>29</v>
      </c>
      <c r="E2365" s="2" t="s">
        <v>39</v>
      </c>
      <c r="F2365" s="2" t="str">
        <f>_xlfn.XLOOKUP(Table1_1[[#This Row],[CAS_rn]],[1]analyte_order!$C:$C,[1]analyte_order!$B:$B)</f>
        <v>PFHpA</v>
      </c>
      <c r="G2365" t="s">
        <v>112</v>
      </c>
      <c r="H2365" s="2">
        <f>_xlfn.XLOOKUP(Table1_1[[#This Row],[CAS_rn]],[1]analyte_order!$C:$C,[1]analyte_order!$E:$E)</f>
        <v>4</v>
      </c>
      <c r="I2365">
        <v>0.09</v>
      </c>
    </row>
    <row r="2366" spans="1:9" x14ac:dyDescent="0.3">
      <c r="A2366" s="2" t="s">
        <v>108</v>
      </c>
      <c r="B2366" s="3">
        <v>44391.5</v>
      </c>
      <c r="C2366" s="1" t="str">
        <f t="shared" si="38"/>
        <v>21196</v>
      </c>
      <c r="D2366" t="s">
        <v>29</v>
      </c>
      <c r="E2366" s="2" t="s">
        <v>39</v>
      </c>
      <c r="F2366" s="2" t="str">
        <f>_xlfn.XLOOKUP(Table1_1[[#This Row],[CAS_rn]],[1]analyte_order!$C:$C,[1]analyte_order!$B:$B)</f>
        <v>PFOA</v>
      </c>
      <c r="G2366" t="s">
        <v>113</v>
      </c>
      <c r="H2366" s="2">
        <f>_xlfn.XLOOKUP(Table1_1[[#This Row],[CAS_rn]],[1]analyte_order!$C:$C,[1]analyte_order!$E:$E)</f>
        <v>5</v>
      </c>
      <c r="I2366">
        <v>0.32</v>
      </c>
    </row>
    <row r="2367" spans="1:9" x14ac:dyDescent="0.3">
      <c r="A2367" s="2" t="s">
        <v>108</v>
      </c>
      <c r="B2367" s="3">
        <v>44391.5</v>
      </c>
      <c r="C2367" s="1" t="str">
        <f t="shared" si="38"/>
        <v>21196</v>
      </c>
      <c r="D2367" t="s">
        <v>29</v>
      </c>
      <c r="E2367" s="2" t="s">
        <v>39</v>
      </c>
      <c r="F2367" s="2" t="str">
        <f>_xlfn.XLOOKUP(Table1_1[[#This Row],[CAS_rn]],[1]analyte_order!$C:$C,[1]analyte_order!$B:$B)</f>
        <v>PFNA</v>
      </c>
      <c r="G2367" t="s">
        <v>114</v>
      </c>
      <c r="H2367" s="2">
        <f>_xlfn.XLOOKUP(Table1_1[[#This Row],[CAS_rn]],[1]analyte_order!$C:$C,[1]analyte_order!$E:$E)</f>
        <v>6</v>
      </c>
      <c r="I2367">
        <v>0.05</v>
      </c>
    </row>
    <row r="2368" spans="1:9" x14ac:dyDescent="0.3">
      <c r="A2368" s="2" t="s">
        <v>108</v>
      </c>
      <c r="B2368" s="3">
        <v>44391.5</v>
      </c>
      <c r="C2368" s="1" t="str">
        <f t="shared" si="38"/>
        <v>21196</v>
      </c>
      <c r="D2368" t="s">
        <v>29</v>
      </c>
      <c r="E2368" s="2" t="s">
        <v>39</v>
      </c>
      <c r="F2368" s="2" t="str">
        <f>_xlfn.XLOOKUP(Table1_1[[#This Row],[CAS_rn]],[1]analyte_order!$C:$C,[1]analyte_order!$B:$B)</f>
        <v>PFDA</v>
      </c>
      <c r="G2368" t="s">
        <v>115</v>
      </c>
      <c r="H2368" s="2">
        <f>_xlfn.XLOOKUP(Table1_1[[#This Row],[CAS_rn]],[1]analyte_order!$C:$C,[1]analyte_order!$E:$E)</f>
        <v>7</v>
      </c>
      <c r="I2368">
        <v>0.05</v>
      </c>
    </row>
    <row r="2369" spans="1:9" x14ac:dyDescent="0.3">
      <c r="A2369" s="2" t="s">
        <v>108</v>
      </c>
      <c r="B2369" s="3">
        <v>44391.5</v>
      </c>
      <c r="C2369" s="1" t="str">
        <f t="shared" si="38"/>
        <v>21196</v>
      </c>
      <c r="D2369" t="s">
        <v>29</v>
      </c>
      <c r="E2369" s="2" t="s">
        <v>39</v>
      </c>
      <c r="F2369" s="2" t="str">
        <f>_xlfn.XLOOKUP(Table1_1[[#This Row],[CAS_rn]],[1]analyte_order!$C:$C,[1]analyte_order!$B:$B)</f>
        <v>PFUnA</v>
      </c>
      <c r="G2369" t="s">
        <v>116</v>
      </c>
      <c r="H2369" s="2">
        <f>_xlfn.XLOOKUP(Table1_1[[#This Row],[CAS_rn]],[1]analyte_order!$C:$C,[1]analyte_order!$E:$E)</f>
        <v>8</v>
      </c>
      <c r="I2369">
        <v>0.05</v>
      </c>
    </row>
    <row r="2370" spans="1:9" x14ac:dyDescent="0.3">
      <c r="A2370" s="2" t="s">
        <v>108</v>
      </c>
      <c r="B2370" s="3">
        <v>44391.5</v>
      </c>
      <c r="C2370" s="1" t="str">
        <f t="shared" si="38"/>
        <v>21196</v>
      </c>
      <c r="D2370" t="s">
        <v>29</v>
      </c>
      <c r="E2370" s="2" t="s">
        <v>39</v>
      </c>
      <c r="F2370" s="2" t="str">
        <f>_xlfn.XLOOKUP(Table1_1[[#This Row],[CAS_rn]],[1]analyte_order!$C:$C,[1]analyte_order!$B:$B)</f>
        <v>PFDoA</v>
      </c>
      <c r="G2370" t="s">
        <v>117</v>
      </c>
      <c r="H2370" s="2">
        <f>_xlfn.XLOOKUP(Table1_1[[#This Row],[CAS_rn]],[1]analyte_order!$C:$C,[1]analyte_order!$E:$E)</f>
        <v>9</v>
      </c>
      <c r="I2370">
        <v>0.05</v>
      </c>
    </row>
    <row r="2371" spans="1:9" x14ac:dyDescent="0.3">
      <c r="A2371" s="2" t="s">
        <v>108</v>
      </c>
      <c r="B2371" s="3">
        <v>44391.5</v>
      </c>
      <c r="C2371" s="1" t="str">
        <f t="shared" si="38"/>
        <v>21196</v>
      </c>
      <c r="D2371" t="s">
        <v>29</v>
      </c>
      <c r="E2371" s="2" t="s">
        <v>39</v>
      </c>
      <c r="F2371" s="2" t="str">
        <f>_xlfn.XLOOKUP(Table1_1[[#This Row],[CAS_rn]],[1]analyte_order!$C:$C,[1]analyte_order!$B:$B)</f>
        <v>PFTrDA</v>
      </c>
      <c r="G2371" t="s">
        <v>118</v>
      </c>
      <c r="H2371" s="2">
        <f>_xlfn.XLOOKUP(Table1_1[[#This Row],[CAS_rn]],[1]analyte_order!$C:$C,[1]analyte_order!$E:$E)</f>
        <v>10</v>
      </c>
      <c r="I2371">
        <v>0.05</v>
      </c>
    </row>
    <row r="2372" spans="1:9" x14ac:dyDescent="0.3">
      <c r="A2372" s="2" t="s">
        <v>108</v>
      </c>
      <c r="B2372" s="3">
        <v>44391.5</v>
      </c>
      <c r="C2372" s="1" t="str">
        <f t="shared" si="38"/>
        <v>21196</v>
      </c>
      <c r="D2372" t="s">
        <v>29</v>
      </c>
      <c r="E2372" s="2" t="s">
        <v>39</v>
      </c>
      <c r="F2372" s="2" t="str">
        <f>_xlfn.XLOOKUP(Table1_1[[#This Row],[CAS_rn]],[1]analyte_order!$C:$C,[1]analyte_order!$B:$B)</f>
        <v>PFTeDA</v>
      </c>
      <c r="G2372" t="s">
        <v>119</v>
      </c>
      <c r="H2372" s="2">
        <f>_xlfn.XLOOKUP(Table1_1[[#This Row],[CAS_rn]],[1]analyte_order!$C:$C,[1]analyte_order!$E:$E)</f>
        <v>11</v>
      </c>
      <c r="I2372">
        <v>0.05</v>
      </c>
    </row>
    <row r="2373" spans="1:9" x14ac:dyDescent="0.3">
      <c r="A2373" s="2" t="s">
        <v>108</v>
      </c>
      <c r="B2373" s="3">
        <v>44391.5</v>
      </c>
      <c r="C2373" s="1" t="str">
        <f t="shared" si="38"/>
        <v>21196</v>
      </c>
      <c r="D2373" t="s">
        <v>29</v>
      </c>
      <c r="E2373" s="2" t="s">
        <v>39</v>
      </c>
      <c r="F2373" s="2" t="str">
        <f>_xlfn.XLOOKUP(Table1_1[[#This Row],[CAS_rn]],[1]analyte_order!$C:$C,[1]analyte_order!$B:$B)</f>
        <v>PFBS</v>
      </c>
      <c r="G2373" t="s">
        <v>120</v>
      </c>
      <c r="H2373" s="2">
        <f>_xlfn.XLOOKUP(Table1_1[[#This Row],[CAS_rn]],[1]analyte_order!$C:$C,[1]analyte_order!$E:$E)</f>
        <v>14</v>
      </c>
      <c r="I2373">
        <v>0.05</v>
      </c>
    </row>
    <row r="2374" spans="1:9" x14ac:dyDescent="0.3">
      <c r="A2374" s="2" t="s">
        <v>108</v>
      </c>
      <c r="B2374" s="3">
        <v>44391.5</v>
      </c>
      <c r="C2374" s="1" t="str">
        <f t="shared" si="38"/>
        <v>21196</v>
      </c>
      <c r="D2374" t="s">
        <v>29</v>
      </c>
      <c r="E2374" s="2" t="s">
        <v>39</v>
      </c>
      <c r="F2374" s="2" t="str">
        <f>_xlfn.XLOOKUP(Table1_1[[#This Row],[CAS_rn]],[1]analyte_order!$C:$C,[1]analyte_order!$B:$B)</f>
        <v>PFPeS</v>
      </c>
      <c r="G2374" t="s">
        <v>121</v>
      </c>
      <c r="H2374" s="2">
        <f>_xlfn.XLOOKUP(Table1_1[[#This Row],[CAS_rn]],[1]analyte_order!$C:$C,[1]analyte_order!$E:$E)</f>
        <v>15</v>
      </c>
      <c r="I2374">
        <v>5.1999999999999998E-2</v>
      </c>
    </row>
    <row r="2375" spans="1:9" x14ac:dyDescent="0.3">
      <c r="A2375" s="2" t="s">
        <v>108</v>
      </c>
      <c r="B2375" s="3">
        <v>44391.5</v>
      </c>
      <c r="C2375" s="1" t="str">
        <f t="shared" si="38"/>
        <v>21196</v>
      </c>
      <c r="D2375" t="s">
        <v>29</v>
      </c>
      <c r="E2375" s="2" t="s">
        <v>39</v>
      </c>
      <c r="F2375" s="2" t="str">
        <f>_xlfn.XLOOKUP(Table1_1[[#This Row],[CAS_rn]],[1]analyte_order!$C:$C,[1]analyte_order!$B:$B)</f>
        <v>PFHxS</v>
      </c>
      <c r="G2375" t="s">
        <v>122</v>
      </c>
      <c r="H2375" s="2">
        <f>_xlfn.XLOOKUP(Table1_1[[#This Row],[CAS_rn]],[1]analyte_order!$C:$C,[1]analyte_order!$E:$E)</f>
        <v>16</v>
      </c>
      <c r="I2375">
        <v>0.66</v>
      </c>
    </row>
    <row r="2376" spans="1:9" x14ac:dyDescent="0.3">
      <c r="A2376" s="2" t="s">
        <v>108</v>
      </c>
      <c r="B2376" s="3">
        <v>44391.5</v>
      </c>
      <c r="C2376" s="1" t="str">
        <f t="shared" si="38"/>
        <v>21196</v>
      </c>
      <c r="D2376" t="s">
        <v>29</v>
      </c>
      <c r="E2376" s="2" t="s">
        <v>39</v>
      </c>
      <c r="F2376" s="2" t="str">
        <f>_xlfn.XLOOKUP(Table1_1[[#This Row],[CAS_rn]],[1]analyte_order!$C:$C,[1]analyte_order!$B:$B)</f>
        <v>PFHpS</v>
      </c>
      <c r="G2376" t="s">
        <v>123</v>
      </c>
      <c r="H2376" s="2">
        <f>_xlfn.XLOOKUP(Table1_1[[#This Row],[CAS_rn]],[1]analyte_order!$C:$C,[1]analyte_order!$E:$E)</f>
        <v>17</v>
      </c>
      <c r="I2376">
        <v>0.05</v>
      </c>
    </row>
    <row r="2377" spans="1:9" x14ac:dyDescent="0.3">
      <c r="A2377" s="2" t="s">
        <v>108</v>
      </c>
      <c r="B2377" s="3">
        <v>44391.5</v>
      </c>
      <c r="C2377" s="1" t="str">
        <f t="shared" si="38"/>
        <v>21196</v>
      </c>
      <c r="D2377" t="s">
        <v>29</v>
      </c>
      <c r="E2377" s="2" t="s">
        <v>39</v>
      </c>
      <c r="F2377" s="2" t="str">
        <f>_xlfn.XLOOKUP(Table1_1[[#This Row],[CAS_rn]],[1]analyte_order!$C:$C,[1]analyte_order!$B:$B)</f>
        <v>PFOS</v>
      </c>
      <c r="G2377" t="s">
        <v>124</v>
      </c>
      <c r="H2377" s="2">
        <f>_xlfn.XLOOKUP(Table1_1[[#This Row],[CAS_rn]],[1]analyte_order!$C:$C,[1]analyte_order!$E:$E)</f>
        <v>18</v>
      </c>
      <c r="I2377">
        <v>1.2</v>
      </c>
    </row>
    <row r="2378" spans="1:9" x14ac:dyDescent="0.3">
      <c r="A2378" s="2" t="s">
        <v>108</v>
      </c>
      <c r="B2378" s="3">
        <v>44391.5</v>
      </c>
      <c r="C2378" s="1" t="str">
        <f t="shared" si="38"/>
        <v>21196</v>
      </c>
      <c r="D2378" t="s">
        <v>29</v>
      </c>
      <c r="E2378" s="2" t="s">
        <v>39</v>
      </c>
      <c r="F2378" s="2" t="str">
        <f>_xlfn.XLOOKUP(Table1_1[[#This Row],[CAS_rn]],[1]analyte_order!$C:$C,[1]analyte_order!$B:$B)</f>
        <v>PFNS</v>
      </c>
      <c r="G2378" t="s">
        <v>125</v>
      </c>
      <c r="H2378" s="2">
        <f>_xlfn.XLOOKUP(Table1_1[[#This Row],[CAS_rn]],[1]analyte_order!$C:$C,[1]analyte_order!$E:$E)</f>
        <v>19</v>
      </c>
      <c r="I2378">
        <v>0.05</v>
      </c>
    </row>
    <row r="2379" spans="1:9" x14ac:dyDescent="0.3">
      <c r="A2379" s="2" t="s">
        <v>108</v>
      </c>
      <c r="B2379" s="3">
        <v>44391.5</v>
      </c>
      <c r="C2379" s="1" t="str">
        <f t="shared" ref="C2379:C2401" si="39">TEXT(B2379,"yy")&amp;TEXT((B2379-DATEVALUE("1/1/"&amp;TEXT(B2379,"yy"))+1),"000")</f>
        <v>21196</v>
      </c>
      <c r="D2379" t="s">
        <v>29</v>
      </c>
      <c r="E2379" s="2" t="s">
        <v>39</v>
      </c>
      <c r="F2379" s="2" t="str">
        <f>_xlfn.XLOOKUP(Table1_1[[#This Row],[CAS_rn]],[1]analyte_order!$C:$C,[1]analyte_order!$B:$B)</f>
        <v>PFDoS</v>
      </c>
      <c r="G2379" t="s">
        <v>126</v>
      </c>
      <c r="H2379" s="2">
        <f>_xlfn.XLOOKUP(Table1_1[[#This Row],[CAS_rn]],[1]analyte_order!$C:$C,[1]analyte_order!$E:$E)</f>
        <v>21</v>
      </c>
      <c r="I2379">
        <v>0.05</v>
      </c>
    </row>
    <row r="2380" spans="1:9" x14ac:dyDescent="0.3">
      <c r="A2380" s="2" t="s">
        <v>108</v>
      </c>
      <c r="B2380" s="3">
        <v>44391.5</v>
      </c>
      <c r="C2380" s="1" t="str">
        <f t="shared" si="39"/>
        <v>21196</v>
      </c>
      <c r="D2380" t="s">
        <v>29</v>
      </c>
      <c r="E2380" s="2" t="s">
        <v>39</v>
      </c>
      <c r="F2380" s="2" t="str">
        <f>_xlfn.XLOOKUP(Table1_1[[#This Row],[CAS_rn]],[1]analyte_order!$C:$C,[1]analyte_order!$B:$B)</f>
        <v>4:2 FTS</v>
      </c>
      <c r="G2380" t="s">
        <v>127</v>
      </c>
      <c r="H2380" s="2">
        <f>_xlfn.XLOOKUP(Table1_1[[#This Row],[CAS_rn]],[1]analyte_order!$C:$C,[1]analyte_order!$E:$E)</f>
        <v>22</v>
      </c>
      <c r="I2380">
        <v>0.2</v>
      </c>
    </row>
    <row r="2381" spans="1:9" x14ac:dyDescent="0.3">
      <c r="A2381" s="2" t="s">
        <v>108</v>
      </c>
      <c r="B2381" s="3">
        <v>44391.5</v>
      </c>
      <c r="C2381" s="1" t="str">
        <f t="shared" si="39"/>
        <v>21196</v>
      </c>
      <c r="D2381" t="s">
        <v>29</v>
      </c>
      <c r="E2381" s="2" t="s">
        <v>39</v>
      </c>
      <c r="F2381" s="2" t="str">
        <f>_xlfn.XLOOKUP(Table1_1[[#This Row],[CAS_rn]],[1]analyte_order!$C:$C,[1]analyte_order!$B:$B)</f>
        <v>6:2 FTS</v>
      </c>
      <c r="G2381" t="s">
        <v>128</v>
      </c>
      <c r="H2381" s="2">
        <f>_xlfn.XLOOKUP(Table1_1[[#This Row],[CAS_rn]],[1]analyte_order!$C:$C,[1]analyte_order!$E:$E)</f>
        <v>23</v>
      </c>
      <c r="I2381">
        <v>0.4</v>
      </c>
    </row>
    <row r="2382" spans="1:9" x14ac:dyDescent="0.3">
      <c r="A2382" s="2" t="s">
        <v>108</v>
      </c>
      <c r="B2382" s="3">
        <v>44391.5</v>
      </c>
      <c r="C2382" s="1" t="str">
        <f t="shared" si="39"/>
        <v>21196</v>
      </c>
      <c r="D2382" t="s">
        <v>29</v>
      </c>
      <c r="E2382" s="2" t="s">
        <v>39</v>
      </c>
      <c r="F2382" s="2" t="str">
        <f>_xlfn.XLOOKUP(Table1_1[[#This Row],[CAS_rn]],[1]analyte_order!$C:$C,[1]analyte_order!$B:$B)</f>
        <v>8:2 FTS</v>
      </c>
      <c r="G2382" t="s">
        <v>129</v>
      </c>
      <c r="H2382" s="2">
        <f>_xlfn.XLOOKUP(Table1_1[[#This Row],[CAS_rn]],[1]analyte_order!$C:$C,[1]analyte_order!$E:$E)</f>
        <v>24</v>
      </c>
      <c r="I2382">
        <v>0.4</v>
      </c>
    </row>
    <row r="2383" spans="1:9" x14ac:dyDescent="0.3">
      <c r="A2383" s="2" t="s">
        <v>108</v>
      </c>
      <c r="B2383" s="3">
        <v>44391.5</v>
      </c>
      <c r="C2383" s="1" t="str">
        <f t="shared" si="39"/>
        <v>21196</v>
      </c>
      <c r="D2383" t="s">
        <v>29</v>
      </c>
      <c r="E2383" s="2" t="s">
        <v>39</v>
      </c>
      <c r="F2383" s="2" t="str">
        <f>_xlfn.XLOOKUP(Table1_1[[#This Row],[CAS_rn]],[1]analyte_order!$C:$C,[1]analyte_order!$B:$B)</f>
        <v>FOSA</v>
      </c>
      <c r="G2383" t="s">
        <v>130</v>
      </c>
      <c r="H2383" s="2">
        <f>_xlfn.XLOOKUP(Table1_1[[#This Row],[CAS_rn]],[1]analyte_order!$C:$C,[1]analyte_order!$E:$E)</f>
        <v>28</v>
      </c>
      <c r="I2383">
        <v>0.09</v>
      </c>
    </row>
    <row r="2384" spans="1:9" x14ac:dyDescent="0.3">
      <c r="A2384" s="2" t="s">
        <v>108</v>
      </c>
      <c r="B2384" s="3">
        <v>44391.5</v>
      </c>
      <c r="C2384" s="1" t="str">
        <f t="shared" si="39"/>
        <v>21196</v>
      </c>
      <c r="D2384" t="s">
        <v>29</v>
      </c>
      <c r="E2384" s="2" t="s">
        <v>39</v>
      </c>
      <c r="F2384" s="2" t="str">
        <f>_xlfn.XLOOKUP(Table1_1[[#This Row],[CAS_rn]],[1]analyte_order!$C:$C,[1]analyte_order!$B:$B)</f>
        <v>N-MeFOSA</v>
      </c>
      <c r="G2384" t="s">
        <v>131</v>
      </c>
      <c r="H2384" s="2">
        <f>_xlfn.XLOOKUP(Table1_1[[#This Row],[CAS_rn]],[1]analyte_order!$C:$C,[1]analyte_order!$E:$E)</f>
        <v>30</v>
      </c>
      <c r="I2384">
        <v>0.05</v>
      </c>
    </row>
    <row r="2385" spans="1:9" x14ac:dyDescent="0.3">
      <c r="A2385" s="2" t="s">
        <v>108</v>
      </c>
      <c r="B2385" s="3">
        <v>44391.5</v>
      </c>
      <c r="C2385" s="1" t="str">
        <f t="shared" si="39"/>
        <v>21196</v>
      </c>
      <c r="D2385" t="s">
        <v>29</v>
      </c>
      <c r="E2385" s="2" t="s">
        <v>39</v>
      </c>
      <c r="F2385" s="2" t="str">
        <f>_xlfn.XLOOKUP(Table1_1[[#This Row],[CAS_rn]],[1]analyte_order!$C:$C,[1]analyte_order!$B:$B)</f>
        <v>N-MeFOSAA</v>
      </c>
      <c r="G2385" t="s">
        <v>132</v>
      </c>
      <c r="H2385" s="2">
        <f>_xlfn.XLOOKUP(Table1_1[[#This Row],[CAS_rn]],[1]analyte_order!$C:$C,[1]analyte_order!$E:$E)</f>
        <v>26</v>
      </c>
      <c r="I2385">
        <v>0.05</v>
      </c>
    </row>
    <row r="2386" spans="1:9" x14ac:dyDescent="0.3">
      <c r="A2386" s="2" t="s">
        <v>108</v>
      </c>
      <c r="B2386" s="3">
        <v>44391.5</v>
      </c>
      <c r="C2386" s="1" t="str">
        <f t="shared" si="39"/>
        <v>21196</v>
      </c>
      <c r="D2386" t="s">
        <v>29</v>
      </c>
      <c r="E2386" s="2" t="s">
        <v>39</v>
      </c>
      <c r="F2386" s="2" t="str">
        <f>_xlfn.XLOOKUP(Table1_1[[#This Row],[CAS_rn]],[1]analyte_order!$C:$C,[1]analyte_order!$B:$B)</f>
        <v>N-EtFOSA</v>
      </c>
      <c r="G2386" t="s">
        <v>133</v>
      </c>
      <c r="H2386" s="2">
        <f>_xlfn.XLOOKUP(Table1_1[[#This Row],[CAS_rn]],[1]analyte_order!$C:$C,[1]analyte_order!$E:$E)</f>
        <v>31</v>
      </c>
      <c r="I2386">
        <v>0.05</v>
      </c>
    </row>
    <row r="2387" spans="1:9" x14ac:dyDescent="0.3">
      <c r="A2387" s="2" t="s">
        <v>108</v>
      </c>
      <c r="B2387" s="3">
        <v>44391.5</v>
      </c>
      <c r="C2387" s="1" t="str">
        <f t="shared" si="39"/>
        <v>21196</v>
      </c>
      <c r="D2387" t="s">
        <v>29</v>
      </c>
      <c r="E2387" s="2" t="s">
        <v>39</v>
      </c>
      <c r="F2387" s="2" t="str">
        <f>_xlfn.XLOOKUP(Table1_1[[#This Row],[CAS_rn]],[1]analyte_order!$C:$C,[1]analyte_order!$B:$B)</f>
        <v>N-EtFOSAA</v>
      </c>
      <c r="G2387" t="s">
        <v>134</v>
      </c>
      <c r="H2387" s="2">
        <f>_xlfn.XLOOKUP(Table1_1[[#This Row],[CAS_rn]],[1]analyte_order!$C:$C,[1]analyte_order!$E:$E)</f>
        <v>27</v>
      </c>
      <c r="I2387">
        <v>0.05</v>
      </c>
    </row>
    <row r="2388" spans="1:9" x14ac:dyDescent="0.3">
      <c r="A2388" s="2" t="s">
        <v>108</v>
      </c>
      <c r="B2388" s="3">
        <v>44391.5</v>
      </c>
      <c r="C2388" s="1" t="str">
        <f t="shared" si="39"/>
        <v>21196</v>
      </c>
      <c r="D2388" t="s">
        <v>29</v>
      </c>
      <c r="E2388" s="2" t="s">
        <v>39</v>
      </c>
      <c r="F2388" s="2" t="str">
        <f>_xlfn.XLOOKUP(Table1_1[[#This Row],[CAS_rn]],[1]analyte_order!$C:$C,[1]analyte_order!$B:$B)</f>
        <v>N-MeFOSE</v>
      </c>
      <c r="G2388" t="s">
        <v>135</v>
      </c>
      <c r="H2388" s="2">
        <f>_xlfn.XLOOKUP(Table1_1[[#This Row],[CAS_rn]],[1]analyte_order!$C:$C,[1]analyte_order!$E:$E)</f>
        <v>32</v>
      </c>
      <c r="I2388">
        <v>0.5</v>
      </c>
    </row>
    <row r="2389" spans="1:9" x14ac:dyDescent="0.3">
      <c r="A2389" s="2" t="s">
        <v>108</v>
      </c>
      <c r="B2389" s="3">
        <v>44391.5</v>
      </c>
      <c r="C2389" s="1" t="str">
        <f t="shared" si="39"/>
        <v>21196</v>
      </c>
      <c r="D2389" t="s">
        <v>29</v>
      </c>
      <c r="E2389" s="2" t="s">
        <v>39</v>
      </c>
      <c r="F2389" s="2" t="str">
        <f>_xlfn.XLOOKUP(Table1_1[[#This Row],[CAS_rn]],[1]analyte_order!$C:$C,[1]analyte_order!$B:$B)</f>
        <v>N-EtFOSE</v>
      </c>
      <c r="G2389" t="s">
        <v>136</v>
      </c>
      <c r="H2389" s="2">
        <f>_xlfn.XLOOKUP(Table1_1[[#This Row],[CAS_rn]],[1]analyte_order!$C:$C,[1]analyte_order!$E:$E)</f>
        <v>33</v>
      </c>
      <c r="I2389">
        <v>0.5</v>
      </c>
    </row>
    <row r="2390" spans="1:9" x14ac:dyDescent="0.3">
      <c r="A2390" s="2" t="s">
        <v>108</v>
      </c>
      <c r="B2390" s="3">
        <v>44391.5</v>
      </c>
      <c r="C2390" s="1" t="str">
        <f t="shared" si="39"/>
        <v>21196</v>
      </c>
      <c r="D2390" t="s">
        <v>29</v>
      </c>
      <c r="E2390" s="2" t="s">
        <v>39</v>
      </c>
      <c r="F2390" s="2" t="str">
        <f>_xlfn.XLOOKUP(Table1_1[[#This Row],[CAS_rn]],[1]analyte_order!$C:$C,[1]analyte_order!$B:$B)</f>
        <v>HFPO-DA</v>
      </c>
      <c r="G2390" t="s">
        <v>137</v>
      </c>
      <c r="H2390" s="2">
        <f>_xlfn.XLOOKUP(Table1_1[[#This Row],[CAS_rn]],[1]analyte_order!$C:$C,[1]analyte_order!$E:$E)</f>
        <v>34</v>
      </c>
      <c r="I2390">
        <v>0.3</v>
      </c>
    </row>
    <row r="2391" spans="1:9" x14ac:dyDescent="0.3">
      <c r="A2391" s="2" t="s">
        <v>108</v>
      </c>
      <c r="B2391" s="3">
        <v>44391.5</v>
      </c>
      <c r="C2391" s="1" t="str">
        <f t="shared" si="39"/>
        <v>21196</v>
      </c>
      <c r="D2391" t="s">
        <v>29</v>
      </c>
      <c r="E2391" s="2" t="s">
        <v>39</v>
      </c>
      <c r="F2391" s="2" t="str">
        <f>_xlfn.XLOOKUP(Table1_1[[#This Row],[CAS_rn]],[1]analyte_order!$C:$C,[1]analyte_order!$B:$B)</f>
        <v>ADONA</v>
      </c>
      <c r="G2391" t="s">
        <v>138</v>
      </c>
      <c r="H2391" s="2">
        <f>_xlfn.XLOOKUP(Table1_1[[#This Row],[CAS_rn]],[1]analyte_order!$C:$C,[1]analyte_order!$E:$E)</f>
        <v>35</v>
      </c>
      <c r="I2391">
        <v>0.2</v>
      </c>
    </row>
    <row r="2392" spans="1:9" x14ac:dyDescent="0.3">
      <c r="A2392" s="2" t="s">
        <v>108</v>
      </c>
      <c r="B2392" s="3">
        <v>44391.5</v>
      </c>
      <c r="C2392" s="1" t="str">
        <f t="shared" si="39"/>
        <v>21196</v>
      </c>
      <c r="D2392" t="s">
        <v>29</v>
      </c>
      <c r="E2392" s="2" t="s">
        <v>39</v>
      </c>
      <c r="F2392" s="2" t="str">
        <f>_xlfn.XLOOKUP(Table1_1[[#This Row],[CAS_rn]],[1]analyte_order!$C:$C,[1]analyte_order!$B:$B)</f>
        <v>PFMBA</v>
      </c>
      <c r="G2392" t="s">
        <v>139</v>
      </c>
      <c r="H2392" s="2">
        <f>_xlfn.XLOOKUP(Table1_1[[#This Row],[CAS_rn]],[1]analyte_order!$C:$C,[1]analyte_order!$E:$E)</f>
        <v>48</v>
      </c>
      <c r="I2392">
        <v>0.1</v>
      </c>
    </row>
    <row r="2393" spans="1:9" x14ac:dyDescent="0.3">
      <c r="A2393" s="2" t="s">
        <v>108</v>
      </c>
      <c r="B2393" s="3">
        <v>44391.5</v>
      </c>
      <c r="C2393" s="1" t="str">
        <f t="shared" si="39"/>
        <v>21196</v>
      </c>
      <c r="D2393" t="s">
        <v>29</v>
      </c>
      <c r="E2393" s="2" t="s">
        <v>39</v>
      </c>
      <c r="F2393" s="2" t="str">
        <f>_xlfn.XLOOKUP(Table1_1[[#This Row],[CAS_rn]],[1]analyte_order!$C:$C,[1]analyte_order!$B:$B)</f>
        <v>NFDHA</v>
      </c>
      <c r="G2393" t="s">
        <v>140</v>
      </c>
      <c r="H2393" s="2">
        <f>_xlfn.XLOOKUP(Table1_1[[#This Row],[CAS_rn]],[1]analyte_order!$C:$C,[1]analyte_order!$E:$E)</f>
        <v>50</v>
      </c>
      <c r="I2393">
        <v>0.1</v>
      </c>
    </row>
    <row r="2394" spans="1:9" x14ac:dyDescent="0.3">
      <c r="A2394" s="2" t="s">
        <v>108</v>
      </c>
      <c r="B2394" s="3">
        <v>44391.5</v>
      </c>
      <c r="C2394" s="1" t="str">
        <f t="shared" si="39"/>
        <v>21196</v>
      </c>
      <c r="D2394" t="s">
        <v>29</v>
      </c>
      <c r="E2394" s="2" t="s">
        <v>39</v>
      </c>
      <c r="F2394" s="2" t="str">
        <f>_xlfn.XLOOKUP(Table1_1[[#This Row],[CAS_rn]],[1]analyte_order!$C:$C,[1]analyte_order!$B:$B)</f>
        <v>9Cl-PF3ONS</v>
      </c>
      <c r="G2394" t="s">
        <v>141</v>
      </c>
      <c r="H2394" s="2">
        <f>_xlfn.XLOOKUP(Table1_1[[#This Row],[CAS_rn]],[1]analyte_order!$C:$C,[1]analyte_order!$E:$E)</f>
        <v>36</v>
      </c>
      <c r="I2394">
        <v>0.2</v>
      </c>
    </row>
    <row r="2395" spans="1:9" x14ac:dyDescent="0.3">
      <c r="A2395" s="2" t="s">
        <v>108</v>
      </c>
      <c r="B2395" s="3">
        <v>44391.5</v>
      </c>
      <c r="C2395" s="1" t="str">
        <f t="shared" si="39"/>
        <v>21196</v>
      </c>
      <c r="D2395" t="s">
        <v>29</v>
      </c>
      <c r="E2395" s="2" t="s">
        <v>39</v>
      </c>
      <c r="F2395" s="2" t="str">
        <f>_xlfn.XLOOKUP(Table1_1[[#This Row],[CAS_rn]],[1]analyte_order!$C:$C,[1]analyte_order!$B:$B)</f>
        <v>11Cl-PF3OUdS</v>
      </c>
      <c r="G2395" t="s">
        <v>142</v>
      </c>
      <c r="H2395" s="2">
        <f>_xlfn.XLOOKUP(Table1_1[[#This Row],[CAS_rn]],[1]analyte_order!$C:$C,[1]analyte_order!$E:$E)</f>
        <v>37</v>
      </c>
      <c r="I2395">
        <v>0.2</v>
      </c>
    </row>
    <row r="2396" spans="1:9" x14ac:dyDescent="0.3">
      <c r="A2396" s="2" t="s">
        <v>108</v>
      </c>
      <c r="B2396" s="3">
        <v>44391.5</v>
      </c>
      <c r="C2396" s="1" t="str">
        <f t="shared" si="39"/>
        <v>21196</v>
      </c>
      <c r="D2396" t="s">
        <v>29</v>
      </c>
      <c r="E2396" s="2" t="s">
        <v>39</v>
      </c>
      <c r="F2396" s="2" t="str">
        <f>_xlfn.XLOOKUP(Table1_1[[#This Row],[CAS_rn]],[1]analyte_order!$C:$C,[1]analyte_order!$B:$B)</f>
        <v>PFEESA</v>
      </c>
      <c r="G2396" t="s">
        <v>143</v>
      </c>
      <c r="H2396" s="2">
        <f>_xlfn.XLOOKUP(Table1_1[[#This Row],[CAS_rn]],[1]analyte_order!$C:$C,[1]analyte_order!$E:$E)</f>
        <v>47</v>
      </c>
      <c r="I2396">
        <v>0.1</v>
      </c>
    </row>
    <row r="2397" spans="1:9" x14ac:dyDescent="0.3">
      <c r="A2397" s="2" t="s">
        <v>108</v>
      </c>
      <c r="B2397" s="3">
        <v>44391.5</v>
      </c>
      <c r="C2397" s="1" t="str">
        <f t="shared" si="39"/>
        <v>21196</v>
      </c>
      <c r="D2397" t="s">
        <v>29</v>
      </c>
      <c r="E2397" s="2" t="s">
        <v>39</v>
      </c>
      <c r="F2397" s="2" t="str">
        <f>_xlfn.XLOOKUP(Table1_1[[#This Row],[CAS_rn]],[1]analyte_order!$C:$C,[1]analyte_order!$B:$B)</f>
        <v>3:3 FTCA</v>
      </c>
      <c r="G2397" t="s">
        <v>144</v>
      </c>
      <c r="H2397" s="2">
        <f>_xlfn.XLOOKUP(Table1_1[[#This Row],[CAS_rn]],[1]analyte_order!$C:$C,[1]analyte_order!$E:$E)</f>
        <v>38</v>
      </c>
      <c r="I2397">
        <v>0.25</v>
      </c>
    </row>
    <row r="2398" spans="1:9" x14ac:dyDescent="0.3">
      <c r="A2398" s="2" t="s">
        <v>108</v>
      </c>
      <c r="B2398" s="3">
        <v>44391.5</v>
      </c>
      <c r="C2398" s="1" t="str">
        <f t="shared" si="39"/>
        <v>21196</v>
      </c>
      <c r="D2398" t="s">
        <v>29</v>
      </c>
      <c r="E2398" s="2" t="s">
        <v>39</v>
      </c>
      <c r="F2398" s="2" t="str">
        <f>_xlfn.XLOOKUP(Table1_1[[#This Row],[CAS_rn]],[1]analyte_order!$C:$C,[1]analyte_order!$B:$B)</f>
        <v>5:3 FTCA</v>
      </c>
      <c r="G2398" t="s">
        <v>145</v>
      </c>
      <c r="H2398" s="2">
        <f>_xlfn.XLOOKUP(Table1_1[[#This Row],[CAS_rn]],[1]analyte_order!$C:$C,[1]analyte_order!$E:$E)</f>
        <v>39</v>
      </c>
      <c r="I2398">
        <v>1.25</v>
      </c>
    </row>
    <row r="2399" spans="1:9" x14ac:dyDescent="0.3">
      <c r="A2399" s="2" t="s">
        <v>108</v>
      </c>
      <c r="B2399" s="3">
        <v>44391.5</v>
      </c>
      <c r="C2399" s="1" t="str">
        <f t="shared" si="39"/>
        <v>21196</v>
      </c>
      <c r="D2399" t="s">
        <v>29</v>
      </c>
      <c r="E2399" s="2" t="s">
        <v>39</v>
      </c>
      <c r="F2399" s="2" t="str">
        <f>_xlfn.XLOOKUP(Table1_1[[#This Row],[CAS_rn]],[1]analyte_order!$C:$C,[1]analyte_order!$B:$B)</f>
        <v>7:3 FTCA</v>
      </c>
      <c r="G2399" t="s">
        <v>146</v>
      </c>
      <c r="H2399" s="2">
        <f>_xlfn.XLOOKUP(Table1_1[[#This Row],[CAS_rn]],[1]analyte_order!$C:$C,[1]analyte_order!$E:$E)</f>
        <v>40</v>
      </c>
      <c r="I2399">
        <v>1.25</v>
      </c>
    </row>
    <row r="2400" spans="1:9" x14ac:dyDescent="0.3">
      <c r="A2400" s="2" t="s">
        <v>108</v>
      </c>
      <c r="B2400" s="3">
        <v>44391.5</v>
      </c>
      <c r="C2400" s="1" t="str">
        <f t="shared" si="39"/>
        <v>21196</v>
      </c>
      <c r="D2400" t="s">
        <v>29</v>
      </c>
      <c r="E2400" s="2" t="s">
        <v>39</v>
      </c>
      <c r="F2400" s="2" t="str">
        <f>_xlfn.XLOOKUP(Table1_1[[#This Row],[CAS_rn]],[1]analyte_order!$C:$C,[1]analyte_order!$B:$B)</f>
        <v>PFDS</v>
      </c>
      <c r="G2400" t="s">
        <v>147</v>
      </c>
      <c r="H2400" s="2">
        <f>_xlfn.XLOOKUP(Table1_1[[#This Row],[CAS_rn]],[1]analyte_order!$C:$C,[1]analyte_order!$E:$E)</f>
        <v>20</v>
      </c>
      <c r="I2400">
        <v>0.05</v>
      </c>
    </row>
    <row r="2401" spans="1:9" x14ac:dyDescent="0.3">
      <c r="A2401" s="2" t="s">
        <v>108</v>
      </c>
      <c r="B2401" s="3">
        <v>44391.5</v>
      </c>
      <c r="C2401" s="1" t="str">
        <f t="shared" si="39"/>
        <v>21196</v>
      </c>
      <c r="D2401" t="s">
        <v>29</v>
      </c>
      <c r="E2401" s="2" t="s">
        <v>39</v>
      </c>
      <c r="F2401" s="2" t="str">
        <f>_xlfn.XLOOKUP(Table1_1[[#This Row],[CAS_rn]],[1]analyte_order!$C:$C,[1]analyte_order!$B:$B)</f>
        <v>PFMPA</v>
      </c>
      <c r="G2401" t="s">
        <v>148</v>
      </c>
      <c r="H2401" s="2">
        <f>_xlfn.XLOOKUP(Table1_1[[#This Row],[CAS_rn]],[1]analyte_order!$C:$C,[1]analyte_order!$E:$E)</f>
        <v>49</v>
      </c>
      <c r="I2401">
        <v>0.1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3A57BC-379D-4ACE-9921-1025F0F1E1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Log</vt:lpstr>
      <vt:lpstr>Sediment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Abbi</dc:creator>
  <cp:lastModifiedBy>Brown, Abbi</cp:lastModifiedBy>
  <dcterms:created xsi:type="dcterms:W3CDTF">2024-08-19T18:55:51Z</dcterms:created>
  <dcterms:modified xsi:type="dcterms:W3CDTF">2024-08-29T12:13:19Z</dcterms:modified>
</cp:coreProperties>
</file>