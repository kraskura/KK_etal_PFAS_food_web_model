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-my.sharepoint.com/personal/csalice_towson_edu/Documents/Salice Lab/SERDP Fish Bioaccumulation/Data Files/Working Datasets/"/>
    </mc:Choice>
  </mc:AlternateContent>
  <xr:revisionPtr revIDLastSave="73" documentId="13_ncr:1_{70317DE9-27EF-40CA-84FD-7E048DC49074}" xr6:coauthVersionLast="47" xr6:coauthVersionMax="47" xr10:uidLastSave="{4B75AD36-78AE-408A-A52F-03652C873A9D}"/>
  <bookViews>
    <workbookView xWindow="-108" yWindow="-108" windowWidth="23256" windowHeight="12456" activeTab="2" xr2:uid="{16CC8CCD-FE4C-496E-96FB-33BE28F81A3E}"/>
  </bookViews>
  <sheets>
    <sheet name="Sediment" sheetId="2" r:id="rId1"/>
    <sheet name="Log" sheetId="6" r:id="rId2"/>
    <sheet name="Data" sheetId="5" r:id="rId3"/>
  </sheets>
  <externalReferences>
    <externalReference r:id="rId4"/>
  </externalReferences>
  <definedNames>
    <definedName name="ExternalData_1" localSheetId="0" hidden="1">Sediment!$A$1:$G$1725</definedName>
    <definedName name="ExternalData_2" localSheetId="2" hidden="1">Data!$A$1:$AW$63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5" l="1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2" i="5"/>
  <c r="A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4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2" i="6"/>
  <c r="AK1" i="6"/>
  <c r="AL1" i="6"/>
  <c r="AM1" i="6"/>
  <c r="AN1" i="6"/>
  <c r="B1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1" i="6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40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8B8D0-4376-4950-9E91-021763640FE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DEB8828-7FCB-452D-A67E-C6BE01F2C4C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A0D32F3-9D35-4347-A505-C15E15DBEFC3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664CAE28-C848-4E29-94B1-2E1AB20A6322}" keepAlive="1" name="Query - Table1_14" description="Connection to the 'Table1_14' query in the workbook." type="5" refreshedVersion="8" background="1" saveData="1">
    <dbPr connection="Provider=Microsoft.Mashup.OleDb.1;Data Source=$Workbook$;Location=Table1_14;Extended Properties=&quot;&quot;" command="SELECT * FROM [Table1_14]"/>
  </connection>
</connections>
</file>

<file path=xl/sharedStrings.xml><?xml version="1.0" encoding="utf-8"?>
<sst xmlns="http://schemas.openxmlformats.org/spreadsheetml/2006/main" count="6661" uniqueCount="206">
  <si>
    <t>SampleID</t>
  </si>
  <si>
    <t>Location</t>
  </si>
  <si>
    <t>SampleDate</t>
  </si>
  <si>
    <t>SedimentType</t>
  </si>
  <si>
    <t>GrainSize</t>
  </si>
  <si>
    <t>TOC</t>
  </si>
  <si>
    <t>Gravel</t>
  </si>
  <si>
    <t>Silt_Clay</t>
  </si>
  <si>
    <t>Solids</t>
  </si>
  <si>
    <t>PFBA</t>
  </si>
  <si>
    <t>PFPeA</t>
  </si>
  <si>
    <t>PFBS</t>
  </si>
  <si>
    <t>PFHxA</t>
  </si>
  <si>
    <t>PFPeS</t>
  </si>
  <si>
    <t>PFHpA</t>
  </si>
  <si>
    <t>PFHxS</t>
  </si>
  <si>
    <t>PFOA</t>
  </si>
  <si>
    <t>PFHpS</t>
  </si>
  <si>
    <t>PFNA</t>
  </si>
  <si>
    <t>PFOS</t>
  </si>
  <si>
    <t>WG001-SED-WEST-10092020</t>
  </si>
  <si>
    <t>North</t>
  </si>
  <si>
    <t>Silt</t>
  </si>
  <si>
    <t>WG002-SED-SPILL-10092020</t>
  </si>
  <si>
    <t>Spill</t>
  </si>
  <si>
    <t>Medium Sand</t>
  </si>
  <si>
    <t>WG003-SED-EAST-10092020</t>
  </si>
  <si>
    <t>South</t>
  </si>
  <si>
    <t>WG004-SED-HEAD-10092020</t>
  </si>
  <si>
    <t>Head</t>
  </si>
  <si>
    <t>WG005-SED-WEST-10132020</t>
  </si>
  <si>
    <t>WG006-SED-SPILL-10132020</t>
  </si>
  <si>
    <t>WG007-SED-EAST-10132020</t>
  </si>
  <si>
    <t>WG008-SED-HEAD-10132020</t>
  </si>
  <si>
    <t>WG009-SED-WEST-10152020</t>
  </si>
  <si>
    <t>WG011-SED-EAST-10152020</t>
  </si>
  <si>
    <t>WG012-SED-HEAD-10152020</t>
  </si>
  <si>
    <t>WG013-SED-WEST-10202020</t>
  </si>
  <si>
    <t>WG014-SED-SPILL-10202020</t>
  </si>
  <si>
    <t>WG015-SED-EAST-10202020</t>
  </si>
  <si>
    <t>WG016-SED-HEAD-10202020</t>
  </si>
  <si>
    <t>WG017-SED-WEST-10232020</t>
  </si>
  <si>
    <t>WG018-SED-SPILL-10232020</t>
  </si>
  <si>
    <t>WG019-SED-EAST-10232020</t>
  </si>
  <si>
    <t>WG021-SED-WEST-10272020</t>
  </si>
  <si>
    <t>WG022-SED-SPILL-10272020</t>
  </si>
  <si>
    <t>WG023-SED-EAST-10272020</t>
  </si>
  <si>
    <t>WG025-SED-WEST-10292020</t>
  </si>
  <si>
    <t>WG026-SED-SPILL-10292020</t>
  </si>
  <si>
    <t>WG027-SED-EAST-10292020</t>
  </si>
  <si>
    <t>WG028-SED-HEAD-10292020</t>
  </si>
  <si>
    <t>WG029-SED-WEST-11032020</t>
  </si>
  <si>
    <t>WG031-SED-EAST-11032020</t>
  </si>
  <si>
    <t>WG033-SED-WEST-11052020</t>
  </si>
  <si>
    <t>WG035-SED-EAST-11052020</t>
  </si>
  <si>
    <t>WG036-SED-HEAD-11052020</t>
  </si>
  <si>
    <t>WG037-SED-WEST-11102020</t>
  </si>
  <si>
    <t>WG038-SED-SPILL-11102020</t>
  </si>
  <si>
    <t>WG039-SED-EAST-11102020</t>
  </si>
  <si>
    <t>WG040-SED-HEAD-11102020</t>
  </si>
  <si>
    <t>6:2 FTS</t>
  </si>
  <si>
    <t>Parameter</t>
  </si>
  <si>
    <t>Result</t>
  </si>
  <si>
    <t>WG084-SED-WEST-06152021</t>
  </si>
  <si>
    <t>WG085-SED-SPILL-06152021</t>
  </si>
  <si>
    <t>WG086-SED-EAST-06152021</t>
  </si>
  <si>
    <t>WG087-SED-HEAD-06152021</t>
  </si>
  <si>
    <t>WG096-SED-WEST-06302021</t>
  </si>
  <si>
    <t>WG097-SED-SPILL-06302021</t>
  </si>
  <si>
    <t>WG098-SED-EAST-06302021</t>
  </si>
  <si>
    <t>WG099-SED-HEAD-06302021</t>
  </si>
  <si>
    <t>WG100-SED-WEST-07022021</t>
  </si>
  <si>
    <t>WG101-SED-SPILL-07022021</t>
  </si>
  <si>
    <t>WG102-SED-EAST-07022021</t>
  </si>
  <si>
    <t>WG103-SED-HEAD-07022021</t>
  </si>
  <si>
    <t>WG108-SED-WEST-07082021</t>
  </si>
  <si>
    <t>WG109-SED-SPILL-07082021</t>
  </si>
  <si>
    <t>WG110-SED-EAST-07082021</t>
  </si>
  <si>
    <t>WG111-SED-HEAD-07082021</t>
  </si>
  <si>
    <t>WG116-SED-WEST-07132021</t>
  </si>
  <si>
    <t>WG117-SED-SPILL-07132021</t>
  </si>
  <si>
    <t>WG118-SED-EAST-07132021</t>
  </si>
  <si>
    <t>WG119-SED-HEAD-07132021</t>
  </si>
  <si>
    <t>CAS_rn</t>
  </si>
  <si>
    <t>Order</t>
  </si>
  <si>
    <t>375-22-4</t>
  </si>
  <si>
    <t>2706-90-3</t>
  </si>
  <si>
    <t>307-24-4</t>
  </si>
  <si>
    <t>375-85-9</t>
  </si>
  <si>
    <t>335-67-1</t>
  </si>
  <si>
    <t>375-95-1</t>
  </si>
  <si>
    <t>335-76-2</t>
  </si>
  <si>
    <t>2058-94-8</t>
  </si>
  <si>
    <t>307-55-1</t>
  </si>
  <si>
    <t>72629-94-8</t>
  </si>
  <si>
    <t>376-06-7</t>
  </si>
  <si>
    <t>375-73-5</t>
  </si>
  <si>
    <t>2706-91-4</t>
  </si>
  <si>
    <t>355-46-4</t>
  </si>
  <si>
    <t>375-92-8</t>
  </si>
  <si>
    <t>1763-23-1</t>
  </si>
  <si>
    <t>68259-12-1</t>
  </si>
  <si>
    <t>79780-39-5</t>
  </si>
  <si>
    <t>757124-72-4</t>
  </si>
  <si>
    <t>27619-97-2</t>
  </si>
  <si>
    <t>39108-34-4</t>
  </si>
  <si>
    <t>754-91-6</t>
  </si>
  <si>
    <t>31506-32-8</t>
  </si>
  <si>
    <t>2355-31-9</t>
  </si>
  <si>
    <t>4151-50-2</t>
  </si>
  <si>
    <t>2991-50-6</t>
  </si>
  <si>
    <t>24448-09-7</t>
  </si>
  <si>
    <t>1691-99-2</t>
  </si>
  <si>
    <t>13252-13-6</t>
  </si>
  <si>
    <t>919005-14-4</t>
  </si>
  <si>
    <t>863090-89-5</t>
  </si>
  <si>
    <t>151772-58-6</t>
  </si>
  <si>
    <t>756426-58-1</t>
  </si>
  <si>
    <t>763051-92-9</t>
  </si>
  <si>
    <t>113507-82-7</t>
  </si>
  <si>
    <t>356-02-5</t>
  </si>
  <si>
    <t>914637-49-3</t>
  </si>
  <si>
    <t>812-70-4</t>
  </si>
  <si>
    <t>335-77-3</t>
  </si>
  <si>
    <t>377-73-1</t>
  </si>
  <si>
    <t>HEAD</t>
  </si>
  <si>
    <t>SPILL</t>
  </si>
  <si>
    <t>SOUTH</t>
  </si>
  <si>
    <t>NORTH</t>
  </si>
  <si>
    <t>PFDA</t>
  </si>
  <si>
    <t>PFUnA</t>
  </si>
  <si>
    <t>PFDoA</t>
  </si>
  <si>
    <t>PFTrDA</t>
  </si>
  <si>
    <t>PFTeDA</t>
  </si>
  <si>
    <t>PFNS</t>
  </si>
  <si>
    <t>PFDoS</t>
  </si>
  <si>
    <t>4:2 FTS</t>
  </si>
  <si>
    <t>8:2 FTS</t>
  </si>
  <si>
    <t>FOSA</t>
  </si>
  <si>
    <t>N-MeFOSA</t>
  </si>
  <si>
    <t>N-MeFOSAA</t>
  </si>
  <si>
    <t>N-EtFOSA</t>
  </si>
  <si>
    <t>N-EtFOSAA</t>
  </si>
  <si>
    <t>N-MeFOSE</t>
  </si>
  <si>
    <t>N-EtFOSE</t>
  </si>
  <si>
    <t>HFPO-DA</t>
  </si>
  <si>
    <t>ADONA</t>
  </si>
  <si>
    <t>PFMBA</t>
  </si>
  <si>
    <t>NFDHA</t>
  </si>
  <si>
    <t>9Cl-PF3ONS</t>
  </si>
  <si>
    <t>11Cl-PF3OUdS</t>
  </si>
  <si>
    <t>PFEESA</t>
  </si>
  <si>
    <t>3:3 FTCA</t>
  </si>
  <si>
    <t>5:3 FTCA</t>
  </si>
  <si>
    <t>7:3 FTCA</t>
  </si>
  <si>
    <t>PFDS</t>
  </si>
  <si>
    <t>PFMPA</t>
  </si>
  <si>
    <t>log_PFBA</t>
  </si>
  <si>
    <t>log_PFPeA</t>
  </si>
  <si>
    <t>log_PFBS</t>
  </si>
  <si>
    <t>log_PFHxA</t>
  </si>
  <si>
    <t>log_PFPeS</t>
  </si>
  <si>
    <t>log_PFHpA</t>
  </si>
  <si>
    <t>log_PFHxS</t>
  </si>
  <si>
    <t>log_PFOA</t>
  </si>
  <si>
    <t>log_6:2 FTS</t>
  </si>
  <si>
    <t>log_PFHpS</t>
  </si>
  <si>
    <t>log_PFNA</t>
  </si>
  <si>
    <t>log_PFOS</t>
  </si>
  <si>
    <t>log_PFDA</t>
  </si>
  <si>
    <t>log_PFUnA</t>
  </si>
  <si>
    <t>log_PFDoA</t>
  </si>
  <si>
    <t>log_PFTrDA</t>
  </si>
  <si>
    <t>log_PFTeDA</t>
  </si>
  <si>
    <t>log_PFNS</t>
  </si>
  <si>
    <t>log_PFDoS</t>
  </si>
  <si>
    <t>log_4:2 FTS</t>
  </si>
  <si>
    <t>log_8:2 FTS</t>
  </si>
  <si>
    <t>log_FOSA</t>
  </si>
  <si>
    <t>log_N-MeFOSA</t>
  </si>
  <si>
    <t>log_N-MeFOSAA</t>
  </si>
  <si>
    <t>log_N-EtFOSA</t>
  </si>
  <si>
    <t>log_N-EtFOSAA</t>
  </si>
  <si>
    <t>log_N-MeFOSE</t>
  </si>
  <si>
    <t>log_N-EtFOSE</t>
  </si>
  <si>
    <t>log_HFPO-DA</t>
  </si>
  <si>
    <t>log_ADONA</t>
  </si>
  <si>
    <t>log_PFMBA</t>
  </si>
  <si>
    <t>log_NFDHA</t>
  </si>
  <si>
    <t>log_9Cl-PF3ONS</t>
  </si>
  <si>
    <t>log_11Cl-PF3OUdS</t>
  </si>
  <si>
    <t>log_PFEESA</t>
  </si>
  <si>
    <t>log_3:3 FTCA</t>
  </si>
  <si>
    <t>log_5:3 FTCA</t>
  </si>
  <si>
    <t>log_7:3 FTCA</t>
  </si>
  <si>
    <t>log_PFDS</t>
  </si>
  <si>
    <t>log_PFMPA</t>
  </si>
  <si>
    <t>SumPFAS</t>
  </si>
  <si>
    <t>WG052-SED-HEAD-02172021</t>
  </si>
  <si>
    <t>WG050-SED-SPILL-02172021</t>
  </si>
  <si>
    <t>WG049-SED-WEST-02172021</t>
  </si>
  <si>
    <t>WG051-SED-EAST-02172021</t>
  </si>
  <si>
    <t>WG083-SED-HEAD-03232021</t>
  </si>
  <si>
    <t>WG081-SED-SPILL-03232021</t>
  </si>
  <si>
    <t>WG080-SED-WEST-03232021</t>
  </si>
  <si>
    <t>WG082-SED-EAST-03232021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</si>
</sst>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8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-my.sharepoint.com/personal/csalice_towson_edu/Documents/Salice%20Lab/SERDP%20Fish%20Bioaccumulation/Data%20Files/analyte_order.xlsx" TargetMode="External"/><Relationship Id="rId1" Type="http://schemas.openxmlformats.org/officeDocument/2006/relationships/externalLinkPath" Target="/personal/csalice_towson_edu/Documents/Salice%20Lab/SERDP%20Fish%20Bioaccumulation/Data%20Files/analyte_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te_order"/>
    </sheetNames>
    <sheetDataSet>
      <sheetData sheetId="0">
        <row r="1">
          <cell r="C1" t="str">
            <v>cas_rn</v>
          </cell>
          <cell r="E1" t="str">
            <v>order</v>
          </cell>
        </row>
        <row r="2">
          <cell r="B2" t="str">
            <v>PFBA</v>
          </cell>
          <cell r="C2" t="str">
            <v>375-22-4</v>
          </cell>
          <cell r="E2">
            <v>1</v>
          </cell>
        </row>
        <row r="3">
          <cell r="B3" t="str">
            <v>PFPeA</v>
          </cell>
          <cell r="C3" t="str">
            <v>2706-90-3</v>
          </cell>
          <cell r="E3">
            <v>2</v>
          </cell>
        </row>
        <row r="4">
          <cell r="B4" t="str">
            <v>PFHxA</v>
          </cell>
          <cell r="C4" t="str">
            <v>307-24-4</v>
          </cell>
          <cell r="E4">
            <v>3</v>
          </cell>
        </row>
        <row r="5">
          <cell r="B5" t="str">
            <v>PFHpA</v>
          </cell>
          <cell r="C5" t="str">
            <v>375-85-9</v>
          </cell>
          <cell r="E5">
            <v>4</v>
          </cell>
        </row>
        <row r="6">
          <cell r="B6" t="str">
            <v>PFOA</v>
          </cell>
          <cell r="C6" t="str">
            <v>335-67-1</v>
          </cell>
          <cell r="E6">
            <v>5</v>
          </cell>
        </row>
        <row r="7">
          <cell r="B7" t="str">
            <v>PFNA</v>
          </cell>
          <cell r="C7" t="str">
            <v>375-95-1</v>
          </cell>
          <cell r="E7">
            <v>6</v>
          </cell>
        </row>
        <row r="8">
          <cell r="B8" t="str">
            <v>PFDA</v>
          </cell>
          <cell r="C8" t="str">
            <v>335-76-2</v>
          </cell>
          <cell r="E8">
            <v>7</v>
          </cell>
        </row>
        <row r="9">
          <cell r="B9" t="str">
            <v>PFUnA</v>
          </cell>
          <cell r="C9" t="str">
            <v>2058-94-8</v>
          </cell>
          <cell r="E9">
            <v>8</v>
          </cell>
        </row>
        <row r="10">
          <cell r="B10" t="str">
            <v>PFDoA</v>
          </cell>
          <cell r="C10" t="str">
            <v>307-55-1</v>
          </cell>
          <cell r="E10">
            <v>9</v>
          </cell>
        </row>
        <row r="11">
          <cell r="B11" t="str">
            <v>PFTrDA</v>
          </cell>
          <cell r="C11" t="str">
            <v>72629-94-8</v>
          </cell>
          <cell r="E11">
            <v>10</v>
          </cell>
        </row>
        <row r="12">
          <cell r="B12" t="str">
            <v>PFTeDA</v>
          </cell>
          <cell r="C12" t="str">
            <v>376-06-7</v>
          </cell>
          <cell r="E12">
            <v>11</v>
          </cell>
        </row>
        <row r="13">
          <cell r="B13" t="str">
            <v>PFHxDA</v>
          </cell>
          <cell r="C13" t="str">
            <v>67905-19-5</v>
          </cell>
          <cell r="E13">
            <v>12</v>
          </cell>
        </row>
        <row r="14">
          <cell r="B14" t="str">
            <v>PFBS</v>
          </cell>
          <cell r="C14" t="str">
            <v>375-73-5</v>
          </cell>
          <cell r="E14">
            <v>13</v>
          </cell>
        </row>
        <row r="15">
          <cell r="B15" t="str">
            <v>PFPeS</v>
          </cell>
          <cell r="C15" t="str">
            <v>2706-91-4</v>
          </cell>
          <cell r="E15">
            <v>14</v>
          </cell>
        </row>
        <row r="16">
          <cell r="B16" t="str">
            <v>PFHxS</v>
          </cell>
          <cell r="C16" t="str">
            <v>355-46-4</v>
          </cell>
          <cell r="E16">
            <v>15</v>
          </cell>
        </row>
        <row r="17">
          <cell r="B17" t="str">
            <v>PFHpS</v>
          </cell>
          <cell r="C17" t="str">
            <v>375-92-8</v>
          </cell>
          <cell r="E17">
            <v>16</v>
          </cell>
        </row>
        <row r="18">
          <cell r="B18" t="str">
            <v>PFOS</v>
          </cell>
          <cell r="C18" t="str">
            <v>1763-23-1</v>
          </cell>
          <cell r="E18">
            <v>17</v>
          </cell>
        </row>
        <row r="19">
          <cell r="B19" t="str">
            <v>PFNS</v>
          </cell>
          <cell r="C19" t="str">
            <v>68259-12-1</v>
          </cell>
          <cell r="E19">
            <v>18</v>
          </cell>
        </row>
        <row r="20">
          <cell r="B20" t="str">
            <v>PFDS</v>
          </cell>
          <cell r="C20" t="str">
            <v>335-77-3</v>
          </cell>
          <cell r="E20">
            <v>19</v>
          </cell>
        </row>
        <row r="21">
          <cell r="B21" t="str">
            <v>PFDoS</v>
          </cell>
          <cell r="C21" t="str">
            <v>79780-39-5</v>
          </cell>
          <cell r="E21">
            <v>20</v>
          </cell>
        </row>
        <row r="22">
          <cell r="B22" t="str">
            <v>4:2 FTS</v>
          </cell>
          <cell r="C22" t="str">
            <v>757124-72-4</v>
          </cell>
          <cell r="E22">
            <v>21</v>
          </cell>
        </row>
        <row r="23">
          <cell r="B23" t="str">
            <v>6:2 FTS</v>
          </cell>
          <cell r="C23" t="str">
            <v>27619-97-2</v>
          </cell>
          <cell r="E23">
            <v>22</v>
          </cell>
        </row>
        <row r="24">
          <cell r="B24" t="str">
            <v>8:2 FTS</v>
          </cell>
          <cell r="C24" t="str">
            <v>39108-34-4</v>
          </cell>
          <cell r="E24">
            <v>23</v>
          </cell>
        </row>
        <row r="25">
          <cell r="B25" t="str">
            <v>10:2 FTS</v>
          </cell>
          <cell r="C25" t="str">
            <v>120226-60-0</v>
          </cell>
          <cell r="E25">
            <v>24</v>
          </cell>
        </row>
        <row r="26">
          <cell r="B26" t="str">
            <v>N-MeFOSAA</v>
          </cell>
          <cell r="C26" t="str">
            <v>2355-31-9</v>
          </cell>
          <cell r="E26">
            <v>25</v>
          </cell>
        </row>
        <row r="27">
          <cell r="B27" t="str">
            <v>N-EtFOSAA</v>
          </cell>
          <cell r="C27" t="str">
            <v>2991-50-6</v>
          </cell>
          <cell r="E27">
            <v>26</v>
          </cell>
        </row>
        <row r="28">
          <cell r="B28" t="str">
            <v>FOSA</v>
          </cell>
          <cell r="C28" t="str">
            <v>754-91-6</v>
          </cell>
          <cell r="E28">
            <v>27</v>
          </cell>
        </row>
        <row r="29">
          <cell r="B29" t="str">
            <v>FOSAA</v>
          </cell>
          <cell r="C29" t="str">
            <v>2806-24-8</v>
          </cell>
          <cell r="E29">
            <v>28</v>
          </cell>
        </row>
        <row r="30">
          <cell r="B30" t="str">
            <v>N-MeFOSA</v>
          </cell>
          <cell r="C30" t="str">
            <v>31506-32-8</v>
          </cell>
          <cell r="E30">
            <v>29</v>
          </cell>
        </row>
        <row r="31">
          <cell r="B31" t="str">
            <v>N-EtFOSA</v>
          </cell>
          <cell r="C31" t="str">
            <v>4151-50-2</v>
          </cell>
          <cell r="E31">
            <v>30</v>
          </cell>
        </row>
        <row r="32">
          <cell r="B32" t="str">
            <v>N-MeFOSE</v>
          </cell>
          <cell r="C32" t="str">
            <v>24448-09-7</v>
          </cell>
          <cell r="E32">
            <v>31</v>
          </cell>
        </row>
        <row r="33">
          <cell r="B33" t="str">
            <v>N-EtFOSE</v>
          </cell>
          <cell r="C33" t="str">
            <v>1691-99-2</v>
          </cell>
          <cell r="E33">
            <v>32</v>
          </cell>
        </row>
        <row r="34">
          <cell r="B34" t="str">
            <v>HFPO-DA</v>
          </cell>
          <cell r="C34" t="str">
            <v>13252-13-6</v>
          </cell>
          <cell r="E34">
            <v>33</v>
          </cell>
        </row>
        <row r="35">
          <cell r="B35" t="str">
            <v>ADONA</v>
          </cell>
          <cell r="C35" t="str">
            <v>919005-14-4</v>
          </cell>
          <cell r="E35">
            <v>34</v>
          </cell>
        </row>
        <row r="36">
          <cell r="B36" t="str">
            <v>9Cl-PF3ONS</v>
          </cell>
          <cell r="C36" t="str">
            <v>756426-58-1</v>
          </cell>
          <cell r="E36">
            <v>35</v>
          </cell>
        </row>
        <row r="37">
          <cell r="B37" t="str">
            <v>11Cl-PF3OUdS</v>
          </cell>
          <cell r="C37" t="str">
            <v>763051-92-9</v>
          </cell>
          <cell r="E37">
            <v>36</v>
          </cell>
        </row>
        <row r="38">
          <cell r="B38" t="str">
            <v>3:3 FTCA</v>
          </cell>
          <cell r="C38" t="str">
            <v>356-02-5</v>
          </cell>
          <cell r="E38">
            <v>37</v>
          </cell>
        </row>
        <row r="39">
          <cell r="B39" t="str">
            <v>5:3 FTCA</v>
          </cell>
          <cell r="C39" t="str">
            <v>914637-49-3</v>
          </cell>
          <cell r="E39">
            <v>38</v>
          </cell>
        </row>
        <row r="40">
          <cell r="B40" t="str">
            <v>7:3 FTCA</v>
          </cell>
          <cell r="C40" t="str">
            <v>812-70-4</v>
          </cell>
          <cell r="E40">
            <v>39</v>
          </cell>
        </row>
        <row r="41">
          <cell r="B41" t="str">
            <v>6:2 FTCA</v>
          </cell>
          <cell r="C41" t="str">
            <v>53826-12-3</v>
          </cell>
          <cell r="E41">
            <v>40</v>
          </cell>
        </row>
        <row r="42">
          <cell r="B42" t="str">
            <v>8:2 FTCA</v>
          </cell>
          <cell r="C42" t="str">
            <v>27854-31-5</v>
          </cell>
          <cell r="E42">
            <v>41</v>
          </cell>
        </row>
        <row r="43">
          <cell r="B43" t="str">
            <v>10:2 FTCA</v>
          </cell>
          <cell r="C43" t="str">
            <v>53826-13-4</v>
          </cell>
          <cell r="E43">
            <v>42</v>
          </cell>
        </row>
        <row r="44">
          <cell r="B44" t="str">
            <v>6:2 FTUCA</v>
          </cell>
          <cell r="C44" t="str">
            <v>161094-75-3</v>
          </cell>
          <cell r="E44">
            <v>43</v>
          </cell>
        </row>
        <row r="45">
          <cell r="B45" t="str">
            <v>8:2 FTUCA</v>
          </cell>
          <cell r="C45" t="str">
            <v>70887-84-2</v>
          </cell>
          <cell r="E45">
            <v>44</v>
          </cell>
        </row>
        <row r="46">
          <cell r="B46" t="str">
            <v>6:2 DiPAP</v>
          </cell>
          <cell r="C46" t="str">
            <v>57677-95-9</v>
          </cell>
          <cell r="E46">
            <v>45</v>
          </cell>
        </row>
        <row r="47">
          <cell r="B47" t="str">
            <v>PFEESA</v>
          </cell>
          <cell r="C47" t="str">
            <v>113507-82-7</v>
          </cell>
          <cell r="E47">
            <v>46</v>
          </cell>
        </row>
        <row r="48">
          <cell r="B48" t="str">
            <v>PFMBA</v>
          </cell>
          <cell r="C48" t="str">
            <v>863090-89-5</v>
          </cell>
          <cell r="E48">
            <v>47</v>
          </cell>
        </row>
        <row r="49">
          <cell r="B49" t="str">
            <v>PFMPA</v>
          </cell>
          <cell r="C49" t="str">
            <v>377-73-1</v>
          </cell>
          <cell r="E49">
            <v>48</v>
          </cell>
        </row>
        <row r="50">
          <cell r="B50" t="str">
            <v>NFDHA</v>
          </cell>
          <cell r="C50" t="str">
            <v>151772-58-6</v>
          </cell>
          <cell r="E50">
            <v>49</v>
          </cell>
        </row>
        <row r="51">
          <cell r="B51" t="str">
            <v>FBSA</v>
          </cell>
          <cell r="C51" t="str">
            <v>30334-69-1</v>
          </cell>
          <cell r="E51">
            <v>50</v>
          </cell>
        </row>
        <row r="52">
          <cell r="B52" t="str">
            <v>FHxSA</v>
          </cell>
          <cell r="C52" t="str">
            <v>41997-13-1</v>
          </cell>
          <cell r="E52">
            <v>51</v>
          </cell>
        </row>
        <row r="53">
          <cell r="B53" t="str">
            <v>PFPrS</v>
          </cell>
          <cell r="C53" t="str">
            <v>423-41-6</v>
          </cell>
          <cell r="E53">
            <v>52</v>
          </cell>
        </row>
        <row r="54">
          <cell r="B54" t="str">
            <v>Cl-PFOS</v>
          </cell>
          <cell r="C54" t="str">
            <v>777011-38-8</v>
          </cell>
          <cell r="E54">
            <v>53</v>
          </cell>
        </row>
        <row r="55">
          <cell r="B55" t="str">
            <v>PFEtCHxS</v>
          </cell>
          <cell r="C55" t="str">
            <v>646-83-3</v>
          </cell>
          <cell r="E55">
            <v>54</v>
          </cell>
        </row>
        <row r="56">
          <cell r="B56" t="str">
            <v>8:2 diPAP</v>
          </cell>
          <cell r="C56" t="str">
            <v>678-41-1</v>
          </cell>
          <cell r="E56">
            <v>55</v>
          </cell>
        </row>
        <row r="57">
          <cell r="B57" t="str">
            <v>diSAmPAP</v>
          </cell>
          <cell r="C57" t="str">
            <v>2965-52-8</v>
          </cell>
          <cell r="E57">
            <v>56</v>
          </cell>
        </row>
        <row r="58">
          <cell r="B58" t="str">
            <v>Precipitation</v>
          </cell>
          <cell r="C58" t="str">
            <v>PRECIP</v>
          </cell>
          <cell r="E58">
            <v>57</v>
          </cell>
        </row>
        <row r="59">
          <cell r="B59" t="str">
            <v>Temp</v>
          </cell>
          <cell r="C59" t="str">
            <v>TEMP</v>
          </cell>
          <cell r="E59">
            <v>58</v>
          </cell>
        </row>
        <row r="60">
          <cell r="B60" t="str">
            <v>DO</v>
          </cell>
          <cell r="C60" t="str">
            <v>DO</v>
          </cell>
          <cell r="E60">
            <v>59</v>
          </cell>
        </row>
        <row r="61">
          <cell r="B61" t="str">
            <v>Cond</v>
          </cell>
          <cell r="C61" t="str">
            <v>COND</v>
          </cell>
          <cell r="E61">
            <v>60</v>
          </cell>
        </row>
        <row r="62">
          <cell r="B62" t="str">
            <v>pH</v>
          </cell>
          <cell r="C62" t="str">
            <v>PH</v>
          </cell>
          <cell r="E62">
            <v>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E9BD7D-2AB3-46D1-BA05-8AB23708FCF9}" autoFormatId="16" applyNumberFormats="0" applyBorderFormats="0" applyFontFormats="0" applyPatternFormats="0" applyAlignmentFormats="0" applyWidthHeightFormats="0">
  <queryTableRefresh nextId="8">
    <queryTableFields count="7">
      <queryTableField id="1" name="SampleID" tableColumnId="1"/>
      <queryTableField id="2" name="Location" tableColumnId="2"/>
      <queryTableField id="3" name="SampleDate" tableColumnId="3"/>
      <queryTableField id="4" name="Parameter" tableColumnId="4"/>
      <queryTableField id="6" dataBound="0" tableColumnId="6"/>
      <queryTableField id="7" dataBound="0" tableColumnId="7"/>
      <queryTableField id="5" name="Resul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620820-22DE-498A-A307-5E6E547CE304}" autoFormatId="16" applyNumberFormats="0" applyBorderFormats="0" applyFontFormats="0" applyPatternFormats="0" applyAlignmentFormats="0" applyWidthHeightFormats="0">
  <queryTableRefresh nextId="91" unboundColumnsRight="41">
    <queryTableFields count="90">
      <queryTableField id="1" name="SampleID" tableColumnId="1"/>
      <queryTableField id="2" name="Location" tableColumnId="2"/>
      <queryTableField id="3" name="SampleDate" tableColumnId="3"/>
      <queryTableField id="4" name="SedimentType" tableColumnId="4"/>
      <queryTableField id="5" name="GrainSize" tableColumnId="5"/>
      <queryTableField id="6" name="TOC" tableColumnId="6"/>
      <queryTableField id="7" name="Gravel" tableColumnId="7"/>
      <queryTableField id="8" name="Silt_Clay" tableColumnId="8"/>
      <queryTableField id="9" name="Solids" tableColumnId="9"/>
      <queryTableField id="10" name="PFBA" tableColumnId="10"/>
      <queryTableField id="11" name="PFPeA" tableColumnId="11"/>
      <queryTableField id="12" name="PFBS" tableColumnId="12"/>
      <queryTableField id="13" name="PFHxA" tableColumnId="13"/>
      <queryTableField id="14" name="PFPeS" tableColumnId="14"/>
      <queryTableField id="15" name="PFHpA" tableColumnId="15"/>
      <queryTableField id="16" name="PFHxS" tableColumnId="16"/>
      <queryTableField id="17" name="PFOA" tableColumnId="17"/>
      <queryTableField id="18" name="6:2 FTS" tableColumnId="18"/>
      <queryTableField id="19" name="PFHpS" tableColumnId="19"/>
      <queryTableField id="20" name="PFNA" tableColumnId="20"/>
      <queryTableField id="21" name="PFOS" tableColumnId="21"/>
      <queryTableField id="22" name="PFDA" tableColumnId="22"/>
      <queryTableField id="23" name="PFUnA" tableColumnId="23"/>
      <queryTableField id="24" name="PFDoA" tableColumnId="24"/>
      <queryTableField id="25" name="PFTrDA" tableColumnId="25"/>
      <queryTableField id="26" name="PFTeDA" tableColumnId="26"/>
      <queryTableField id="27" name="PFNS" tableColumnId="27"/>
      <queryTableField id="28" name="PFDoS" tableColumnId="28"/>
      <queryTableField id="29" name="4:2 FTS" tableColumnId="29"/>
      <queryTableField id="30" name="8:2 FTS" tableColumnId="30"/>
      <queryTableField id="31" name="FOSA" tableColumnId="31"/>
      <queryTableField id="32" name="N-MeFOSA" tableColumnId="32"/>
      <queryTableField id="33" name="N-MeFOSAA" tableColumnId="33"/>
      <queryTableField id="34" name="N-EtFOSA" tableColumnId="34"/>
      <queryTableField id="35" name="N-EtFOSAA" tableColumnId="35"/>
      <queryTableField id="36" name="N-MeFOSE" tableColumnId="36"/>
      <queryTableField id="37" name="N-EtFOSE" tableColumnId="37"/>
      <queryTableField id="38" name="HFPO-DA" tableColumnId="38"/>
      <queryTableField id="39" name="ADONA" tableColumnId="39"/>
      <queryTableField id="40" name="PFMBA" tableColumnId="40"/>
      <queryTableField id="41" name="NFDHA" tableColumnId="41"/>
      <queryTableField id="42" name="9Cl-PF3ONS" tableColumnId="42"/>
      <queryTableField id="43" name="11Cl-PF3OUdS" tableColumnId="43"/>
      <queryTableField id="44" name="PFEESA" tableColumnId="44"/>
      <queryTableField id="45" name="3:3 FTCA" tableColumnId="45"/>
      <queryTableField id="46" name="5:3 FTCA" tableColumnId="46"/>
      <queryTableField id="47" name="7:3 FTCA" tableColumnId="47"/>
      <queryTableField id="48" name="PFDS" tableColumnId="48"/>
      <queryTableField id="49" name="PFMPA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8F737D-B208-43BE-8F12-223E7FB07C33}" name="Table1_1" displayName="Table1_1" ref="A1:G1725" tableType="queryTable" totalsRowShown="0">
  <autoFilter ref="A1:G1725" xr:uid="{DD8F737D-B208-43BE-8F12-223E7FB07C33}"/>
  <tableColumns count="7">
    <tableColumn id="1" xr3:uid="{B3069C26-B171-434C-BD1E-E7824D677438}" uniqueName="1" name="SampleID" queryTableFieldId="1" dataDxfId="8"/>
    <tableColumn id="2" xr3:uid="{44ADE320-5900-4B36-BD3D-4970145195FA}" uniqueName="2" name="Location" queryTableFieldId="2" dataDxfId="7"/>
    <tableColumn id="3" xr3:uid="{B533E34E-36CF-4670-83B1-38314B2980EF}" uniqueName="3" name="SampleDate" queryTableFieldId="3" dataDxfId="6"/>
    <tableColumn id="4" xr3:uid="{7050927D-2128-4B4C-ACA7-26B685EA07E8}" uniqueName="4" name="Parameter" queryTableFieldId="4" dataDxfId="5"/>
    <tableColumn id="6" xr3:uid="{AC62B8E0-9321-4285-944C-A3DFB518CF4E}" uniqueName="6" name="CAS_rn" queryTableFieldId="6" dataDxfId="4"/>
    <tableColumn id="7" xr3:uid="{513812F4-080D-432A-8057-D39D511D93B0}" uniqueName="7" name="Order" queryTableFieldId="7" dataDxfId="3"/>
    <tableColumn id="5" xr3:uid="{34C4670E-FD0B-415E-BE00-267F62B53243}" uniqueName="5" name="Result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FB825B-4612-4531-8F04-37ABA07B329C}" name="Table1_15" displayName="Table1_15" ref="A1:CL63" tableType="queryTable" totalsRowShown="0">
  <autoFilter ref="A1:CL63" xr:uid="{0BFB825B-4612-4531-8F04-37ABA07B329C}"/>
  <tableColumns count="90">
    <tableColumn id="1" xr3:uid="{BF2EFC8F-2B70-48A1-9F0D-874D81E5897E}" uniqueName="1" name="SampleID" queryTableFieldId="1" dataDxfId="2"/>
    <tableColumn id="2" xr3:uid="{6839601C-ED31-44FC-94C5-1D7FCA81485D}" uniqueName="2" name="Location" queryTableFieldId="2" dataDxfId="1"/>
    <tableColumn id="3" xr3:uid="{111DE614-660F-4158-A774-6BB2CF74995D}" uniqueName="3" name="SampleDate" queryTableFieldId="3" dataDxfId="0"/>
    <tableColumn id="4" xr3:uid="{05828C38-FD70-425D-8413-0E19E72B4CBB}" uniqueName="4" name="SedimentType" queryTableFieldId="4"/>
    <tableColumn id="5" xr3:uid="{0FF7C532-B019-4076-A26B-919AC42EBFB8}" uniqueName="5" name="GrainSize" queryTableFieldId="5"/>
    <tableColumn id="6" xr3:uid="{485152BE-D897-43D9-9CED-739A1D4B1C78}" uniqueName="6" name="TOC" queryTableFieldId="6"/>
    <tableColumn id="7" xr3:uid="{92879EE9-EAF8-4161-AECD-892264477C0D}" uniqueName="7" name="Gravel" queryTableFieldId="7"/>
    <tableColumn id="8" xr3:uid="{055E3D50-7DCD-4C7C-9E1C-8C6D8F2551D6}" uniqueName="8" name="Silt_Clay" queryTableFieldId="8"/>
    <tableColumn id="9" xr3:uid="{3153FF5B-A57A-4D53-8FB1-083013A2AC59}" uniqueName="9" name="Solids" queryTableFieldId="9"/>
    <tableColumn id="10" xr3:uid="{59BA248D-31ED-4F17-BBB2-93CAFD650F0C}" uniqueName="10" name="PFBA" queryTableFieldId="10"/>
    <tableColumn id="11" xr3:uid="{23FC92ED-7C43-4253-9255-A8CA3AC8844C}" uniqueName="11" name="PFPeA" queryTableFieldId="11"/>
    <tableColumn id="12" xr3:uid="{A3EB631F-6DA3-4850-8B52-6CCF2E51F239}" uniqueName="12" name="PFBS" queryTableFieldId="12"/>
    <tableColumn id="13" xr3:uid="{AE4B2283-0474-49BF-AFBF-389A6C492D04}" uniqueName="13" name="PFHxA" queryTableFieldId="13"/>
    <tableColumn id="14" xr3:uid="{99E0DE41-7744-49D1-BF31-AE35F1643538}" uniqueName="14" name="PFPeS" queryTableFieldId="14"/>
    <tableColumn id="15" xr3:uid="{A97179C5-3BCF-4CA0-923D-02B0CCE4643B}" uniqueName="15" name="PFHpA" queryTableFieldId="15"/>
    <tableColumn id="16" xr3:uid="{B904B3B0-3FA1-4997-8D34-041439FF6250}" uniqueName="16" name="PFHxS" queryTableFieldId="16"/>
    <tableColumn id="17" xr3:uid="{C1C031F3-9D44-47F8-923A-FDC0D95ABF5F}" uniqueName="17" name="PFOA" queryTableFieldId="17"/>
    <tableColumn id="18" xr3:uid="{B180B07D-8553-48BC-8AA2-CAB219F1BC99}" uniqueName="18" name="6:2 FTS" queryTableFieldId="18"/>
    <tableColumn id="19" xr3:uid="{43995D3E-7D49-4076-94CE-E492EF4045DE}" uniqueName="19" name="PFHpS" queryTableFieldId="19"/>
    <tableColumn id="20" xr3:uid="{45D0D4C9-6B4B-440E-BC46-5CFF1BC1B975}" uniqueName="20" name="PFNA" queryTableFieldId="20"/>
    <tableColumn id="21" xr3:uid="{E88647EF-CC9B-4C20-85E1-49C3EFA2F991}" uniqueName="21" name="PFOS" queryTableFieldId="21"/>
    <tableColumn id="22" xr3:uid="{BC888105-0D6D-4B59-8A15-2F33DB4FDE8F}" uniqueName="22" name="PFDA" queryTableFieldId="22"/>
    <tableColumn id="23" xr3:uid="{327A4EBB-2425-4E88-A175-865BB44DEA7F}" uniqueName="23" name="PFUnA" queryTableFieldId="23"/>
    <tableColumn id="24" xr3:uid="{13015487-5A28-4920-BE58-7C913DF62C25}" uniqueName="24" name="PFDoA" queryTableFieldId="24"/>
    <tableColumn id="25" xr3:uid="{A7556005-4C3F-4CAC-81B2-2320D60F7E93}" uniqueName="25" name="PFTrDA" queryTableFieldId="25"/>
    <tableColumn id="26" xr3:uid="{95C46C1A-44C1-4377-9681-9EDB4AEC5C80}" uniqueName="26" name="PFTeDA" queryTableFieldId="26"/>
    <tableColumn id="27" xr3:uid="{6BE0CA5F-7BC8-4FA0-BD31-6B590023BFE7}" uniqueName="27" name="PFNS" queryTableFieldId="27"/>
    <tableColumn id="28" xr3:uid="{F6EDC33B-6BB3-4EB5-8931-9C5A02C8A7AD}" uniqueName="28" name="PFDoS" queryTableFieldId="28"/>
    <tableColumn id="29" xr3:uid="{DAA499DB-6027-491F-B563-8E56CDA8F988}" uniqueName="29" name="4:2 FTS" queryTableFieldId="29"/>
    <tableColumn id="30" xr3:uid="{E579D9A2-4386-4D2F-A635-8D36988C0AC6}" uniqueName="30" name="8:2 FTS" queryTableFieldId="30"/>
    <tableColumn id="31" xr3:uid="{6E03F3F7-6E40-4A1E-B86C-B3CF0D3DA4D4}" uniqueName="31" name="FOSA" queryTableFieldId="31"/>
    <tableColumn id="32" xr3:uid="{E7FA215F-5515-436A-A3D2-BD38C8A3B346}" uniqueName="32" name="N-MeFOSA" queryTableFieldId="32"/>
    <tableColumn id="33" xr3:uid="{8FAD3B40-DA83-4330-871C-A2B5E16C8F00}" uniqueName="33" name="N-MeFOSAA" queryTableFieldId="33"/>
    <tableColumn id="34" xr3:uid="{9FA01FBE-FB1A-43FE-A2DB-B9A2572E5EB5}" uniqueName="34" name="N-EtFOSA" queryTableFieldId="34"/>
    <tableColumn id="35" xr3:uid="{FC121238-13A7-430B-9315-A205D84DC01A}" uniqueName="35" name="N-EtFOSAA" queryTableFieldId="35"/>
    <tableColumn id="36" xr3:uid="{5A750F1B-2D0E-4D90-A594-BC2A0BB4DC51}" uniqueName="36" name="N-MeFOSE" queryTableFieldId="36"/>
    <tableColumn id="37" xr3:uid="{0F79D8A9-3D48-4938-9033-79641F971F63}" uniqueName="37" name="N-EtFOSE" queryTableFieldId="37"/>
    <tableColumn id="38" xr3:uid="{2C6FED17-F1DE-4CF1-85F6-62DA486F9626}" uniqueName="38" name="HFPO-DA" queryTableFieldId="38"/>
    <tableColumn id="39" xr3:uid="{B5C51CAB-0AA5-40DC-9CEA-97C2AE88A371}" uniqueName="39" name="ADONA" queryTableFieldId="39"/>
    <tableColumn id="40" xr3:uid="{076B2093-F974-47F8-93E8-324A1EC0934C}" uniqueName="40" name="PFMBA" queryTableFieldId="40"/>
    <tableColumn id="41" xr3:uid="{0DCEBADF-4DB4-45E8-BD61-9EED0E72156D}" uniqueName="41" name="NFDHA" queryTableFieldId="41"/>
    <tableColumn id="42" xr3:uid="{1476875B-B755-48ED-A35F-9AD1F1CA1AC7}" uniqueName="42" name="9Cl-PF3ONS" queryTableFieldId="42"/>
    <tableColumn id="43" xr3:uid="{360B9BA6-BC77-4338-9B09-B30FACA6F001}" uniqueName="43" name="11Cl-PF3OUdS" queryTableFieldId="43"/>
    <tableColumn id="44" xr3:uid="{9A93436E-4E73-4F51-957A-5197A50DBAE9}" uniqueName="44" name="PFEESA" queryTableFieldId="44"/>
    <tableColumn id="45" xr3:uid="{A18FB5CA-B2A9-476E-809C-7A4360377708}" uniqueName="45" name="3:3 FTCA" queryTableFieldId="45"/>
    <tableColumn id="46" xr3:uid="{0DC40F3E-FB7A-46A8-A326-7C9FC8416758}" uniqueName="46" name="5:3 FTCA" queryTableFieldId="46"/>
    <tableColumn id="47" xr3:uid="{565C6387-5E79-467E-B570-3A3218A7ADFD}" uniqueName="47" name="7:3 FTCA" queryTableFieldId="47"/>
    <tableColumn id="48" xr3:uid="{01ECF014-86F3-4C0D-9B6E-D51E27CD1D34}" uniqueName="48" name="PFDS" queryTableFieldId="48"/>
    <tableColumn id="49" xr3:uid="{B9B47026-B65A-439B-B498-18303C82EC23}" uniqueName="49" name="PFMPA" queryTableFieldId="49"/>
    <tableColumn id="50" xr3:uid="{8045F96B-DB3F-4F92-917C-EA19B3680394}" uniqueName="50" name="SumPFAS" queryTableFieldId="50">
      <calculatedColumnFormula>SUM(Table1_15[[#This Row],[PFBA]:[PFMPA]])</calculatedColumnFormula>
    </tableColumn>
    <tableColumn id="51" xr3:uid="{9D724CFF-7D48-4388-A48A-25F364FF9A95}" uniqueName="51" name="log_PFBA" queryTableFieldId="51"/>
    <tableColumn id="52" xr3:uid="{119291E4-9CF2-47E9-B23E-754E03562D3C}" uniqueName="52" name="log_PFPeA" queryTableFieldId="52"/>
    <tableColumn id="53" xr3:uid="{27D44876-EBBC-4447-960C-B2AF79781A43}" uniqueName="53" name="log_PFBS" queryTableFieldId="53"/>
    <tableColumn id="54" xr3:uid="{D2073146-1495-4FF2-AA9E-C61C0D4C4845}" uniqueName="54" name="log_PFHxA" queryTableFieldId="54"/>
    <tableColumn id="55" xr3:uid="{B57C70FC-0663-4E45-AC79-89832914885D}" uniqueName="55" name="log_PFPeS" queryTableFieldId="55"/>
    <tableColumn id="56" xr3:uid="{82DC5862-A761-4C68-A294-E4578516E6BF}" uniqueName="56" name="log_PFHpA" queryTableFieldId="56"/>
    <tableColumn id="57" xr3:uid="{E189716D-7E57-4DFE-93F9-DEBBBA343078}" uniqueName="57" name="log_PFHxS" queryTableFieldId="57"/>
    <tableColumn id="58" xr3:uid="{5FA92DA0-03E8-42A6-BCF4-74CA257F9480}" uniqueName="58" name="log_PFOA" queryTableFieldId="58"/>
    <tableColumn id="59" xr3:uid="{280F1799-6361-4686-A641-08A413DCF2B6}" uniqueName="59" name="log_6:2 FTS" queryTableFieldId="59"/>
    <tableColumn id="60" xr3:uid="{41BD2005-92A2-4C81-B1F5-58A60CD7D1CA}" uniqueName="60" name="log_PFHpS" queryTableFieldId="60"/>
    <tableColumn id="61" xr3:uid="{8A9C45C7-E1EA-4674-ADC2-17E5DF834148}" uniqueName="61" name="log_PFNA" queryTableFieldId="61"/>
    <tableColumn id="62" xr3:uid="{E958B3E6-5244-4F24-96B8-33BD400706BE}" uniqueName="62" name="log_PFOS" queryTableFieldId="62"/>
    <tableColumn id="63" xr3:uid="{8A76954A-17A0-4EDB-8BF5-B94AF327FBD3}" uniqueName="63" name="log_PFDA" queryTableFieldId="63"/>
    <tableColumn id="64" xr3:uid="{B642960F-FE72-4B9D-8EFD-AFD143C0DEE1}" uniqueName="64" name="log_PFUnA" queryTableFieldId="64"/>
    <tableColumn id="65" xr3:uid="{27FBD337-4859-452B-BF15-283881359581}" uniqueName="65" name="log_PFDoA" queryTableFieldId="65"/>
    <tableColumn id="66" xr3:uid="{970E2DE6-0488-4A01-84D8-4727F7900A21}" uniqueName="66" name="log_PFTrDA" queryTableFieldId="66"/>
    <tableColumn id="67" xr3:uid="{D0B4E94F-8447-49F5-B533-93396D71BC26}" uniqueName="67" name="log_PFTeDA" queryTableFieldId="67"/>
    <tableColumn id="68" xr3:uid="{4A84D73B-B6A4-451F-AF94-08057DBA3D15}" uniqueName="68" name="log_PFNS" queryTableFieldId="68"/>
    <tableColumn id="69" xr3:uid="{B3DCAD79-6365-46AE-A0DC-C6616CC6043A}" uniqueName="69" name="log_PFDoS" queryTableFieldId="69"/>
    <tableColumn id="70" xr3:uid="{6E76B3A7-AF8B-482F-B6EE-D874D712ED7B}" uniqueName="70" name="log_4:2 FTS" queryTableFieldId="70"/>
    <tableColumn id="71" xr3:uid="{59CCF683-F63C-4F54-ABD2-0BE3F348F285}" uniqueName="71" name="log_8:2 FTS" queryTableFieldId="71"/>
    <tableColumn id="72" xr3:uid="{C2AE69A1-E3E9-49E4-81BB-FFB48090E8FD}" uniqueName="72" name="log_FOSA" queryTableFieldId="72"/>
    <tableColumn id="73" xr3:uid="{40954997-E630-4B3C-BAF5-AEC78C79DF25}" uniqueName="73" name="log_N-MeFOSA" queryTableFieldId="73"/>
    <tableColumn id="74" xr3:uid="{C02220FD-F4A6-44E0-B881-BFC9DB5FCF0D}" uniqueName="74" name="log_N-MeFOSAA" queryTableFieldId="74"/>
    <tableColumn id="75" xr3:uid="{99BBB939-271B-474F-BCA7-34D072B61FE5}" uniqueName="75" name="log_N-EtFOSA" queryTableFieldId="75"/>
    <tableColumn id="76" xr3:uid="{730CEE61-A526-472B-96B9-B548493F3E77}" uniqueName="76" name="log_N-EtFOSAA" queryTableFieldId="76"/>
    <tableColumn id="77" xr3:uid="{4C3F79A2-5F85-47B1-AB6B-ED5838996BB7}" uniqueName="77" name="log_N-MeFOSE" queryTableFieldId="77"/>
    <tableColumn id="78" xr3:uid="{3B46BFA2-ED3F-4CB2-BBE3-B9D9E608892A}" uniqueName="78" name="log_N-EtFOSE" queryTableFieldId="78"/>
    <tableColumn id="79" xr3:uid="{7AA2E6A8-2417-4509-ADDD-878695FC6505}" uniqueName="79" name="log_HFPO-DA" queryTableFieldId="79"/>
    <tableColumn id="80" xr3:uid="{A382D548-1D5D-400B-9169-30270403313F}" uniqueName="80" name="log_ADONA" queryTableFieldId="80"/>
    <tableColumn id="81" xr3:uid="{F6819269-B2ED-48CD-A019-01570C6D3EA8}" uniqueName="81" name="log_PFMBA" queryTableFieldId="81"/>
    <tableColumn id="82" xr3:uid="{B70F52F5-D924-4817-89F0-6D99CC6B6995}" uniqueName="82" name="log_NFDHA" queryTableFieldId="82"/>
    <tableColumn id="83" xr3:uid="{B44A3ABE-2250-43BA-914A-1E41E0A5A860}" uniqueName="83" name="log_9Cl-PF3ONS" queryTableFieldId="83"/>
    <tableColumn id="84" xr3:uid="{EE7164D1-6FDA-48BA-ABE7-2AFEC3730CA0}" uniqueName="84" name="log_11Cl-PF3OUdS" queryTableFieldId="84"/>
    <tableColumn id="85" xr3:uid="{608675CD-4898-4806-A50A-926BA5986986}" uniqueName="85" name="log_PFEESA" queryTableFieldId="85"/>
    <tableColumn id="86" xr3:uid="{B430D764-3443-4823-BE7F-96C52ED7D746}" uniqueName="86" name="log_3:3 FTCA" queryTableFieldId="86"/>
    <tableColumn id="87" xr3:uid="{DC6B0C0D-2709-42E3-A64D-6F238570B8DA}" uniqueName="87" name="log_5:3 FTCA" queryTableFieldId="87"/>
    <tableColumn id="88" xr3:uid="{A8ABBD9F-AD09-4CA5-AB34-1F881BC74D9D}" uniqueName="88" name="log_7:3 FTCA" queryTableFieldId="88"/>
    <tableColumn id="89" xr3:uid="{8FAB9DC6-3752-422D-822B-4174250DBD61}" uniqueName="89" name="log_PFDS" queryTableFieldId="89"/>
    <tableColumn id="90" xr3:uid="{6DF9D1A5-4522-47B1-AA68-B0108B883A62}" uniqueName="90" name="log_PFMPA" queryTableFieldId="9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7A48-7496-4A54-A7CC-0FB5352DC770}">
  <dimension ref="A1:G1765"/>
  <sheetViews>
    <sheetView topLeftCell="A1706" workbookViewId="0">
      <selection sqref="A1:G1725"/>
    </sheetView>
  </sheetViews>
  <sheetFormatPr defaultRowHeight="15.6" x14ac:dyDescent="0.3"/>
  <cols>
    <col min="1" max="1" width="26.69921875" bestFit="1" customWidth="1"/>
    <col min="2" max="2" width="10.296875" bestFit="1" customWidth="1"/>
    <col min="3" max="3" width="14.296875" bestFit="1" customWidth="1"/>
    <col min="4" max="4" width="12.19921875" bestFit="1" customWidth="1"/>
    <col min="5" max="5" width="11.796875" bestFit="1" customWidth="1"/>
    <col min="6" max="6" width="11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61</v>
      </c>
      <c r="E1" t="s">
        <v>83</v>
      </c>
      <c r="F1" t="s">
        <v>84</v>
      </c>
      <c r="G1" t="s">
        <v>62</v>
      </c>
    </row>
    <row r="2" spans="1:7" x14ac:dyDescent="0.3">
      <c r="A2" t="s">
        <v>20</v>
      </c>
      <c r="B2" t="s">
        <v>21</v>
      </c>
      <c r="C2" s="1">
        <v>44113</v>
      </c>
      <c r="D2" t="s">
        <v>3</v>
      </c>
      <c r="E2" t="e">
        <v>#N/A</v>
      </c>
      <c r="F2" t="e">
        <v>#N/A</v>
      </c>
      <c r="G2" t="s">
        <v>22</v>
      </c>
    </row>
    <row r="3" spans="1:7" x14ac:dyDescent="0.3">
      <c r="A3" t="s">
        <v>20</v>
      </c>
      <c r="B3" t="s">
        <v>21</v>
      </c>
      <c r="C3" s="1">
        <v>44113</v>
      </c>
      <c r="D3" t="s">
        <v>4</v>
      </c>
      <c r="E3" t="e">
        <v>#N/A</v>
      </c>
      <c r="F3" t="e">
        <v>#N/A</v>
      </c>
      <c r="G3">
        <v>0.67800000000000005</v>
      </c>
    </row>
    <row r="4" spans="1:7" x14ac:dyDescent="0.3">
      <c r="A4" t="s">
        <v>20</v>
      </c>
      <c r="B4" t="s">
        <v>21</v>
      </c>
      <c r="C4" s="1">
        <v>44113</v>
      </c>
      <c r="D4" t="s">
        <v>5</v>
      </c>
      <c r="E4" t="e">
        <v>#N/A</v>
      </c>
      <c r="F4" t="e">
        <v>#N/A</v>
      </c>
      <c r="G4">
        <v>6940</v>
      </c>
    </row>
    <row r="5" spans="1:7" x14ac:dyDescent="0.3">
      <c r="A5" t="s">
        <v>20</v>
      </c>
      <c r="B5" t="s">
        <v>21</v>
      </c>
      <c r="C5" s="1">
        <v>44113</v>
      </c>
      <c r="D5" t="s">
        <v>6</v>
      </c>
      <c r="E5" t="e">
        <v>#N/A</v>
      </c>
      <c r="F5" t="e">
        <v>#N/A</v>
      </c>
      <c r="G5">
        <v>21.37</v>
      </c>
    </row>
    <row r="6" spans="1:7" x14ac:dyDescent="0.3">
      <c r="A6" t="s">
        <v>20</v>
      </c>
      <c r="B6" t="s">
        <v>21</v>
      </c>
      <c r="C6" s="1">
        <v>44113</v>
      </c>
      <c r="D6" t="s">
        <v>7</v>
      </c>
      <c r="E6" t="e">
        <v>#N/A</v>
      </c>
      <c r="F6" t="e">
        <v>#N/A</v>
      </c>
      <c r="G6">
        <v>61.91</v>
      </c>
    </row>
    <row r="7" spans="1:7" x14ac:dyDescent="0.3">
      <c r="A7" t="s">
        <v>20</v>
      </c>
      <c r="B7" t="s">
        <v>21</v>
      </c>
      <c r="C7" s="1">
        <v>44113</v>
      </c>
      <c r="D7" t="s">
        <v>8</v>
      </c>
      <c r="E7" t="e">
        <v>#N/A</v>
      </c>
      <c r="F7" t="e">
        <v>#N/A</v>
      </c>
      <c r="G7">
        <v>28.8</v>
      </c>
    </row>
    <row r="8" spans="1:7" x14ac:dyDescent="0.3">
      <c r="A8" t="s">
        <v>20</v>
      </c>
      <c r="B8" t="s">
        <v>21</v>
      </c>
      <c r="C8" s="1">
        <v>44113</v>
      </c>
      <c r="D8" t="s">
        <v>9</v>
      </c>
      <c r="E8" t="s">
        <v>85</v>
      </c>
      <c r="F8">
        <v>1</v>
      </c>
      <c r="G8">
        <v>6.25E-2</v>
      </c>
    </row>
    <row r="9" spans="1:7" x14ac:dyDescent="0.3">
      <c r="A9" t="s">
        <v>20</v>
      </c>
      <c r="B9" t="s">
        <v>21</v>
      </c>
      <c r="C9" s="1">
        <v>44113</v>
      </c>
      <c r="D9" t="s">
        <v>10</v>
      </c>
      <c r="E9" t="s">
        <v>86</v>
      </c>
      <c r="F9">
        <v>2</v>
      </c>
      <c r="G9">
        <v>6.25E-2</v>
      </c>
    </row>
    <row r="10" spans="1:7" x14ac:dyDescent="0.3">
      <c r="A10" t="s">
        <v>20</v>
      </c>
      <c r="B10" t="s">
        <v>21</v>
      </c>
      <c r="C10" s="1">
        <v>44113</v>
      </c>
      <c r="D10" t="s">
        <v>11</v>
      </c>
      <c r="E10" t="s">
        <v>96</v>
      </c>
      <c r="F10">
        <v>13</v>
      </c>
      <c r="G10">
        <v>0.125</v>
      </c>
    </row>
    <row r="11" spans="1:7" x14ac:dyDescent="0.3">
      <c r="A11" t="s">
        <v>20</v>
      </c>
      <c r="B11" t="s">
        <v>21</v>
      </c>
      <c r="C11" s="1">
        <v>44113</v>
      </c>
      <c r="D11" t="s">
        <v>12</v>
      </c>
      <c r="E11" t="s">
        <v>87</v>
      </c>
      <c r="F11">
        <v>3</v>
      </c>
      <c r="G11">
        <v>0.12790000000000001</v>
      </c>
    </row>
    <row r="12" spans="1:7" x14ac:dyDescent="0.3">
      <c r="A12" t="s">
        <v>20</v>
      </c>
      <c r="B12" t="s">
        <v>21</v>
      </c>
      <c r="C12" s="1">
        <v>44113</v>
      </c>
      <c r="D12" t="s">
        <v>13</v>
      </c>
      <c r="E12" t="s">
        <v>97</v>
      </c>
      <c r="F12">
        <v>14</v>
      </c>
      <c r="G12">
        <v>6.25E-2</v>
      </c>
    </row>
    <row r="13" spans="1:7" x14ac:dyDescent="0.3">
      <c r="A13" t="s">
        <v>20</v>
      </c>
      <c r="B13" t="s">
        <v>21</v>
      </c>
      <c r="C13" s="1">
        <v>44113</v>
      </c>
      <c r="D13" t="s">
        <v>14</v>
      </c>
      <c r="E13" t="s">
        <v>88</v>
      </c>
      <c r="F13">
        <v>4</v>
      </c>
      <c r="G13">
        <v>6.25E-2</v>
      </c>
    </row>
    <row r="14" spans="1:7" x14ac:dyDescent="0.3">
      <c r="A14" t="s">
        <v>20</v>
      </c>
      <c r="B14" t="s">
        <v>21</v>
      </c>
      <c r="C14" s="1">
        <v>44113</v>
      </c>
      <c r="D14" t="s">
        <v>15</v>
      </c>
      <c r="E14" t="s">
        <v>98</v>
      </c>
      <c r="F14">
        <v>15</v>
      </c>
      <c r="G14">
        <v>0.18859999999999999</v>
      </c>
    </row>
    <row r="15" spans="1:7" x14ac:dyDescent="0.3">
      <c r="A15" t="s">
        <v>20</v>
      </c>
      <c r="B15" t="s">
        <v>21</v>
      </c>
      <c r="C15" s="1">
        <v>44113</v>
      </c>
      <c r="D15" t="s">
        <v>16</v>
      </c>
      <c r="E15" t="s">
        <v>89</v>
      </c>
      <c r="F15">
        <v>5</v>
      </c>
      <c r="G15">
        <v>0.125</v>
      </c>
    </row>
    <row r="16" spans="1:7" x14ac:dyDescent="0.3">
      <c r="A16" t="s">
        <v>20</v>
      </c>
      <c r="B16" t="s">
        <v>21</v>
      </c>
      <c r="C16" s="1">
        <v>44113</v>
      </c>
      <c r="D16" t="s">
        <v>60</v>
      </c>
      <c r="E16" t="s">
        <v>104</v>
      </c>
      <c r="F16">
        <v>22</v>
      </c>
      <c r="G16">
        <v>9.8599999999999993E-2</v>
      </c>
    </row>
    <row r="17" spans="1:7" x14ac:dyDescent="0.3">
      <c r="A17" t="s">
        <v>20</v>
      </c>
      <c r="B17" t="s">
        <v>21</v>
      </c>
      <c r="C17" s="1">
        <v>44113</v>
      </c>
      <c r="D17" t="s">
        <v>17</v>
      </c>
      <c r="E17" t="s">
        <v>99</v>
      </c>
      <c r="F17">
        <v>16</v>
      </c>
      <c r="G17">
        <v>2.47E-2</v>
      </c>
    </row>
    <row r="18" spans="1:7" x14ac:dyDescent="0.3">
      <c r="A18" t="s">
        <v>20</v>
      </c>
      <c r="B18" t="s">
        <v>21</v>
      </c>
      <c r="C18" s="1">
        <v>44113</v>
      </c>
      <c r="D18" t="s">
        <v>18</v>
      </c>
      <c r="E18" t="s">
        <v>90</v>
      </c>
      <c r="F18">
        <v>6</v>
      </c>
      <c r="G18">
        <v>0.125</v>
      </c>
    </row>
    <row r="19" spans="1:7" x14ac:dyDescent="0.3">
      <c r="A19" t="s">
        <v>20</v>
      </c>
      <c r="B19" t="s">
        <v>21</v>
      </c>
      <c r="C19" s="1">
        <v>44113</v>
      </c>
      <c r="D19" t="s">
        <v>19</v>
      </c>
      <c r="E19" t="s">
        <v>100</v>
      </c>
      <c r="F19">
        <v>17</v>
      </c>
      <c r="G19">
        <v>2.8479000000000001</v>
      </c>
    </row>
    <row r="20" spans="1:7" x14ac:dyDescent="0.3">
      <c r="A20" t="s">
        <v>23</v>
      </c>
      <c r="B20" t="s">
        <v>24</v>
      </c>
      <c r="C20" s="1">
        <v>44113</v>
      </c>
      <c r="D20" t="s">
        <v>3</v>
      </c>
      <c r="E20" t="e">
        <v>#N/A</v>
      </c>
      <c r="F20" t="e">
        <v>#N/A</v>
      </c>
      <c r="G20" t="s">
        <v>25</v>
      </c>
    </row>
    <row r="21" spans="1:7" x14ac:dyDescent="0.3">
      <c r="A21" t="s">
        <v>23</v>
      </c>
      <c r="B21" t="s">
        <v>24</v>
      </c>
      <c r="C21" s="1">
        <v>44113</v>
      </c>
      <c r="D21" t="s">
        <v>4</v>
      </c>
      <c r="E21" t="e">
        <v>#N/A</v>
      </c>
      <c r="F21" t="e">
        <v>#N/A</v>
      </c>
      <c r="G21">
        <v>0.64800000000000002</v>
      </c>
    </row>
    <row r="22" spans="1:7" x14ac:dyDescent="0.3">
      <c r="A22" t="s">
        <v>23</v>
      </c>
      <c r="B22" t="s">
        <v>24</v>
      </c>
      <c r="C22" s="1">
        <v>44113</v>
      </c>
      <c r="D22" t="s">
        <v>5</v>
      </c>
      <c r="E22" t="e">
        <v>#N/A</v>
      </c>
      <c r="F22" t="e">
        <v>#N/A</v>
      </c>
      <c r="G22">
        <v>25800</v>
      </c>
    </row>
    <row r="23" spans="1:7" x14ac:dyDescent="0.3">
      <c r="A23" t="s">
        <v>23</v>
      </c>
      <c r="B23" t="s">
        <v>24</v>
      </c>
      <c r="C23" s="1">
        <v>44113</v>
      </c>
      <c r="D23" t="s">
        <v>6</v>
      </c>
      <c r="E23" t="e">
        <v>#N/A</v>
      </c>
      <c r="F23" t="e">
        <v>#N/A</v>
      </c>
      <c r="G23">
        <v>9.4499999999999993</v>
      </c>
    </row>
    <row r="24" spans="1:7" x14ac:dyDescent="0.3">
      <c r="A24" t="s">
        <v>23</v>
      </c>
      <c r="B24" t="s">
        <v>24</v>
      </c>
      <c r="C24" s="1">
        <v>44113</v>
      </c>
      <c r="D24" t="s">
        <v>7</v>
      </c>
      <c r="E24" t="e">
        <v>#N/A</v>
      </c>
      <c r="F24" t="e">
        <v>#N/A</v>
      </c>
      <c r="G24">
        <v>10.48</v>
      </c>
    </row>
    <row r="25" spans="1:7" x14ac:dyDescent="0.3">
      <c r="A25" t="s">
        <v>23</v>
      </c>
      <c r="B25" t="s">
        <v>24</v>
      </c>
      <c r="C25" s="1">
        <v>44113</v>
      </c>
      <c r="D25" t="s">
        <v>8</v>
      </c>
      <c r="E25" t="e">
        <v>#N/A</v>
      </c>
      <c r="F25" t="e">
        <v>#N/A</v>
      </c>
      <c r="G25">
        <v>74.8</v>
      </c>
    </row>
    <row r="26" spans="1:7" x14ac:dyDescent="0.3">
      <c r="A26" t="s">
        <v>23</v>
      </c>
      <c r="B26" t="s">
        <v>24</v>
      </c>
      <c r="C26" s="1">
        <v>44113</v>
      </c>
      <c r="D26" t="s">
        <v>9</v>
      </c>
      <c r="E26" t="s">
        <v>85</v>
      </c>
      <c r="F26">
        <v>1</v>
      </c>
      <c r="G26">
        <v>6.25E-2</v>
      </c>
    </row>
    <row r="27" spans="1:7" x14ac:dyDescent="0.3">
      <c r="A27" t="s">
        <v>23</v>
      </c>
      <c r="B27" t="s">
        <v>24</v>
      </c>
      <c r="C27" s="1">
        <v>44113</v>
      </c>
      <c r="D27" t="s">
        <v>10</v>
      </c>
      <c r="E27" t="s">
        <v>86</v>
      </c>
      <c r="F27">
        <v>2</v>
      </c>
      <c r="G27">
        <v>6.25E-2</v>
      </c>
    </row>
    <row r="28" spans="1:7" x14ac:dyDescent="0.3">
      <c r="A28" t="s">
        <v>23</v>
      </c>
      <c r="B28" t="s">
        <v>24</v>
      </c>
      <c r="C28" s="1">
        <v>44113</v>
      </c>
      <c r="D28" t="s">
        <v>11</v>
      </c>
      <c r="E28" t="s">
        <v>96</v>
      </c>
      <c r="F28">
        <v>13</v>
      </c>
      <c r="G28">
        <v>0.125</v>
      </c>
    </row>
    <row r="29" spans="1:7" x14ac:dyDescent="0.3">
      <c r="A29" t="s">
        <v>23</v>
      </c>
      <c r="B29" t="s">
        <v>24</v>
      </c>
      <c r="C29" s="1">
        <v>44113</v>
      </c>
      <c r="D29" t="s">
        <v>12</v>
      </c>
      <c r="E29" t="s">
        <v>87</v>
      </c>
      <c r="F29">
        <v>3</v>
      </c>
      <c r="G29">
        <v>0.21890000000000001</v>
      </c>
    </row>
    <row r="30" spans="1:7" x14ac:dyDescent="0.3">
      <c r="A30" t="s">
        <v>23</v>
      </c>
      <c r="B30" t="s">
        <v>24</v>
      </c>
      <c r="C30" s="1">
        <v>44113</v>
      </c>
      <c r="D30" t="s">
        <v>13</v>
      </c>
      <c r="E30" t="s">
        <v>97</v>
      </c>
      <c r="F30">
        <v>14</v>
      </c>
      <c r="G30">
        <v>6.25E-2</v>
      </c>
    </row>
    <row r="31" spans="1:7" x14ac:dyDescent="0.3">
      <c r="A31" t="s">
        <v>23</v>
      </c>
      <c r="B31" t="s">
        <v>24</v>
      </c>
      <c r="C31" s="1">
        <v>44113</v>
      </c>
      <c r="D31" t="s">
        <v>14</v>
      </c>
      <c r="E31" t="s">
        <v>88</v>
      </c>
      <c r="F31">
        <v>4</v>
      </c>
      <c r="G31">
        <v>6.25E-2</v>
      </c>
    </row>
    <row r="32" spans="1:7" x14ac:dyDescent="0.3">
      <c r="A32" t="s">
        <v>23</v>
      </c>
      <c r="B32" t="s">
        <v>24</v>
      </c>
      <c r="C32" s="1">
        <v>44113</v>
      </c>
      <c r="D32" t="s">
        <v>15</v>
      </c>
      <c r="E32" t="s">
        <v>98</v>
      </c>
      <c r="F32">
        <v>15</v>
      </c>
      <c r="G32">
        <v>0.61680000000000001</v>
      </c>
    </row>
    <row r="33" spans="1:7" x14ac:dyDescent="0.3">
      <c r="A33" t="s">
        <v>23</v>
      </c>
      <c r="B33" t="s">
        <v>24</v>
      </c>
      <c r="C33" s="1">
        <v>44113</v>
      </c>
      <c r="D33" t="s">
        <v>16</v>
      </c>
      <c r="E33" t="s">
        <v>89</v>
      </c>
      <c r="F33">
        <v>5</v>
      </c>
      <c r="G33">
        <v>0.37869999999999998</v>
      </c>
    </row>
    <row r="34" spans="1:7" x14ac:dyDescent="0.3">
      <c r="A34" t="s">
        <v>23</v>
      </c>
      <c r="B34" t="s">
        <v>24</v>
      </c>
      <c r="C34" s="1">
        <v>44113</v>
      </c>
      <c r="D34" t="s">
        <v>60</v>
      </c>
      <c r="E34" t="s">
        <v>104</v>
      </c>
      <c r="F34">
        <v>22</v>
      </c>
      <c r="G34">
        <v>0.38019999999999998</v>
      </c>
    </row>
    <row r="35" spans="1:7" x14ac:dyDescent="0.3">
      <c r="A35" t="s">
        <v>23</v>
      </c>
      <c r="B35" t="s">
        <v>24</v>
      </c>
      <c r="C35" s="1">
        <v>44113</v>
      </c>
      <c r="D35" t="s">
        <v>17</v>
      </c>
      <c r="E35" t="s">
        <v>99</v>
      </c>
      <c r="F35">
        <v>16</v>
      </c>
      <c r="G35">
        <v>8.3799999999999999E-2</v>
      </c>
    </row>
    <row r="36" spans="1:7" x14ac:dyDescent="0.3">
      <c r="A36" t="s">
        <v>23</v>
      </c>
      <c r="B36" t="s">
        <v>24</v>
      </c>
      <c r="C36" s="1">
        <v>44113</v>
      </c>
      <c r="D36" t="s">
        <v>18</v>
      </c>
      <c r="E36" t="s">
        <v>90</v>
      </c>
      <c r="F36">
        <v>6</v>
      </c>
      <c r="G36">
        <v>0.125</v>
      </c>
    </row>
    <row r="37" spans="1:7" x14ac:dyDescent="0.3">
      <c r="A37" t="s">
        <v>23</v>
      </c>
      <c r="B37" t="s">
        <v>24</v>
      </c>
      <c r="C37" s="1">
        <v>44113</v>
      </c>
      <c r="D37" t="s">
        <v>19</v>
      </c>
      <c r="E37" t="s">
        <v>100</v>
      </c>
      <c r="F37">
        <v>17</v>
      </c>
      <c r="G37">
        <v>9.4707000000000008</v>
      </c>
    </row>
    <row r="38" spans="1:7" x14ac:dyDescent="0.3">
      <c r="A38" t="s">
        <v>26</v>
      </c>
      <c r="B38" t="s">
        <v>27</v>
      </c>
      <c r="C38" s="1">
        <v>44113</v>
      </c>
      <c r="D38" t="s">
        <v>3</v>
      </c>
      <c r="E38" t="e">
        <v>#N/A</v>
      </c>
      <c r="F38" t="e">
        <v>#N/A</v>
      </c>
      <c r="G38" t="s">
        <v>22</v>
      </c>
    </row>
    <row r="39" spans="1:7" x14ac:dyDescent="0.3">
      <c r="A39" t="s">
        <v>26</v>
      </c>
      <c r="B39" t="s">
        <v>27</v>
      </c>
      <c r="C39" s="1">
        <v>44113</v>
      </c>
      <c r="D39" t="s">
        <v>4</v>
      </c>
      <c r="E39" t="e">
        <v>#N/A</v>
      </c>
      <c r="F39" t="e">
        <v>#N/A</v>
      </c>
      <c r="G39">
        <v>0.19900000000000001</v>
      </c>
    </row>
    <row r="40" spans="1:7" x14ac:dyDescent="0.3">
      <c r="A40" t="s">
        <v>26</v>
      </c>
      <c r="B40" t="s">
        <v>27</v>
      </c>
      <c r="C40" s="1">
        <v>44113</v>
      </c>
      <c r="D40" t="s">
        <v>5</v>
      </c>
      <c r="E40" t="e">
        <v>#N/A</v>
      </c>
      <c r="F40" t="e">
        <v>#N/A</v>
      </c>
      <c r="G40">
        <v>11300</v>
      </c>
    </row>
    <row r="41" spans="1:7" x14ac:dyDescent="0.3">
      <c r="A41" t="s">
        <v>26</v>
      </c>
      <c r="B41" t="s">
        <v>27</v>
      </c>
      <c r="C41" s="1">
        <v>44113</v>
      </c>
      <c r="D41" t="s">
        <v>6</v>
      </c>
      <c r="E41" t="e">
        <v>#N/A</v>
      </c>
      <c r="F41" t="e">
        <v>#N/A</v>
      </c>
      <c r="G41">
        <v>5.37</v>
      </c>
    </row>
    <row r="42" spans="1:7" x14ac:dyDescent="0.3">
      <c r="A42" t="s">
        <v>26</v>
      </c>
      <c r="B42" t="s">
        <v>27</v>
      </c>
      <c r="C42" s="1">
        <v>44113</v>
      </c>
      <c r="D42" t="s">
        <v>7</v>
      </c>
      <c r="E42" t="e">
        <v>#N/A</v>
      </c>
      <c r="F42" t="e">
        <v>#N/A</v>
      </c>
      <c r="G42">
        <v>73.680000000000007</v>
      </c>
    </row>
    <row r="43" spans="1:7" x14ac:dyDescent="0.3">
      <c r="A43" t="s">
        <v>26</v>
      </c>
      <c r="B43" t="s">
        <v>27</v>
      </c>
      <c r="C43" s="1">
        <v>44113</v>
      </c>
      <c r="D43" t="s">
        <v>8</v>
      </c>
      <c r="E43" t="e">
        <v>#N/A</v>
      </c>
      <c r="F43" t="e">
        <v>#N/A</v>
      </c>
      <c r="G43">
        <v>46.2</v>
      </c>
    </row>
    <row r="44" spans="1:7" x14ac:dyDescent="0.3">
      <c r="A44" t="s">
        <v>26</v>
      </c>
      <c r="B44" t="s">
        <v>27</v>
      </c>
      <c r="C44" s="1">
        <v>44113</v>
      </c>
      <c r="D44" t="s">
        <v>9</v>
      </c>
      <c r="E44" t="s">
        <v>85</v>
      </c>
      <c r="F44">
        <v>1</v>
      </c>
      <c r="G44">
        <v>6.25E-2</v>
      </c>
    </row>
    <row r="45" spans="1:7" x14ac:dyDescent="0.3">
      <c r="A45" t="s">
        <v>26</v>
      </c>
      <c r="B45" t="s">
        <v>27</v>
      </c>
      <c r="C45" s="1">
        <v>44113</v>
      </c>
      <c r="D45" t="s">
        <v>10</v>
      </c>
      <c r="E45" t="s">
        <v>86</v>
      </c>
      <c r="F45">
        <v>2</v>
      </c>
      <c r="G45">
        <v>6.25E-2</v>
      </c>
    </row>
    <row r="46" spans="1:7" x14ac:dyDescent="0.3">
      <c r="A46" t="s">
        <v>26</v>
      </c>
      <c r="B46" t="s">
        <v>27</v>
      </c>
      <c r="C46" s="1">
        <v>44113</v>
      </c>
      <c r="D46" t="s">
        <v>11</v>
      </c>
      <c r="E46" t="s">
        <v>96</v>
      </c>
      <c r="F46">
        <v>13</v>
      </c>
      <c r="G46">
        <v>0.125</v>
      </c>
    </row>
    <row r="47" spans="1:7" x14ac:dyDescent="0.3">
      <c r="A47" t="s">
        <v>26</v>
      </c>
      <c r="B47" t="s">
        <v>27</v>
      </c>
      <c r="C47" s="1">
        <v>44113</v>
      </c>
      <c r="D47" t="s">
        <v>12</v>
      </c>
      <c r="E47" t="s">
        <v>87</v>
      </c>
      <c r="F47">
        <v>3</v>
      </c>
      <c r="G47">
        <v>6.25E-2</v>
      </c>
    </row>
    <row r="48" spans="1:7" x14ac:dyDescent="0.3">
      <c r="A48" t="s">
        <v>26</v>
      </c>
      <c r="B48" t="s">
        <v>27</v>
      </c>
      <c r="C48" s="1">
        <v>44113</v>
      </c>
      <c r="D48" t="s">
        <v>13</v>
      </c>
      <c r="E48" t="s">
        <v>97</v>
      </c>
      <c r="F48">
        <v>14</v>
      </c>
      <c r="G48">
        <v>6.25E-2</v>
      </c>
    </row>
    <row r="49" spans="1:7" x14ac:dyDescent="0.3">
      <c r="A49" t="s">
        <v>26</v>
      </c>
      <c r="B49" t="s">
        <v>27</v>
      </c>
      <c r="C49" s="1">
        <v>44113</v>
      </c>
      <c r="D49" t="s">
        <v>14</v>
      </c>
      <c r="E49" t="s">
        <v>88</v>
      </c>
      <c r="F49">
        <v>4</v>
      </c>
      <c r="G49">
        <v>6.25E-2</v>
      </c>
    </row>
    <row r="50" spans="1:7" x14ac:dyDescent="0.3">
      <c r="A50" t="s">
        <v>26</v>
      </c>
      <c r="B50" t="s">
        <v>27</v>
      </c>
      <c r="C50" s="1">
        <v>44113</v>
      </c>
      <c r="D50" t="s">
        <v>15</v>
      </c>
      <c r="E50" t="s">
        <v>98</v>
      </c>
      <c r="F50">
        <v>15</v>
      </c>
      <c r="G50">
        <v>0.1535</v>
      </c>
    </row>
    <row r="51" spans="1:7" x14ac:dyDescent="0.3">
      <c r="A51" t="s">
        <v>26</v>
      </c>
      <c r="B51" t="s">
        <v>27</v>
      </c>
      <c r="C51" s="1">
        <v>44113</v>
      </c>
      <c r="D51" t="s">
        <v>16</v>
      </c>
      <c r="E51" t="s">
        <v>89</v>
      </c>
      <c r="F51">
        <v>5</v>
      </c>
      <c r="G51">
        <v>0.125</v>
      </c>
    </row>
    <row r="52" spans="1:7" x14ac:dyDescent="0.3">
      <c r="A52" t="s">
        <v>26</v>
      </c>
      <c r="B52" t="s">
        <v>27</v>
      </c>
      <c r="C52" s="1">
        <v>44113</v>
      </c>
      <c r="D52" t="s">
        <v>60</v>
      </c>
      <c r="E52" t="s">
        <v>104</v>
      </c>
      <c r="F52">
        <v>22</v>
      </c>
      <c r="G52">
        <v>7.8100000000000003E-2</v>
      </c>
    </row>
    <row r="53" spans="1:7" x14ac:dyDescent="0.3">
      <c r="A53" t="s">
        <v>26</v>
      </c>
      <c r="B53" t="s">
        <v>27</v>
      </c>
      <c r="C53" s="1">
        <v>44113</v>
      </c>
      <c r="D53" t="s">
        <v>17</v>
      </c>
      <c r="E53" t="s">
        <v>99</v>
      </c>
      <c r="F53">
        <v>16</v>
      </c>
      <c r="G53">
        <v>4.6300000000000001E-2</v>
      </c>
    </row>
    <row r="54" spans="1:7" x14ac:dyDescent="0.3">
      <c r="A54" t="s">
        <v>26</v>
      </c>
      <c r="B54" t="s">
        <v>27</v>
      </c>
      <c r="C54" s="1">
        <v>44113</v>
      </c>
      <c r="D54" t="s">
        <v>18</v>
      </c>
      <c r="E54" t="s">
        <v>90</v>
      </c>
      <c r="F54">
        <v>6</v>
      </c>
      <c r="G54">
        <v>0.125</v>
      </c>
    </row>
    <row r="55" spans="1:7" x14ac:dyDescent="0.3">
      <c r="A55" t="s">
        <v>26</v>
      </c>
      <c r="B55" t="s">
        <v>27</v>
      </c>
      <c r="C55" s="1">
        <v>44113</v>
      </c>
      <c r="D55" t="s">
        <v>19</v>
      </c>
      <c r="E55" t="s">
        <v>100</v>
      </c>
      <c r="F55">
        <v>17</v>
      </c>
      <c r="G55">
        <v>1.2767999999999999</v>
      </c>
    </row>
    <row r="56" spans="1:7" x14ac:dyDescent="0.3">
      <c r="A56" t="s">
        <v>28</v>
      </c>
      <c r="B56" t="s">
        <v>29</v>
      </c>
      <c r="C56" s="1">
        <v>44113</v>
      </c>
      <c r="D56" t="s">
        <v>3</v>
      </c>
      <c r="E56" t="e">
        <v>#N/A</v>
      </c>
      <c r="F56" t="e">
        <v>#N/A</v>
      </c>
      <c r="G56" t="s">
        <v>25</v>
      </c>
    </row>
    <row r="57" spans="1:7" x14ac:dyDescent="0.3">
      <c r="A57" t="s">
        <v>28</v>
      </c>
      <c r="B57" t="s">
        <v>29</v>
      </c>
      <c r="C57" s="1">
        <v>44113</v>
      </c>
      <c r="D57" t="s">
        <v>4</v>
      </c>
      <c r="E57" t="e">
        <v>#N/A</v>
      </c>
      <c r="F57" t="e">
        <v>#N/A</v>
      </c>
      <c r="G57">
        <v>0.45600000000000002</v>
      </c>
    </row>
    <row r="58" spans="1:7" x14ac:dyDescent="0.3">
      <c r="A58" t="s">
        <v>28</v>
      </c>
      <c r="B58" t="s">
        <v>29</v>
      </c>
      <c r="C58" s="1">
        <v>44113</v>
      </c>
      <c r="D58" t="s">
        <v>5</v>
      </c>
      <c r="E58" t="e">
        <v>#N/A</v>
      </c>
      <c r="F58" t="e">
        <v>#N/A</v>
      </c>
      <c r="G58">
        <v>103000</v>
      </c>
    </row>
    <row r="59" spans="1:7" x14ac:dyDescent="0.3">
      <c r="A59" t="s">
        <v>28</v>
      </c>
      <c r="B59" t="s">
        <v>29</v>
      </c>
      <c r="C59" s="1">
        <v>44113</v>
      </c>
      <c r="D59" t="s">
        <v>6</v>
      </c>
      <c r="E59" t="e">
        <v>#N/A</v>
      </c>
      <c r="F59" t="e">
        <v>#N/A</v>
      </c>
      <c r="G59">
        <v>2.3199999999999998</v>
      </c>
    </row>
    <row r="60" spans="1:7" x14ac:dyDescent="0.3">
      <c r="A60" t="s">
        <v>28</v>
      </c>
      <c r="B60" t="s">
        <v>29</v>
      </c>
      <c r="C60" s="1">
        <v>44113</v>
      </c>
      <c r="D60" t="s">
        <v>7</v>
      </c>
      <c r="E60" t="e">
        <v>#N/A</v>
      </c>
      <c r="F60" t="e">
        <v>#N/A</v>
      </c>
      <c r="G60">
        <v>7.97</v>
      </c>
    </row>
    <row r="61" spans="1:7" x14ac:dyDescent="0.3">
      <c r="A61" t="s">
        <v>28</v>
      </c>
      <c r="B61" t="s">
        <v>29</v>
      </c>
      <c r="C61" s="1">
        <v>44113</v>
      </c>
      <c r="D61" t="s">
        <v>8</v>
      </c>
      <c r="E61" t="e">
        <v>#N/A</v>
      </c>
      <c r="F61" t="e">
        <v>#N/A</v>
      </c>
      <c r="G61">
        <v>74.599999999999994</v>
      </c>
    </row>
    <row r="62" spans="1:7" x14ac:dyDescent="0.3">
      <c r="A62" t="s">
        <v>28</v>
      </c>
      <c r="B62" t="s">
        <v>29</v>
      </c>
      <c r="C62" s="1">
        <v>44113</v>
      </c>
      <c r="D62" t="s">
        <v>9</v>
      </c>
      <c r="E62" t="s">
        <v>85</v>
      </c>
      <c r="F62">
        <v>1</v>
      </c>
      <c r="G62">
        <v>6.25E-2</v>
      </c>
    </row>
    <row r="63" spans="1:7" x14ac:dyDescent="0.3">
      <c r="A63" t="s">
        <v>28</v>
      </c>
      <c r="B63" t="s">
        <v>29</v>
      </c>
      <c r="C63" s="1">
        <v>44113</v>
      </c>
      <c r="D63" t="s">
        <v>11</v>
      </c>
      <c r="E63" t="s">
        <v>96</v>
      </c>
      <c r="F63">
        <v>13</v>
      </c>
      <c r="G63">
        <v>0.33879999999999999</v>
      </c>
    </row>
    <row r="64" spans="1:7" x14ac:dyDescent="0.3">
      <c r="A64" t="s">
        <v>28</v>
      </c>
      <c r="B64" t="s">
        <v>29</v>
      </c>
      <c r="C64" s="1">
        <v>44113</v>
      </c>
      <c r="D64" t="s">
        <v>12</v>
      </c>
      <c r="E64" t="s">
        <v>87</v>
      </c>
      <c r="F64">
        <v>3</v>
      </c>
      <c r="G64">
        <v>0.219</v>
      </c>
    </row>
    <row r="65" spans="1:7" x14ac:dyDescent="0.3">
      <c r="A65" t="s">
        <v>28</v>
      </c>
      <c r="B65" t="s">
        <v>29</v>
      </c>
      <c r="C65" s="1">
        <v>44113</v>
      </c>
      <c r="D65" t="s">
        <v>13</v>
      </c>
      <c r="E65" t="s">
        <v>97</v>
      </c>
      <c r="F65">
        <v>14</v>
      </c>
      <c r="G65">
        <v>0.26119999999999999</v>
      </c>
    </row>
    <row r="66" spans="1:7" x14ac:dyDescent="0.3">
      <c r="A66" t="s">
        <v>28</v>
      </c>
      <c r="B66" t="s">
        <v>29</v>
      </c>
      <c r="C66" s="1">
        <v>44113</v>
      </c>
      <c r="D66" t="s">
        <v>14</v>
      </c>
      <c r="E66" t="s">
        <v>88</v>
      </c>
      <c r="F66">
        <v>4</v>
      </c>
      <c r="G66">
        <v>0.21829999999999999</v>
      </c>
    </row>
    <row r="67" spans="1:7" x14ac:dyDescent="0.3">
      <c r="A67" t="s">
        <v>28</v>
      </c>
      <c r="B67" t="s">
        <v>29</v>
      </c>
      <c r="C67" s="1">
        <v>44113</v>
      </c>
      <c r="D67" t="s">
        <v>15</v>
      </c>
      <c r="E67" t="s">
        <v>98</v>
      </c>
      <c r="F67">
        <v>15</v>
      </c>
      <c r="G67">
        <v>2.2147999999999999</v>
      </c>
    </row>
    <row r="68" spans="1:7" x14ac:dyDescent="0.3">
      <c r="A68" t="s">
        <v>28</v>
      </c>
      <c r="B68" t="s">
        <v>29</v>
      </c>
      <c r="C68" s="1">
        <v>44113</v>
      </c>
      <c r="D68" t="s">
        <v>16</v>
      </c>
      <c r="E68" t="s">
        <v>89</v>
      </c>
      <c r="F68">
        <v>5</v>
      </c>
      <c r="G68">
        <v>0.42420000000000002</v>
      </c>
    </row>
    <row r="69" spans="1:7" x14ac:dyDescent="0.3">
      <c r="A69" t="s">
        <v>28</v>
      </c>
      <c r="B69" t="s">
        <v>29</v>
      </c>
      <c r="C69" s="1">
        <v>44113</v>
      </c>
      <c r="D69" t="s">
        <v>60</v>
      </c>
      <c r="E69" t="s">
        <v>104</v>
      </c>
      <c r="F69">
        <v>22</v>
      </c>
      <c r="G69">
        <v>0.83109999999999995</v>
      </c>
    </row>
    <row r="70" spans="1:7" x14ac:dyDescent="0.3">
      <c r="A70" t="s">
        <v>28</v>
      </c>
      <c r="B70" t="s">
        <v>29</v>
      </c>
      <c r="C70" s="1">
        <v>44113</v>
      </c>
      <c r="D70" t="s">
        <v>17</v>
      </c>
      <c r="E70" t="s">
        <v>99</v>
      </c>
      <c r="F70">
        <v>16</v>
      </c>
      <c r="G70">
        <v>0.33179999999999998</v>
      </c>
    </row>
    <row r="71" spans="1:7" x14ac:dyDescent="0.3">
      <c r="A71" t="s">
        <v>28</v>
      </c>
      <c r="B71" t="s">
        <v>29</v>
      </c>
      <c r="C71" s="1">
        <v>44113</v>
      </c>
      <c r="D71" t="s">
        <v>18</v>
      </c>
      <c r="E71" t="s">
        <v>90</v>
      </c>
      <c r="F71">
        <v>6</v>
      </c>
      <c r="G71">
        <v>0.43590000000000001</v>
      </c>
    </row>
    <row r="72" spans="1:7" x14ac:dyDescent="0.3">
      <c r="A72" t="s">
        <v>28</v>
      </c>
      <c r="B72" t="s">
        <v>29</v>
      </c>
      <c r="C72" s="1">
        <v>44113</v>
      </c>
      <c r="D72" t="s">
        <v>19</v>
      </c>
      <c r="E72" t="s">
        <v>100</v>
      </c>
      <c r="F72">
        <v>17</v>
      </c>
      <c r="G72">
        <v>30.139700000000001</v>
      </c>
    </row>
    <row r="73" spans="1:7" x14ac:dyDescent="0.3">
      <c r="A73" t="s">
        <v>30</v>
      </c>
      <c r="B73" t="s">
        <v>21</v>
      </c>
      <c r="C73" s="1">
        <v>44117</v>
      </c>
      <c r="D73" t="s">
        <v>3</v>
      </c>
      <c r="E73" t="e">
        <v>#N/A</v>
      </c>
      <c r="F73" t="e">
        <v>#N/A</v>
      </c>
      <c r="G73" t="s">
        <v>22</v>
      </c>
    </row>
    <row r="74" spans="1:7" x14ac:dyDescent="0.3">
      <c r="A74" t="s">
        <v>30</v>
      </c>
      <c r="B74" t="s">
        <v>21</v>
      </c>
      <c r="C74" s="1">
        <v>44117</v>
      </c>
      <c r="D74" t="s">
        <v>4</v>
      </c>
      <c r="E74" t="e">
        <v>#N/A</v>
      </c>
      <c r="F74" t="e">
        <v>#N/A</v>
      </c>
      <c r="G74">
        <v>0.67800000000000005</v>
      </c>
    </row>
    <row r="75" spans="1:7" x14ac:dyDescent="0.3">
      <c r="A75" t="s">
        <v>30</v>
      </c>
      <c r="B75" t="s">
        <v>21</v>
      </c>
      <c r="C75" s="1">
        <v>44117</v>
      </c>
      <c r="D75" t="s">
        <v>5</v>
      </c>
      <c r="E75" t="e">
        <v>#N/A</v>
      </c>
      <c r="F75" t="e">
        <v>#N/A</v>
      </c>
      <c r="G75">
        <v>6940</v>
      </c>
    </row>
    <row r="76" spans="1:7" x14ac:dyDescent="0.3">
      <c r="A76" t="s">
        <v>30</v>
      </c>
      <c r="B76" t="s">
        <v>21</v>
      </c>
      <c r="C76" s="1">
        <v>44117</v>
      </c>
      <c r="D76" t="s">
        <v>6</v>
      </c>
      <c r="E76" t="e">
        <v>#N/A</v>
      </c>
      <c r="F76" t="e">
        <v>#N/A</v>
      </c>
      <c r="G76">
        <v>21.37</v>
      </c>
    </row>
    <row r="77" spans="1:7" x14ac:dyDescent="0.3">
      <c r="A77" t="s">
        <v>30</v>
      </c>
      <c r="B77" t="s">
        <v>21</v>
      </c>
      <c r="C77" s="1">
        <v>44117</v>
      </c>
      <c r="D77" t="s">
        <v>7</v>
      </c>
      <c r="E77" t="e">
        <v>#N/A</v>
      </c>
      <c r="F77" t="e">
        <v>#N/A</v>
      </c>
      <c r="G77">
        <v>61.91</v>
      </c>
    </row>
    <row r="78" spans="1:7" x14ac:dyDescent="0.3">
      <c r="A78" t="s">
        <v>30</v>
      </c>
      <c r="B78" t="s">
        <v>21</v>
      </c>
      <c r="C78" s="1">
        <v>44117</v>
      </c>
      <c r="D78" t="s">
        <v>8</v>
      </c>
      <c r="E78" t="e">
        <v>#N/A</v>
      </c>
      <c r="F78" t="e">
        <v>#N/A</v>
      </c>
      <c r="G78">
        <v>28.8</v>
      </c>
    </row>
    <row r="79" spans="1:7" x14ac:dyDescent="0.3">
      <c r="A79" t="s">
        <v>30</v>
      </c>
      <c r="B79" t="s">
        <v>21</v>
      </c>
      <c r="C79" s="1">
        <v>44117</v>
      </c>
      <c r="D79" t="s">
        <v>9</v>
      </c>
      <c r="E79" t="s">
        <v>85</v>
      </c>
      <c r="F79">
        <v>1</v>
      </c>
      <c r="G79">
        <v>6.25E-2</v>
      </c>
    </row>
    <row r="80" spans="1:7" x14ac:dyDescent="0.3">
      <c r="A80" t="s">
        <v>30</v>
      </c>
      <c r="B80" t="s">
        <v>21</v>
      </c>
      <c r="C80" s="1">
        <v>44117</v>
      </c>
      <c r="D80" t="s">
        <v>10</v>
      </c>
      <c r="E80" t="s">
        <v>86</v>
      </c>
      <c r="F80">
        <v>2</v>
      </c>
      <c r="G80">
        <v>6.25E-2</v>
      </c>
    </row>
    <row r="81" spans="1:7" x14ac:dyDescent="0.3">
      <c r="A81" t="s">
        <v>30</v>
      </c>
      <c r="B81" t="s">
        <v>21</v>
      </c>
      <c r="C81" s="1">
        <v>44117</v>
      </c>
      <c r="D81" t="s">
        <v>11</v>
      </c>
      <c r="E81" t="s">
        <v>96</v>
      </c>
      <c r="F81">
        <v>13</v>
      </c>
      <c r="G81">
        <v>0.125</v>
      </c>
    </row>
    <row r="82" spans="1:7" x14ac:dyDescent="0.3">
      <c r="A82" t="s">
        <v>30</v>
      </c>
      <c r="B82" t="s">
        <v>21</v>
      </c>
      <c r="C82" s="1">
        <v>44117</v>
      </c>
      <c r="D82" t="s">
        <v>12</v>
      </c>
      <c r="E82" t="s">
        <v>87</v>
      </c>
      <c r="F82">
        <v>3</v>
      </c>
      <c r="G82">
        <v>6.25E-2</v>
      </c>
    </row>
    <row r="83" spans="1:7" x14ac:dyDescent="0.3">
      <c r="A83" t="s">
        <v>30</v>
      </c>
      <c r="B83" t="s">
        <v>21</v>
      </c>
      <c r="C83" s="1">
        <v>44117</v>
      </c>
      <c r="D83" t="s">
        <v>13</v>
      </c>
      <c r="E83" t="s">
        <v>97</v>
      </c>
      <c r="F83">
        <v>14</v>
      </c>
      <c r="G83">
        <v>6.25E-2</v>
      </c>
    </row>
    <row r="84" spans="1:7" x14ac:dyDescent="0.3">
      <c r="A84" t="s">
        <v>30</v>
      </c>
      <c r="B84" t="s">
        <v>21</v>
      </c>
      <c r="C84" s="1">
        <v>44117</v>
      </c>
      <c r="D84" t="s">
        <v>14</v>
      </c>
      <c r="E84" t="s">
        <v>88</v>
      </c>
      <c r="F84">
        <v>4</v>
      </c>
      <c r="G84">
        <v>6.25E-2</v>
      </c>
    </row>
    <row r="85" spans="1:7" x14ac:dyDescent="0.3">
      <c r="A85" t="s">
        <v>30</v>
      </c>
      <c r="B85" t="s">
        <v>21</v>
      </c>
      <c r="C85" s="1">
        <v>44117</v>
      </c>
      <c r="D85" t="s">
        <v>15</v>
      </c>
      <c r="E85" t="s">
        <v>98</v>
      </c>
      <c r="F85">
        <v>15</v>
      </c>
      <c r="G85">
        <v>0.17730000000000001</v>
      </c>
    </row>
    <row r="86" spans="1:7" x14ac:dyDescent="0.3">
      <c r="A86" t="s">
        <v>30</v>
      </c>
      <c r="B86" t="s">
        <v>21</v>
      </c>
      <c r="C86" s="1">
        <v>44117</v>
      </c>
      <c r="D86" t="s">
        <v>16</v>
      </c>
      <c r="E86" t="s">
        <v>89</v>
      </c>
      <c r="F86">
        <v>5</v>
      </c>
      <c r="G86">
        <v>0.125</v>
      </c>
    </row>
    <row r="87" spans="1:7" x14ac:dyDescent="0.3">
      <c r="A87" t="s">
        <v>30</v>
      </c>
      <c r="B87" t="s">
        <v>21</v>
      </c>
      <c r="C87" s="1">
        <v>44117</v>
      </c>
      <c r="D87" t="s">
        <v>60</v>
      </c>
      <c r="E87" t="s">
        <v>104</v>
      </c>
      <c r="F87">
        <v>22</v>
      </c>
      <c r="G87">
        <v>0.13400000000000001</v>
      </c>
    </row>
    <row r="88" spans="1:7" x14ac:dyDescent="0.3">
      <c r="A88" t="s">
        <v>30</v>
      </c>
      <c r="B88" t="s">
        <v>21</v>
      </c>
      <c r="C88" s="1">
        <v>44117</v>
      </c>
      <c r="D88" t="s">
        <v>17</v>
      </c>
      <c r="E88" t="s">
        <v>99</v>
      </c>
      <c r="F88">
        <v>16</v>
      </c>
      <c r="G88">
        <v>3.1600000000000003E-2</v>
      </c>
    </row>
    <row r="89" spans="1:7" x14ac:dyDescent="0.3">
      <c r="A89" t="s">
        <v>30</v>
      </c>
      <c r="B89" t="s">
        <v>21</v>
      </c>
      <c r="C89" s="1">
        <v>44117</v>
      </c>
      <c r="D89" t="s">
        <v>18</v>
      </c>
      <c r="E89" t="s">
        <v>90</v>
      </c>
      <c r="F89">
        <v>6</v>
      </c>
      <c r="G89">
        <v>0.125</v>
      </c>
    </row>
    <row r="90" spans="1:7" x14ac:dyDescent="0.3">
      <c r="A90" t="s">
        <v>30</v>
      </c>
      <c r="B90" t="s">
        <v>21</v>
      </c>
      <c r="C90" s="1">
        <v>44117</v>
      </c>
      <c r="D90" t="s">
        <v>19</v>
      </c>
      <c r="E90" t="s">
        <v>100</v>
      </c>
      <c r="F90">
        <v>17</v>
      </c>
      <c r="G90">
        <v>1.8802000000000001</v>
      </c>
    </row>
    <row r="91" spans="1:7" x14ac:dyDescent="0.3">
      <c r="A91" t="s">
        <v>31</v>
      </c>
      <c r="B91" t="s">
        <v>24</v>
      </c>
      <c r="C91" s="1">
        <v>44117</v>
      </c>
      <c r="D91" t="s">
        <v>3</v>
      </c>
      <c r="E91" t="e">
        <v>#N/A</v>
      </c>
      <c r="F91" t="e">
        <v>#N/A</v>
      </c>
      <c r="G91" t="s">
        <v>25</v>
      </c>
    </row>
    <row r="92" spans="1:7" x14ac:dyDescent="0.3">
      <c r="A92" t="s">
        <v>31</v>
      </c>
      <c r="B92" t="s">
        <v>24</v>
      </c>
      <c r="C92" s="1">
        <v>44117</v>
      </c>
      <c r="D92" t="s">
        <v>4</v>
      </c>
      <c r="E92" t="e">
        <v>#N/A</v>
      </c>
      <c r="F92" t="e">
        <v>#N/A</v>
      </c>
      <c r="G92">
        <v>0.64800000000000002</v>
      </c>
    </row>
    <row r="93" spans="1:7" x14ac:dyDescent="0.3">
      <c r="A93" t="s">
        <v>31</v>
      </c>
      <c r="B93" t="s">
        <v>24</v>
      </c>
      <c r="C93" s="1">
        <v>44117</v>
      </c>
      <c r="D93" t="s">
        <v>5</v>
      </c>
      <c r="E93" t="e">
        <v>#N/A</v>
      </c>
      <c r="F93" t="e">
        <v>#N/A</v>
      </c>
      <c r="G93">
        <v>25800</v>
      </c>
    </row>
    <row r="94" spans="1:7" x14ac:dyDescent="0.3">
      <c r="A94" t="s">
        <v>31</v>
      </c>
      <c r="B94" t="s">
        <v>24</v>
      </c>
      <c r="C94" s="1">
        <v>44117</v>
      </c>
      <c r="D94" t="s">
        <v>6</v>
      </c>
      <c r="E94" t="e">
        <v>#N/A</v>
      </c>
      <c r="F94" t="e">
        <v>#N/A</v>
      </c>
      <c r="G94">
        <v>9.4499999999999993</v>
      </c>
    </row>
    <row r="95" spans="1:7" x14ac:dyDescent="0.3">
      <c r="A95" t="s">
        <v>31</v>
      </c>
      <c r="B95" t="s">
        <v>24</v>
      </c>
      <c r="C95" s="1">
        <v>44117</v>
      </c>
      <c r="D95" t="s">
        <v>7</v>
      </c>
      <c r="E95" t="e">
        <v>#N/A</v>
      </c>
      <c r="F95" t="e">
        <v>#N/A</v>
      </c>
      <c r="G95">
        <v>10.48</v>
      </c>
    </row>
    <row r="96" spans="1:7" x14ac:dyDescent="0.3">
      <c r="A96" t="s">
        <v>31</v>
      </c>
      <c r="B96" t="s">
        <v>24</v>
      </c>
      <c r="C96" s="1">
        <v>44117</v>
      </c>
      <c r="D96" t="s">
        <v>8</v>
      </c>
      <c r="E96" t="e">
        <v>#N/A</v>
      </c>
      <c r="F96" t="e">
        <v>#N/A</v>
      </c>
      <c r="G96">
        <v>74.8</v>
      </c>
    </row>
    <row r="97" spans="1:7" x14ac:dyDescent="0.3">
      <c r="A97" t="s">
        <v>31</v>
      </c>
      <c r="B97" t="s">
        <v>24</v>
      </c>
      <c r="C97" s="1">
        <v>44117</v>
      </c>
      <c r="D97" t="s">
        <v>9</v>
      </c>
      <c r="E97" t="s">
        <v>85</v>
      </c>
      <c r="F97">
        <v>1</v>
      </c>
      <c r="G97">
        <v>6.25E-2</v>
      </c>
    </row>
    <row r="98" spans="1:7" x14ac:dyDescent="0.3">
      <c r="A98" t="s">
        <v>31</v>
      </c>
      <c r="B98" t="s">
        <v>24</v>
      </c>
      <c r="C98" s="1">
        <v>44117</v>
      </c>
      <c r="D98" t="s">
        <v>10</v>
      </c>
      <c r="E98" t="s">
        <v>86</v>
      </c>
      <c r="F98">
        <v>2</v>
      </c>
      <c r="G98">
        <v>0.14180000000000001</v>
      </c>
    </row>
    <row r="99" spans="1:7" x14ac:dyDescent="0.3">
      <c r="A99" t="s">
        <v>31</v>
      </c>
      <c r="B99" t="s">
        <v>24</v>
      </c>
      <c r="C99" s="1">
        <v>44117</v>
      </c>
      <c r="D99" t="s">
        <v>11</v>
      </c>
      <c r="E99" t="s">
        <v>96</v>
      </c>
      <c r="F99">
        <v>13</v>
      </c>
      <c r="G99">
        <v>0.25969999999999999</v>
      </c>
    </row>
    <row r="100" spans="1:7" x14ac:dyDescent="0.3">
      <c r="A100" t="s">
        <v>31</v>
      </c>
      <c r="B100" t="s">
        <v>24</v>
      </c>
      <c r="C100" s="1">
        <v>44117</v>
      </c>
      <c r="D100" t="s">
        <v>12</v>
      </c>
      <c r="E100" t="s">
        <v>87</v>
      </c>
      <c r="F100">
        <v>3</v>
      </c>
      <c r="G100">
        <v>0.3569</v>
      </c>
    </row>
    <row r="101" spans="1:7" x14ac:dyDescent="0.3">
      <c r="A101" t="s">
        <v>31</v>
      </c>
      <c r="B101" t="s">
        <v>24</v>
      </c>
      <c r="C101" s="1">
        <v>44117</v>
      </c>
      <c r="D101" t="s">
        <v>13</v>
      </c>
      <c r="E101" t="s">
        <v>97</v>
      </c>
      <c r="F101">
        <v>14</v>
      </c>
      <c r="G101">
        <v>0.22009999999999999</v>
      </c>
    </row>
    <row r="102" spans="1:7" x14ac:dyDescent="0.3">
      <c r="A102" t="s">
        <v>31</v>
      </c>
      <c r="B102" t="s">
        <v>24</v>
      </c>
      <c r="C102" s="1">
        <v>44117</v>
      </c>
      <c r="D102" t="s">
        <v>14</v>
      </c>
      <c r="E102" t="s">
        <v>88</v>
      </c>
      <c r="F102">
        <v>4</v>
      </c>
      <c r="G102">
        <v>0.13769999999999999</v>
      </c>
    </row>
    <row r="103" spans="1:7" x14ac:dyDescent="0.3">
      <c r="A103" t="s">
        <v>31</v>
      </c>
      <c r="B103" t="s">
        <v>24</v>
      </c>
      <c r="C103" s="1">
        <v>44117</v>
      </c>
      <c r="D103" t="s">
        <v>15</v>
      </c>
      <c r="E103" t="s">
        <v>98</v>
      </c>
      <c r="F103">
        <v>15</v>
      </c>
      <c r="G103">
        <v>1.4280999999999999</v>
      </c>
    </row>
    <row r="104" spans="1:7" x14ac:dyDescent="0.3">
      <c r="A104" t="s">
        <v>31</v>
      </c>
      <c r="B104" t="s">
        <v>24</v>
      </c>
      <c r="C104" s="1">
        <v>44117</v>
      </c>
      <c r="D104" t="s">
        <v>16</v>
      </c>
      <c r="E104" t="s">
        <v>89</v>
      </c>
      <c r="F104">
        <v>5</v>
      </c>
      <c r="G104">
        <v>0.48430000000000001</v>
      </c>
    </row>
    <row r="105" spans="1:7" x14ac:dyDescent="0.3">
      <c r="A105" t="s">
        <v>31</v>
      </c>
      <c r="B105" t="s">
        <v>24</v>
      </c>
      <c r="C105" s="1">
        <v>44117</v>
      </c>
      <c r="D105" t="s">
        <v>60</v>
      </c>
      <c r="E105" t="s">
        <v>104</v>
      </c>
      <c r="F105">
        <v>22</v>
      </c>
      <c r="G105">
        <v>1.0017</v>
      </c>
    </row>
    <row r="106" spans="1:7" x14ac:dyDescent="0.3">
      <c r="A106" t="s">
        <v>31</v>
      </c>
      <c r="B106" t="s">
        <v>24</v>
      </c>
      <c r="C106" s="1">
        <v>44117</v>
      </c>
      <c r="D106" t="s">
        <v>17</v>
      </c>
      <c r="E106" t="s">
        <v>99</v>
      </c>
      <c r="F106">
        <v>16</v>
      </c>
      <c r="G106">
        <v>9.69E-2</v>
      </c>
    </row>
    <row r="107" spans="1:7" x14ac:dyDescent="0.3">
      <c r="A107" t="s">
        <v>31</v>
      </c>
      <c r="B107" t="s">
        <v>24</v>
      </c>
      <c r="C107" s="1">
        <v>44117</v>
      </c>
      <c r="D107" t="s">
        <v>18</v>
      </c>
      <c r="E107" t="s">
        <v>90</v>
      </c>
      <c r="F107">
        <v>6</v>
      </c>
      <c r="G107">
        <v>0.125</v>
      </c>
    </row>
    <row r="108" spans="1:7" x14ac:dyDescent="0.3">
      <c r="A108" t="s">
        <v>31</v>
      </c>
      <c r="B108" t="s">
        <v>24</v>
      </c>
      <c r="C108" s="1">
        <v>44117</v>
      </c>
      <c r="D108" t="s">
        <v>19</v>
      </c>
      <c r="E108" t="s">
        <v>100</v>
      </c>
      <c r="F108">
        <v>17</v>
      </c>
      <c r="G108">
        <v>10.4595</v>
      </c>
    </row>
    <row r="109" spans="1:7" x14ac:dyDescent="0.3">
      <c r="A109" t="s">
        <v>32</v>
      </c>
      <c r="B109" t="s">
        <v>27</v>
      </c>
      <c r="C109" s="1">
        <v>44117</v>
      </c>
      <c r="D109" t="s">
        <v>3</v>
      </c>
      <c r="E109" t="e">
        <v>#N/A</v>
      </c>
      <c r="F109" t="e">
        <v>#N/A</v>
      </c>
      <c r="G109" t="s">
        <v>22</v>
      </c>
    </row>
    <row r="110" spans="1:7" x14ac:dyDescent="0.3">
      <c r="A110" t="s">
        <v>32</v>
      </c>
      <c r="B110" t="s">
        <v>27</v>
      </c>
      <c r="C110" s="1">
        <v>44117</v>
      </c>
      <c r="D110" t="s">
        <v>4</v>
      </c>
      <c r="E110" t="e">
        <v>#N/A</v>
      </c>
      <c r="F110" t="e">
        <v>#N/A</v>
      </c>
      <c r="G110">
        <v>0.19900000000000001</v>
      </c>
    </row>
    <row r="111" spans="1:7" x14ac:dyDescent="0.3">
      <c r="A111" t="s">
        <v>32</v>
      </c>
      <c r="B111" t="s">
        <v>27</v>
      </c>
      <c r="C111" s="1">
        <v>44117</v>
      </c>
      <c r="D111" t="s">
        <v>5</v>
      </c>
      <c r="E111" t="e">
        <v>#N/A</v>
      </c>
      <c r="F111" t="e">
        <v>#N/A</v>
      </c>
      <c r="G111">
        <v>11300</v>
      </c>
    </row>
    <row r="112" spans="1:7" x14ac:dyDescent="0.3">
      <c r="A112" t="s">
        <v>32</v>
      </c>
      <c r="B112" t="s">
        <v>27</v>
      </c>
      <c r="C112" s="1">
        <v>44117</v>
      </c>
      <c r="D112" t="s">
        <v>6</v>
      </c>
      <c r="E112" t="e">
        <v>#N/A</v>
      </c>
      <c r="F112" t="e">
        <v>#N/A</v>
      </c>
      <c r="G112">
        <v>5.37</v>
      </c>
    </row>
    <row r="113" spans="1:7" x14ac:dyDescent="0.3">
      <c r="A113" t="s">
        <v>32</v>
      </c>
      <c r="B113" t="s">
        <v>27</v>
      </c>
      <c r="C113" s="1">
        <v>44117</v>
      </c>
      <c r="D113" t="s">
        <v>7</v>
      </c>
      <c r="E113" t="e">
        <v>#N/A</v>
      </c>
      <c r="F113" t="e">
        <v>#N/A</v>
      </c>
      <c r="G113">
        <v>73.680000000000007</v>
      </c>
    </row>
    <row r="114" spans="1:7" x14ac:dyDescent="0.3">
      <c r="A114" t="s">
        <v>32</v>
      </c>
      <c r="B114" t="s">
        <v>27</v>
      </c>
      <c r="C114" s="1">
        <v>44117</v>
      </c>
      <c r="D114" t="s">
        <v>8</v>
      </c>
      <c r="E114" t="e">
        <v>#N/A</v>
      </c>
      <c r="F114" t="e">
        <v>#N/A</v>
      </c>
      <c r="G114">
        <v>46.2</v>
      </c>
    </row>
    <row r="115" spans="1:7" x14ac:dyDescent="0.3">
      <c r="A115" t="s">
        <v>32</v>
      </c>
      <c r="B115" t="s">
        <v>27</v>
      </c>
      <c r="C115" s="1">
        <v>44117</v>
      </c>
      <c r="D115" t="s">
        <v>9</v>
      </c>
      <c r="E115" t="s">
        <v>85</v>
      </c>
      <c r="F115">
        <v>1</v>
      </c>
      <c r="G115">
        <v>6.25E-2</v>
      </c>
    </row>
    <row r="116" spans="1:7" x14ac:dyDescent="0.3">
      <c r="A116" t="s">
        <v>32</v>
      </c>
      <c r="B116" t="s">
        <v>27</v>
      </c>
      <c r="C116" s="1">
        <v>44117</v>
      </c>
      <c r="D116" t="s">
        <v>10</v>
      </c>
      <c r="E116" t="s">
        <v>86</v>
      </c>
      <c r="F116">
        <v>2</v>
      </c>
      <c r="G116">
        <v>6.25E-2</v>
      </c>
    </row>
    <row r="117" spans="1:7" x14ac:dyDescent="0.3">
      <c r="A117" t="s">
        <v>32</v>
      </c>
      <c r="B117" t="s">
        <v>27</v>
      </c>
      <c r="C117" s="1">
        <v>44117</v>
      </c>
      <c r="D117" t="s">
        <v>11</v>
      </c>
      <c r="E117" t="s">
        <v>96</v>
      </c>
      <c r="F117">
        <v>13</v>
      </c>
      <c r="G117">
        <v>0.125</v>
      </c>
    </row>
    <row r="118" spans="1:7" x14ac:dyDescent="0.3">
      <c r="A118" t="s">
        <v>32</v>
      </c>
      <c r="B118" t="s">
        <v>27</v>
      </c>
      <c r="C118" s="1">
        <v>44117</v>
      </c>
      <c r="D118" t="s">
        <v>12</v>
      </c>
      <c r="E118" t="s">
        <v>87</v>
      </c>
      <c r="F118">
        <v>3</v>
      </c>
      <c r="G118">
        <v>6.25E-2</v>
      </c>
    </row>
    <row r="119" spans="1:7" x14ac:dyDescent="0.3">
      <c r="A119" t="s">
        <v>32</v>
      </c>
      <c r="B119" t="s">
        <v>27</v>
      </c>
      <c r="C119" s="1">
        <v>44117</v>
      </c>
      <c r="D119" t="s">
        <v>13</v>
      </c>
      <c r="E119" t="s">
        <v>97</v>
      </c>
      <c r="F119">
        <v>14</v>
      </c>
      <c r="G119">
        <v>6.25E-2</v>
      </c>
    </row>
    <row r="120" spans="1:7" x14ac:dyDescent="0.3">
      <c r="A120" t="s">
        <v>32</v>
      </c>
      <c r="B120" t="s">
        <v>27</v>
      </c>
      <c r="C120" s="1">
        <v>44117</v>
      </c>
      <c r="D120" t="s">
        <v>14</v>
      </c>
      <c r="E120" t="s">
        <v>88</v>
      </c>
      <c r="F120">
        <v>4</v>
      </c>
      <c r="G120">
        <v>6.25E-2</v>
      </c>
    </row>
    <row r="121" spans="1:7" x14ac:dyDescent="0.3">
      <c r="A121" t="s">
        <v>32</v>
      </c>
      <c r="B121" t="s">
        <v>27</v>
      </c>
      <c r="C121" s="1">
        <v>44117</v>
      </c>
      <c r="D121" t="s">
        <v>15</v>
      </c>
      <c r="E121" t="s">
        <v>98</v>
      </c>
      <c r="F121">
        <v>15</v>
      </c>
      <c r="G121">
        <v>0.1923</v>
      </c>
    </row>
    <row r="122" spans="1:7" x14ac:dyDescent="0.3">
      <c r="A122" t="s">
        <v>32</v>
      </c>
      <c r="B122" t="s">
        <v>27</v>
      </c>
      <c r="C122" s="1">
        <v>44117</v>
      </c>
      <c r="D122" t="s">
        <v>16</v>
      </c>
      <c r="E122" t="s">
        <v>89</v>
      </c>
      <c r="F122">
        <v>5</v>
      </c>
      <c r="G122">
        <v>0.125</v>
      </c>
    </row>
    <row r="123" spans="1:7" x14ac:dyDescent="0.3">
      <c r="A123" t="s">
        <v>32</v>
      </c>
      <c r="B123" t="s">
        <v>27</v>
      </c>
      <c r="C123" s="1">
        <v>44117</v>
      </c>
      <c r="D123" t="s">
        <v>60</v>
      </c>
      <c r="E123" t="s">
        <v>104</v>
      </c>
      <c r="F123">
        <v>22</v>
      </c>
      <c r="G123">
        <v>8.9599999999999999E-2</v>
      </c>
    </row>
    <row r="124" spans="1:7" x14ac:dyDescent="0.3">
      <c r="A124" t="s">
        <v>32</v>
      </c>
      <c r="B124" t="s">
        <v>27</v>
      </c>
      <c r="C124" s="1">
        <v>44117</v>
      </c>
      <c r="D124" t="s">
        <v>17</v>
      </c>
      <c r="E124" t="s">
        <v>99</v>
      </c>
      <c r="F124">
        <v>16</v>
      </c>
      <c r="G124">
        <v>3.3300000000000003E-2</v>
      </c>
    </row>
    <row r="125" spans="1:7" x14ac:dyDescent="0.3">
      <c r="A125" t="s">
        <v>32</v>
      </c>
      <c r="B125" t="s">
        <v>27</v>
      </c>
      <c r="C125" s="1">
        <v>44117</v>
      </c>
      <c r="D125" t="s">
        <v>18</v>
      </c>
      <c r="E125" t="s">
        <v>90</v>
      </c>
      <c r="F125">
        <v>6</v>
      </c>
      <c r="G125">
        <v>0.125</v>
      </c>
    </row>
    <row r="126" spans="1:7" x14ac:dyDescent="0.3">
      <c r="A126" t="s">
        <v>32</v>
      </c>
      <c r="B126" t="s">
        <v>27</v>
      </c>
      <c r="C126" s="1">
        <v>44117</v>
      </c>
      <c r="D126" t="s">
        <v>19</v>
      </c>
      <c r="E126" t="s">
        <v>100</v>
      </c>
      <c r="F126">
        <v>17</v>
      </c>
      <c r="G126">
        <v>1.9079999999999999</v>
      </c>
    </row>
    <row r="127" spans="1:7" x14ac:dyDescent="0.3">
      <c r="A127" t="s">
        <v>33</v>
      </c>
      <c r="B127" t="s">
        <v>29</v>
      </c>
      <c r="C127" s="1">
        <v>44117</v>
      </c>
      <c r="D127" t="s">
        <v>3</v>
      </c>
      <c r="E127" t="e">
        <v>#N/A</v>
      </c>
      <c r="F127" t="e">
        <v>#N/A</v>
      </c>
      <c r="G127" t="s">
        <v>25</v>
      </c>
    </row>
    <row r="128" spans="1:7" x14ac:dyDescent="0.3">
      <c r="A128" t="s">
        <v>33</v>
      </c>
      <c r="B128" t="s">
        <v>29</v>
      </c>
      <c r="C128" s="1">
        <v>44117</v>
      </c>
      <c r="D128" t="s">
        <v>4</v>
      </c>
      <c r="E128" t="e">
        <v>#N/A</v>
      </c>
      <c r="F128" t="e">
        <v>#N/A</v>
      </c>
      <c r="G128">
        <v>0.45600000000000002</v>
      </c>
    </row>
    <row r="129" spans="1:7" x14ac:dyDescent="0.3">
      <c r="A129" t="s">
        <v>33</v>
      </c>
      <c r="B129" t="s">
        <v>29</v>
      </c>
      <c r="C129" s="1">
        <v>44117</v>
      </c>
      <c r="D129" t="s">
        <v>5</v>
      </c>
      <c r="E129" t="e">
        <v>#N/A</v>
      </c>
      <c r="F129" t="e">
        <v>#N/A</v>
      </c>
      <c r="G129">
        <v>103000</v>
      </c>
    </row>
    <row r="130" spans="1:7" x14ac:dyDescent="0.3">
      <c r="A130" t="s">
        <v>33</v>
      </c>
      <c r="B130" t="s">
        <v>29</v>
      </c>
      <c r="C130" s="1">
        <v>44117</v>
      </c>
      <c r="D130" t="s">
        <v>6</v>
      </c>
      <c r="E130" t="e">
        <v>#N/A</v>
      </c>
      <c r="F130" t="e">
        <v>#N/A</v>
      </c>
      <c r="G130">
        <v>2.3199999999999998</v>
      </c>
    </row>
    <row r="131" spans="1:7" x14ac:dyDescent="0.3">
      <c r="A131" t="s">
        <v>33</v>
      </c>
      <c r="B131" t="s">
        <v>29</v>
      </c>
      <c r="C131" s="1">
        <v>44117</v>
      </c>
      <c r="D131" t="s">
        <v>7</v>
      </c>
      <c r="E131" t="e">
        <v>#N/A</v>
      </c>
      <c r="F131" t="e">
        <v>#N/A</v>
      </c>
      <c r="G131">
        <v>7.97</v>
      </c>
    </row>
    <row r="132" spans="1:7" x14ac:dyDescent="0.3">
      <c r="A132" t="s">
        <v>33</v>
      </c>
      <c r="B132" t="s">
        <v>29</v>
      </c>
      <c r="C132" s="1">
        <v>44117</v>
      </c>
      <c r="D132" t="s">
        <v>8</v>
      </c>
      <c r="E132" t="e">
        <v>#N/A</v>
      </c>
      <c r="F132" t="e">
        <v>#N/A</v>
      </c>
      <c r="G132">
        <v>74.599999999999994</v>
      </c>
    </row>
    <row r="133" spans="1:7" x14ac:dyDescent="0.3">
      <c r="A133" t="s">
        <v>33</v>
      </c>
      <c r="B133" t="s">
        <v>29</v>
      </c>
      <c r="C133" s="1">
        <v>44117</v>
      </c>
      <c r="D133" t="s">
        <v>9</v>
      </c>
      <c r="E133" t="s">
        <v>85</v>
      </c>
      <c r="F133">
        <v>1</v>
      </c>
      <c r="G133">
        <v>6.25E-2</v>
      </c>
    </row>
    <row r="134" spans="1:7" x14ac:dyDescent="0.3">
      <c r="A134" t="s">
        <v>33</v>
      </c>
      <c r="B134" t="s">
        <v>29</v>
      </c>
      <c r="C134" s="1">
        <v>44117</v>
      </c>
      <c r="D134" t="s">
        <v>10</v>
      </c>
      <c r="E134" t="s">
        <v>86</v>
      </c>
      <c r="F134">
        <v>2</v>
      </c>
      <c r="G134">
        <v>0.1411</v>
      </c>
    </row>
    <row r="135" spans="1:7" x14ac:dyDescent="0.3">
      <c r="A135" t="s">
        <v>33</v>
      </c>
      <c r="B135" t="s">
        <v>29</v>
      </c>
      <c r="C135" s="1">
        <v>44117</v>
      </c>
      <c r="D135" t="s">
        <v>11</v>
      </c>
      <c r="E135" t="s">
        <v>96</v>
      </c>
      <c r="F135">
        <v>13</v>
      </c>
      <c r="G135">
        <v>0.4491</v>
      </c>
    </row>
    <row r="136" spans="1:7" x14ac:dyDescent="0.3">
      <c r="A136" t="s">
        <v>33</v>
      </c>
      <c r="B136" t="s">
        <v>29</v>
      </c>
      <c r="C136" s="1">
        <v>44117</v>
      </c>
      <c r="D136" t="s">
        <v>12</v>
      </c>
      <c r="E136" t="s">
        <v>87</v>
      </c>
      <c r="F136">
        <v>3</v>
      </c>
      <c r="G136">
        <v>0.38100000000000001</v>
      </c>
    </row>
    <row r="137" spans="1:7" x14ac:dyDescent="0.3">
      <c r="A137" t="s">
        <v>33</v>
      </c>
      <c r="B137" t="s">
        <v>29</v>
      </c>
      <c r="C137" s="1">
        <v>44117</v>
      </c>
      <c r="D137" t="s">
        <v>13</v>
      </c>
      <c r="E137" t="s">
        <v>97</v>
      </c>
      <c r="F137">
        <v>14</v>
      </c>
      <c r="G137">
        <v>0.22789999999999999</v>
      </c>
    </row>
    <row r="138" spans="1:7" x14ac:dyDescent="0.3">
      <c r="A138" t="s">
        <v>33</v>
      </c>
      <c r="B138" t="s">
        <v>29</v>
      </c>
      <c r="C138" s="1">
        <v>44117</v>
      </c>
      <c r="D138" t="s">
        <v>14</v>
      </c>
      <c r="E138" t="s">
        <v>88</v>
      </c>
      <c r="F138">
        <v>4</v>
      </c>
      <c r="G138">
        <v>6.25E-2</v>
      </c>
    </row>
    <row r="139" spans="1:7" x14ac:dyDescent="0.3">
      <c r="A139" t="s">
        <v>33</v>
      </c>
      <c r="B139" t="s">
        <v>29</v>
      </c>
      <c r="C139" s="1">
        <v>44117</v>
      </c>
      <c r="D139" t="s">
        <v>15</v>
      </c>
      <c r="E139" t="s">
        <v>98</v>
      </c>
      <c r="F139">
        <v>15</v>
      </c>
      <c r="G139">
        <v>2.0344000000000002</v>
      </c>
    </row>
    <row r="140" spans="1:7" x14ac:dyDescent="0.3">
      <c r="A140" t="s">
        <v>33</v>
      </c>
      <c r="B140" t="s">
        <v>29</v>
      </c>
      <c r="C140" s="1">
        <v>44117</v>
      </c>
      <c r="D140" t="s">
        <v>16</v>
      </c>
      <c r="E140" t="s">
        <v>89</v>
      </c>
      <c r="F140">
        <v>5</v>
      </c>
      <c r="G140">
        <v>0.39900000000000002</v>
      </c>
    </row>
    <row r="141" spans="1:7" x14ac:dyDescent="0.3">
      <c r="A141" t="s">
        <v>33</v>
      </c>
      <c r="B141" t="s">
        <v>29</v>
      </c>
      <c r="C141" s="1">
        <v>44117</v>
      </c>
      <c r="D141" t="s">
        <v>60</v>
      </c>
      <c r="E141" t="s">
        <v>104</v>
      </c>
      <c r="F141">
        <v>22</v>
      </c>
      <c r="G141">
        <v>2.0825999999999998</v>
      </c>
    </row>
    <row r="142" spans="1:7" x14ac:dyDescent="0.3">
      <c r="A142" t="s">
        <v>33</v>
      </c>
      <c r="B142" t="s">
        <v>29</v>
      </c>
      <c r="C142" s="1">
        <v>44117</v>
      </c>
      <c r="D142" t="s">
        <v>17</v>
      </c>
      <c r="E142" t="s">
        <v>99</v>
      </c>
      <c r="F142">
        <v>16</v>
      </c>
      <c r="G142">
        <v>0.19040000000000001</v>
      </c>
    </row>
    <row r="143" spans="1:7" x14ac:dyDescent="0.3">
      <c r="A143" t="s">
        <v>33</v>
      </c>
      <c r="B143" t="s">
        <v>29</v>
      </c>
      <c r="C143" s="1">
        <v>44117</v>
      </c>
      <c r="D143" t="s">
        <v>18</v>
      </c>
      <c r="E143" t="s">
        <v>90</v>
      </c>
      <c r="F143">
        <v>6</v>
      </c>
      <c r="G143">
        <v>0.125</v>
      </c>
    </row>
    <row r="144" spans="1:7" x14ac:dyDescent="0.3">
      <c r="A144" t="s">
        <v>33</v>
      </c>
      <c r="B144" t="s">
        <v>29</v>
      </c>
      <c r="C144" s="1">
        <v>44117</v>
      </c>
      <c r="D144" t="s">
        <v>19</v>
      </c>
      <c r="E144" t="s">
        <v>100</v>
      </c>
      <c r="F144">
        <v>17</v>
      </c>
      <c r="G144">
        <v>28.068899999999999</v>
      </c>
    </row>
    <row r="145" spans="1:7" x14ac:dyDescent="0.3">
      <c r="A145" t="s">
        <v>34</v>
      </c>
      <c r="B145" t="s">
        <v>21</v>
      </c>
      <c r="C145" s="1">
        <v>44119</v>
      </c>
      <c r="D145" t="s">
        <v>3</v>
      </c>
      <c r="E145" t="e">
        <v>#N/A</v>
      </c>
      <c r="F145" t="e">
        <v>#N/A</v>
      </c>
      <c r="G145" t="s">
        <v>22</v>
      </c>
    </row>
    <row r="146" spans="1:7" x14ac:dyDescent="0.3">
      <c r="A146" t="s">
        <v>34</v>
      </c>
      <c r="B146" t="s">
        <v>21</v>
      </c>
      <c r="C146" s="1">
        <v>44119</v>
      </c>
      <c r="D146" t="s">
        <v>4</v>
      </c>
      <c r="E146" t="e">
        <v>#N/A</v>
      </c>
      <c r="F146" t="e">
        <v>#N/A</v>
      </c>
      <c r="G146">
        <v>0.67800000000000005</v>
      </c>
    </row>
    <row r="147" spans="1:7" x14ac:dyDescent="0.3">
      <c r="A147" t="s">
        <v>34</v>
      </c>
      <c r="B147" t="s">
        <v>21</v>
      </c>
      <c r="C147" s="1">
        <v>44119</v>
      </c>
      <c r="D147" t="s">
        <v>5</v>
      </c>
      <c r="E147" t="e">
        <v>#N/A</v>
      </c>
      <c r="F147" t="e">
        <v>#N/A</v>
      </c>
      <c r="G147">
        <v>6940</v>
      </c>
    </row>
    <row r="148" spans="1:7" x14ac:dyDescent="0.3">
      <c r="A148" t="s">
        <v>34</v>
      </c>
      <c r="B148" t="s">
        <v>21</v>
      </c>
      <c r="C148" s="1">
        <v>44119</v>
      </c>
      <c r="D148" t="s">
        <v>6</v>
      </c>
      <c r="E148" t="e">
        <v>#N/A</v>
      </c>
      <c r="F148" t="e">
        <v>#N/A</v>
      </c>
      <c r="G148">
        <v>21.37</v>
      </c>
    </row>
    <row r="149" spans="1:7" x14ac:dyDescent="0.3">
      <c r="A149" t="s">
        <v>34</v>
      </c>
      <c r="B149" t="s">
        <v>21</v>
      </c>
      <c r="C149" s="1">
        <v>44119</v>
      </c>
      <c r="D149" t="s">
        <v>7</v>
      </c>
      <c r="E149" t="e">
        <v>#N/A</v>
      </c>
      <c r="F149" t="e">
        <v>#N/A</v>
      </c>
      <c r="G149">
        <v>61.91</v>
      </c>
    </row>
    <row r="150" spans="1:7" x14ac:dyDescent="0.3">
      <c r="A150" t="s">
        <v>34</v>
      </c>
      <c r="B150" t="s">
        <v>21</v>
      </c>
      <c r="C150" s="1">
        <v>44119</v>
      </c>
      <c r="D150" t="s">
        <v>8</v>
      </c>
      <c r="E150" t="e">
        <v>#N/A</v>
      </c>
      <c r="F150" t="e">
        <v>#N/A</v>
      </c>
      <c r="G150">
        <v>28.8</v>
      </c>
    </row>
    <row r="151" spans="1:7" x14ac:dyDescent="0.3">
      <c r="A151" t="s">
        <v>34</v>
      </c>
      <c r="B151" t="s">
        <v>21</v>
      </c>
      <c r="C151" s="1">
        <v>44119</v>
      </c>
      <c r="D151" t="s">
        <v>9</v>
      </c>
      <c r="E151" t="s">
        <v>85</v>
      </c>
      <c r="F151">
        <v>1</v>
      </c>
      <c r="G151">
        <v>6.25E-2</v>
      </c>
    </row>
    <row r="152" spans="1:7" x14ac:dyDescent="0.3">
      <c r="A152" t="s">
        <v>34</v>
      </c>
      <c r="B152" t="s">
        <v>21</v>
      </c>
      <c r="C152" s="1">
        <v>44119</v>
      </c>
      <c r="D152" t="s">
        <v>10</v>
      </c>
      <c r="E152" t="s">
        <v>86</v>
      </c>
      <c r="F152">
        <v>2</v>
      </c>
      <c r="G152">
        <v>6.25E-2</v>
      </c>
    </row>
    <row r="153" spans="1:7" x14ac:dyDescent="0.3">
      <c r="A153" t="s">
        <v>34</v>
      </c>
      <c r="B153" t="s">
        <v>21</v>
      </c>
      <c r="C153" s="1">
        <v>44119</v>
      </c>
      <c r="D153" t="s">
        <v>11</v>
      </c>
      <c r="E153" t="s">
        <v>96</v>
      </c>
      <c r="F153">
        <v>13</v>
      </c>
      <c r="G153">
        <v>0.125</v>
      </c>
    </row>
    <row r="154" spans="1:7" x14ac:dyDescent="0.3">
      <c r="A154" t="s">
        <v>34</v>
      </c>
      <c r="B154" t="s">
        <v>21</v>
      </c>
      <c r="C154" s="1">
        <v>44119</v>
      </c>
      <c r="D154" t="s">
        <v>12</v>
      </c>
      <c r="E154" t="s">
        <v>87</v>
      </c>
      <c r="F154">
        <v>3</v>
      </c>
      <c r="G154">
        <v>0.12770000000000001</v>
      </c>
    </row>
    <row r="155" spans="1:7" x14ac:dyDescent="0.3">
      <c r="A155" t="s">
        <v>34</v>
      </c>
      <c r="B155" t="s">
        <v>21</v>
      </c>
      <c r="C155" s="1">
        <v>44119</v>
      </c>
      <c r="D155" t="s">
        <v>13</v>
      </c>
      <c r="E155" t="s">
        <v>97</v>
      </c>
      <c r="F155">
        <v>14</v>
      </c>
      <c r="G155">
        <v>6.25E-2</v>
      </c>
    </row>
    <row r="156" spans="1:7" x14ac:dyDescent="0.3">
      <c r="A156" t="s">
        <v>34</v>
      </c>
      <c r="B156" t="s">
        <v>21</v>
      </c>
      <c r="C156" s="1">
        <v>44119</v>
      </c>
      <c r="D156" t="s">
        <v>14</v>
      </c>
      <c r="E156" t="s">
        <v>88</v>
      </c>
      <c r="F156">
        <v>4</v>
      </c>
      <c r="G156">
        <v>6.25E-2</v>
      </c>
    </row>
    <row r="157" spans="1:7" x14ac:dyDescent="0.3">
      <c r="A157" t="s">
        <v>34</v>
      </c>
      <c r="B157" t="s">
        <v>21</v>
      </c>
      <c r="C157" s="1">
        <v>44119</v>
      </c>
      <c r="D157" t="s">
        <v>15</v>
      </c>
      <c r="E157" t="s">
        <v>98</v>
      </c>
      <c r="F157">
        <v>15</v>
      </c>
      <c r="G157">
        <v>0.16009999999999999</v>
      </c>
    </row>
    <row r="158" spans="1:7" x14ac:dyDescent="0.3">
      <c r="A158" t="s">
        <v>34</v>
      </c>
      <c r="B158" t="s">
        <v>21</v>
      </c>
      <c r="C158" s="1">
        <v>44119</v>
      </c>
      <c r="D158" t="s">
        <v>16</v>
      </c>
      <c r="E158" t="s">
        <v>89</v>
      </c>
      <c r="F158">
        <v>5</v>
      </c>
      <c r="G158">
        <v>0.125</v>
      </c>
    </row>
    <row r="159" spans="1:7" x14ac:dyDescent="0.3">
      <c r="A159" t="s">
        <v>34</v>
      </c>
      <c r="B159" t="s">
        <v>21</v>
      </c>
      <c r="C159" s="1">
        <v>44119</v>
      </c>
      <c r="D159" t="s">
        <v>60</v>
      </c>
      <c r="E159" t="s">
        <v>104</v>
      </c>
      <c r="F159">
        <v>22</v>
      </c>
      <c r="G159">
        <v>0.25569999999999998</v>
      </c>
    </row>
    <row r="160" spans="1:7" x14ac:dyDescent="0.3">
      <c r="A160" t="s">
        <v>34</v>
      </c>
      <c r="B160" t="s">
        <v>21</v>
      </c>
      <c r="C160" s="1">
        <v>44119</v>
      </c>
      <c r="D160" t="s">
        <v>18</v>
      </c>
      <c r="E160" t="s">
        <v>90</v>
      </c>
      <c r="F160">
        <v>6</v>
      </c>
      <c r="G160">
        <v>0.125</v>
      </c>
    </row>
    <row r="161" spans="1:7" x14ac:dyDescent="0.3">
      <c r="A161" t="s">
        <v>34</v>
      </c>
      <c r="B161" t="s">
        <v>21</v>
      </c>
      <c r="C161" s="1">
        <v>44119</v>
      </c>
      <c r="D161" t="s">
        <v>19</v>
      </c>
      <c r="E161" t="s">
        <v>100</v>
      </c>
      <c r="F161">
        <v>17</v>
      </c>
      <c r="G161">
        <v>1.2222999999999999</v>
      </c>
    </row>
    <row r="162" spans="1:7" x14ac:dyDescent="0.3">
      <c r="A162" t="s">
        <v>35</v>
      </c>
      <c r="B162" t="s">
        <v>27</v>
      </c>
      <c r="C162" s="1">
        <v>44119</v>
      </c>
      <c r="D162" t="s">
        <v>3</v>
      </c>
      <c r="E162" t="e">
        <v>#N/A</v>
      </c>
      <c r="F162" t="e">
        <v>#N/A</v>
      </c>
      <c r="G162" t="s">
        <v>22</v>
      </c>
    </row>
    <row r="163" spans="1:7" x14ac:dyDescent="0.3">
      <c r="A163" t="s">
        <v>35</v>
      </c>
      <c r="B163" t="s">
        <v>27</v>
      </c>
      <c r="C163" s="1">
        <v>44119</v>
      </c>
      <c r="D163" t="s">
        <v>4</v>
      </c>
      <c r="E163" t="e">
        <v>#N/A</v>
      </c>
      <c r="F163" t="e">
        <v>#N/A</v>
      </c>
      <c r="G163">
        <v>0.45600000000000002</v>
      </c>
    </row>
    <row r="164" spans="1:7" x14ac:dyDescent="0.3">
      <c r="A164" t="s">
        <v>35</v>
      </c>
      <c r="B164" t="s">
        <v>27</v>
      </c>
      <c r="C164" s="1">
        <v>44119</v>
      </c>
      <c r="D164" t="s">
        <v>5</v>
      </c>
      <c r="E164" t="e">
        <v>#N/A</v>
      </c>
      <c r="F164" t="e">
        <v>#N/A</v>
      </c>
      <c r="G164">
        <v>11300</v>
      </c>
    </row>
    <row r="165" spans="1:7" x14ac:dyDescent="0.3">
      <c r="A165" t="s">
        <v>35</v>
      </c>
      <c r="B165" t="s">
        <v>27</v>
      </c>
      <c r="C165" s="1">
        <v>44119</v>
      </c>
      <c r="D165" t="s">
        <v>6</v>
      </c>
      <c r="E165" t="e">
        <v>#N/A</v>
      </c>
      <c r="F165" t="e">
        <v>#N/A</v>
      </c>
      <c r="G165">
        <v>5.37</v>
      </c>
    </row>
    <row r="166" spans="1:7" x14ac:dyDescent="0.3">
      <c r="A166" t="s">
        <v>35</v>
      </c>
      <c r="B166" t="s">
        <v>27</v>
      </c>
      <c r="C166" s="1">
        <v>44119</v>
      </c>
      <c r="D166" t="s">
        <v>7</v>
      </c>
      <c r="E166" t="e">
        <v>#N/A</v>
      </c>
      <c r="F166" t="e">
        <v>#N/A</v>
      </c>
      <c r="G166">
        <v>73.680000000000007</v>
      </c>
    </row>
    <row r="167" spans="1:7" x14ac:dyDescent="0.3">
      <c r="A167" t="s">
        <v>35</v>
      </c>
      <c r="B167" t="s">
        <v>27</v>
      </c>
      <c r="C167" s="1">
        <v>44119</v>
      </c>
      <c r="D167" t="s">
        <v>8</v>
      </c>
      <c r="E167" t="e">
        <v>#N/A</v>
      </c>
      <c r="F167" t="e">
        <v>#N/A</v>
      </c>
      <c r="G167">
        <v>46.2</v>
      </c>
    </row>
    <row r="168" spans="1:7" x14ac:dyDescent="0.3">
      <c r="A168" t="s">
        <v>35</v>
      </c>
      <c r="B168" t="s">
        <v>27</v>
      </c>
      <c r="C168" s="1">
        <v>44119</v>
      </c>
      <c r="D168" t="s">
        <v>9</v>
      </c>
      <c r="E168" t="s">
        <v>85</v>
      </c>
      <c r="F168">
        <v>1</v>
      </c>
      <c r="G168">
        <v>6.25E-2</v>
      </c>
    </row>
    <row r="169" spans="1:7" x14ac:dyDescent="0.3">
      <c r="A169" t="s">
        <v>35</v>
      </c>
      <c r="B169" t="s">
        <v>27</v>
      </c>
      <c r="C169" s="1">
        <v>44119</v>
      </c>
      <c r="D169" t="s">
        <v>10</v>
      </c>
      <c r="E169" t="s">
        <v>86</v>
      </c>
      <c r="F169">
        <v>2</v>
      </c>
      <c r="G169">
        <v>6.25E-2</v>
      </c>
    </row>
    <row r="170" spans="1:7" x14ac:dyDescent="0.3">
      <c r="A170" t="s">
        <v>35</v>
      </c>
      <c r="B170" t="s">
        <v>27</v>
      </c>
      <c r="C170" s="1">
        <v>44119</v>
      </c>
      <c r="D170" t="s">
        <v>12</v>
      </c>
      <c r="E170" t="s">
        <v>87</v>
      </c>
      <c r="F170">
        <v>3</v>
      </c>
      <c r="G170">
        <v>6.25E-2</v>
      </c>
    </row>
    <row r="171" spans="1:7" x14ac:dyDescent="0.3">
      <c r="A171" t="s">
        <v>35</v>
      </c>
      <c r="B171" t="s">
        <v>27</v>
      </c>
      <c r="C171" s="1">
        <v>44119</v>
      </c>
      <c r="D171" t="s">
        <v>13</v>
      </c>
      <c r="E171" t="s">
        <v>97</v>
      </c>
      <c r="F171">
        <v>14</v>
      </c>
      <c r="G171">
        <v>6.25E-2</v>
      </c>
    </row>
    <row r="172" spans="1:7" x14ac:dyDescent="0.3">
      <c r="A172" t="s">
        <v>35</v>
      </c>
      <c r="B172" t="s">
        <v>27</v>
      </c>
      <c r="C172" s="1">
        <v>44119</v>
      </c>
      <c r="D172" t="s">
        <v>14</v>
      </c>
      <c r="E172" t="s">
        <v>88</v>
      </c>
      <c r="F172">
        <v>4</v>
      </c>
      <c r="G172">
        <v>6.25E-2</v>
      </c>
    </row>
    <row r="173" spans="1:7" x14ac:dyDescent="0.3">
      <c r="A173" t="s">
        <v>35</v>
      </c>
      <c r="B173" t="s">
        <v>27</v>
      </c>
      <c r="C173" s="1">
        <v>44119</v>
      </c>
      <c r="D173" t="s">
        <v>15</v>
      </c>
      <c r="E173" t="s">
        <v>98</v>
      </c>
      <c r="F173">
        <v>15</v>
      </c>
      <c r="G173">
        <v>0.24060000000000001</v>
      </c>
    </row>
    <row r="174" spans="1:7" x14ac:dyDescent="0.3">
      <c r="A174" t="s">
        <v>35</v>
      </c>
      <c r="B174" t="s">
        <v>27</v>
      </c>
      <c r="C174" s="1">
        <v>44119</v>
      </c>
      <c r="D174" t="s">
        <v>16</v>
      </c>
      <c r="E174" t="s">
        <v>89</v>
      </c>
      <c r="F174">
        <v>5</v>
      </c>
      <c r="G174">
        <v>0.125</v>
      </c>
    </row>
    <row r="175" spans="1:7" x14ac:dyDescent="0.3">
      <c r="A175" t="s">
        <v>35</v>
      </c>
      <c r="B175" t="s">
        <v>27</v>
      </c>
      <c r="C175" s="1">
        <v>44119</v>
      </c>
      <c r="D175" t="s">
        <v>60</v>
      </c>
      <c r="E175" t="s">
        <v>104</v>
      </c>
      <c r="F175">
        <v>22</v>
      </c>
      <c r="G175">
        <v>0.1227</v>
      </c>
    </row>
    <row r="176" spans="1:7" x14ac:dyDescent="0.3">
      <c r="A176" t="s">
        <v>35</v>
      </c>
      <c r="B176" t="s">
        <v>27</v>
      </c>
      <c r="C176" s="1">
        <v>44119</v>
      </c>
      <c r="D176" t="s">
        <v>17</v>
      </c>
      <c r="E176" t="s">
        <v>99</v>
      </c>
      <c r="F176">
        <v>16</v>
      </c>
      <c r="G176">
        <v>8.0399999999999999E-2</v>
      </c>
    </row>
    <row r="177" spans="1:7" x14ac:dyDescent="0.3">
      <c r="A177" t="s">
        <v>35</v>
      </c>
      <c r="B177" t="s">
        <v>27</v>
      </c>
      <c r="C177" s="1">
        <v>44119</v>
      </c>
      <c r="D177" t="s">
        <v>18</v>
      </c>
      <c r="E177" t="s">
        <v>90</v>
      </c>
      <c r="F177">
        <v>6</v>
      </c>
      <c r="G177">
        <v>0.125</v>
      </c>
    </row>
    <row r="178" spans="1:7" x14ac:dyDescent="0.3">
      <c r="A178" t="s">
        <v>35</v>
      </c>
      <c r="B178" t="s">
        <v>27</v>
      </c>
      <c r="C178" s="1">
        <v>44119</v>
      </c>
      <c r="D178" t="s">
        <v>19</v>
      </c>
      <c r="E178" t="s">
        <v>100</v>
      </c>
      <c r="F178">
        <v>17</v>
      </c>
      <c r="G178">
        <v>3.2744</v>
      </c>
    </row>
    <row r="179" spans="1:7" x14ac:dyDescent="0.3">
      <c r="A179" t="s">
        <v>36</v>
      </c>
      <c r="B179" t="s">
        <v>29</v>
      </c>
      <c r="C179" s="1">
        <v>44119</v>
      </c>
      <c r="D179" t="s">
        <v>3</v>
      </c>
      <c r="E179" t="e">
        <v>#N/A</v>
      </c>
      <c r="F179" t="e">
        <v>#N/A</v>
      </c>
      <c r="G179" t="s">
        <v>25</v>
      </c>
    </row>
    <row r="180" spans="1:7" x14ac:dyDescent="0.3">
      <c r="A180" t="s">
        <v>36</v>
      </c>
      <c r="B180" t="s">
        <v>29</v>
      </c>
      <c r="C180" s="1">
        <v>44119</v>
      </c>
      <c r="D180" t="s">
        <v>4</v>
      </c>
      <c r="E180" t="e">
        <v>#N/A</v>
      </c>
      <c r="F180" t="e">
        <v>#N/A</v>
      </c>
      <c r="G180">
        <v>0.67800000000000005</v>
      </c>
    </row>
    <row r="181" spans="1:7" x14ac:dyDescent="0.3">
      <c r="A181" t="s">
        <v>36</v>
      </c>
      <c r="B181" t="s">
        <v>29</v>
      </c>
      <c r="C181" s="1">
        <v>44119</v>
      </c>
      <c r="D181" t="s">
        <v>5</v>
      </c>
      <c r="E181" t="e">
        <v>#N/A</v>
      </c>
      <c r="F181" t="e">
        <v>#N/A</v>
      </c>
      <c r="G181">
        <v>103000</v>
      </c>
    </row>
    <row r="182" spans="1:7" x14ac:dyDescent="0.3">
      <c r="A182" t="s">
        <v>36</v>
      </c>
      <c r="B182" t="s">
        <v>29</v>
      </c>
      <c r="C182" s="1">
        <v>44119</v>
      </c>
      <c r="D182" t="s">
        <v>6</v>
      </c>
      <c r="E182" t="e">
        <v>#N/A</v>
      </c>
      <c r="F182" t="e">
        <v>#N/A</v>
      </c>
      <c r="G182">
        <v>2.3199999999999998</v>
      </c>
    </row>
    <row r="183" spans="1:7" x14ac:dyDescent="0.3">
      <c r="A183" t="s">
        <v>36</v>
      </c>
      <c r="B183" t="s">
        <v>29</v>
      </c>
      <c r="C183" s="1">
        <v>44119</v>
      </c>
      <c r="D183" t="s">
        <v>7</v>
      </c>
      <c r="E183" t="e">
        <v>#N/A</v>
      </c>
      <c r="F183" t="e">
        <v>#N/A</v>
      </c>
      <c r="G183">
        <v>7.97</v>
      </c>
    </row>
    <row r="184" spans="1:7" x14ac:dyDescent="0.3">
      <c r="A184" t="s">
        <v>36</v>
      </c>
      <c r="B184" t="s">
        <v>29</v>
      </c>
      <c r="C184" s="1">
        <v>44119</v>
      </c>
      <c r="D184" t="s">
        <v>8</v>
      </c>
      <c r="E184" t="e">
        <v>#N/A</v>
      </c>
      <c r="F184" t="e">
        <v>#N/A</v>
      </c>
      <c r="G184">
        <v>74.599999999999994</v>
      </c>
    </row>
    <row r="185" spans="1:7" x14ac:dyDescent="0.3">
      <c r="A185" t="s">
        <v>36</v>
      </c>
      <c r="B185" t="s">
        <v>29</v>
      </c>
      <c r="C185" s="1">
        <v>44119</v>
      </c>
      <c r="D185" t="s">
        <v>9</v>
      </c>
      <c r="E185" t="s">
        <v>85</v>
      </c>
      <c r="F185">
        <v>1</v>
      </c>
      <c r="G185">
        <v>6.25E-2</v>
      </c>
    </row>
    <row r="186" spans="1:7" x14ac:dyDescent="0.3">
      <c r="A186" t="s">
        <v>36</v>
      </c>
      <c r="B186" t="s">
        <v>29</v>
      </c>
      <c r="C186" s="1">
        <v>44119</v>
      </c>
      <c r="D186" t="s">
        <v>11</v>
      </c>
      <c r="E186" t="s">
        <v>96</v>
      </c>
      <c r="F186">
        <v>13</v>
      </c>
      <c r="G186">
        <v>0.36649999999999999</v>
      </c>
    </row>
    <row r="187" spans="1:7" x14ac:dyDescent="0.3">
      <c r="A187" t="s">
        <v>36</v>
      </c>
      <c r="B187" t="s">
        <v>29</v>
      </c>
      <c r="C187" s="1">
        <v>44119</v>
      </c>
      <c r="D187" t="s">
        <v>12</v>
      </c>
      <c r="E187" t="s">
        <v>87</v>
      </c>
      <c r="F187">
        <v>3</v>
      </c>
      <c r="G187">
        <v>0.35949999999999999</v>
      </c>
    </row>
    <row r="188" spans="1:7" x14ac:dyDescent="0.3">
      <c r="A188" t="s">
        <v>36</v>
      </c>
      <c r="B188" t="s">
        <v>29</v>
      </c>
      <c r="C188" s="1">
        <v>44119</v>
      </c>
      <c r="D188" t="s">
        <v>13</v>
      </c>
      <c r="E188" t="s">
        <v>97</v>
      </c>
      <c r="F188">
        <v>14</v>
      </c>
      <c r="G188">
        <v>0.33200000000000002</v>
      </c>
    </row>
    <row r="189" spans="1:7" x14ac:dyDescent="0.3">
      <c r="A189" t="s">
        <v>36</v>
      </c>
      <c r="B189" t="s">
        <v>29</v>
      </c>
      <c r="C189" s="1">
        <v>44119</v>
      </c>
      <c r="D189" t="s">
        <v>14</v>
      </c>
      <c r="E189" t="s">
        <v>88</v>
      </c>
      <c r="F189">
        <v>4</v>
      </c>
      <c r="G189">
        <v>0.21940000000000001</v>
      </c>
    </row>
    <row r="190" spans="1:7" x14ac:dyDescent="0.3">
      <c r="A190" t="s">
        <v>36</v>
      </c>
      <c r="B190" t="s">
        <v>29</v>
      </c>
      <c r="C190" s="1">
        <v>44119</v>
      </c>
      <c r="D190" t="s">
        <v>15</v>
      </c>
      <c r="E190" t="s">
        <v>98</v>
      </c>
      <c r="F190">
        <v>15</v>
      </c>
      <c r="G190">
        <v>3.5425</v>
      </c>
    </row>
    <row r="191" spans="1:7" x14ac:dyDescent="0.3">
      <c r="A191" t="s">
        <v>36</v>
      </c>
      <c r="B191" t="s">
        <v>29</v>
      </c>
      <c r="C191" s="1">
        <v>44119</v>
      </c>
      <c r="D191" t="s">
        <v>16</v>
      </c>
      <c r="E191" t="s">
        <v>89</v>
      </c>
      <c r="F191">
        <v>5</v>
      </c>
      <c r="G191">
        <v>0.42230000000000001</v>
      </c>
    </row>
    <row r="192" spans="1:7" x14ac:dyDescent="0.3">
      <c r="A192" t="s">
        <v>36</v>
      </c>
      <c r="B192" t="s">
        <v>29</v>
      </c>
      <c r="C192" s="1">
        <v>44119</v>
      </c>
      <c r="D192" t="s">
        <v>60</v>
      </c>
      <c r="E192" t="s">
        <v>104</v>
      </c>
      <c r="F192">
        <v>22</v>
      </c>
      <c r="G192">
        <v>1.3705000000000001</v>
      </c>
    </row>
    <row r="193" spans="1:7" x14ac:dyDescent="0.3">
      <c r="A193" t="s">
        <v>36</v>
      </c>
      <c r="B193" t="s">
        <v>29</v>
      </c>
      <c r="C193" s="1">
        <v>44119</v>
      </c>
      <c r="D193" t="s">
        <v>17</v>
      </c>
      <c r="E193" t="s">
        <v>99</v>
      </c>
      <c r="F193">
        <v>16</v>
      </c>
      <c r="G193">
        <v>0.32600000000000001</v>
      </c>
    </row>
    <row r="194" spans="1:7" x14ac:dyDescent="0.3">
      <c r="A194" t="s">
        <v>36</v>
      </c>
      <c r="B194" t="s">
        <v>29</v>
      </c>
      <c r="C194" s="1">
        <v>44119</v>
      </c>
      <c r="D194" t="s">
        <v>18</v>
      </c>
      <c r="E194" t="s">
        <v>90</v>
      </c>
      <c r="F194">
        <v>6</v>
      </c>
      <c r="G194">
        <v>0.1308</v>
      </c>
    </row>
    <row r="195" spans="1:7" x14ac:dyDescent="0.3">
      <c r="A195" t="s">
        <v>36</v>
      </c>
      <c r="B195" t="s">
        <v>29</v>
      </c>
      <c r="C195" s="1">
        <v>44119</v>
      </c>
      <c r="D195" t="s">
        <v>19</v>
      </c>
      <c r="E195" t="s">
        <v>100</v>
      </c>
      <c r="F195">
        <v>17</v>
      </c>
      <c r="G195">
        <v>50.924999999999997</v>
      </c>
    </row>
    <row r="196" spans="1:7" x14ac:dyDescent="0.3">
      <c r="A196" t="s">
        <v>37</v>
      </c>
      <c r="B196" t="s">
        <v>21</v>
      </c>
      <c r="C196" s="1">
        <v>44124</v>
      </c>
      <c r="D196" t="s">
        <v>3</v>
      </c>
      <c r="E196" t="e">
        <v>#N/A</v>
      </c>
      <c r="F196" t="e">
        <v>#N/A</v>
      </c>
      <c r="G196" t="s">
        <v>22</v>
      </c>
    </row>
    <row r="197" spans="1:7" x14ac:dyDescent="0.3">
      <c r="A197" t="s">
        <v>37</v>
      </c>
      <c r="B197" t="s">
        <v>21</v>
      </c>
      <c r="C197" s="1">
        <v>44124</v>
      </c>
      <c r="D197" t="s">
        <v>4</v>
      </c>
      <c r="E197" t="e">
        <v>#N/A</v>
      </c>
      <c r="F197" t="e">
        <v>#N/A</v>
      </c>
      <c r="G197">
        <v>0.64800000000000002</v>
      </c>
    </row>
    <row r="198" spans="1:7" x14ac:dyDescent="0.3">
      <c r="A198" t="s">
        <v>37</v>
      </c>
      <c r="B198" t="s">
        <v>21</v>
      </c>
      <c r="C198" s="1">
        <v>44124</v>
      </c>
      <c r="D198" t="s">
        <v>5</v>
      </c>
      <c r="E198" t="e">
        <v>#N/A</v>
      </c>
      <c r="F198" t="e">
        <v>#N/A</v>
      </c>
      <c r="G198">
        <v>6940</v>
      </c>
    </row>
    <row r="199" spans="1:7" x14ac:dyDescent="0.3">
      <c r="A199" t="s">
        <v>37</v>
      </c>
      <c r="B199" t="s">
        <v>21</v>
      </c>
      <c r="C199" s="1">
        <v>44124</v>
      </c>
      <c r="D199" t="s">
        <v>6</v>
      </c>
      <c r="E199" t="e">
        <v>#N/A</v>
      </c>
      <c r="F199" t="e">
        <v>#N/A</v>
      </c>
      <c r="G199">
        <v>21.37</v>
      </c>
    </row>
    <row r="200" spans="1:7" x14ac:dyDescent="0.3">
      <c r="A200" t="s">
        <v>37</v>
      </c>
      <c r="B200" t="s">
        <v>21</v>
      </c>
      <c r="C200" s="1">
        <v>44124</v>
      </c>
      <c r="D200" t="s">
        <v>7</v>
      </c>
      <c r="E200" t="e">
        <v>#N/A</v>
      </c>
      <c r="F200" t="e">
        <v>#N/A</v>
      </c>
      <c r="G200">
        <v>61.91</v>
      </c>
    </row>
    <row r="201" spans="1:7" x14ac:dyDescent="0.3">
      <c r="A201" t="s">
        <v>37</v>
      </c>
      <c r="B201" t="s">
        <v>21</v>
      </c>
      <c r="C201" s="1">
        <v>44124</v>
      </c>
      <c r="D201" t="s">
        <v>8</v>
      </c>
      <c r="E201" t="e">
        <v>#N/A</v>
      </c>
      <c r="F201" t="e">
        <v>#N/A</v>
      </c>
      <c r="G201">
        <v>28.8</v>
      </c>
    </row>
    <row r="202" spans="1:7" x14ac:dyDescent="0.3">
      <c r="A202" t="s">
        <v>37</v>
      </c>
      <c r="B202" t="s">
        <v>21</v>
      </c>
      <c r="C202" s="1">
        <v>44124</v>
      </c>
      <c r="D202" t="s">
        <v>9</v>
      </c>
      <c r="E202" t="s">
        <v>85</v>
      </c>
      <c r="F202">
        <v>1</v>
      </c>
      <c r="G202">
        <v>6.25E-2</v>
      </c>
    </row>
    <row r="203" spans="1:7" x14ac:dyDescent="0.3">
      <c r="A203" t="s">
        <v>37</v>
      </c>
      <c r="B203" t="s">
        <v>21</v>
      </c>
      <c r="C203" s="1">
        <v>44124</v>
      </c>
      <c r="D203" t="s">
        <v>10</v>
      </c>
      <c r="E203" t="s">
        <v>86</v>
      </c>
      <c r="F203">
        <v>2</v>
      </c>
      <c r="G203">
        <v>6.25E-2</v>
      </c>
    </row>
    <row r="204" spans="1:7" x14ac:dyDescent="0.3">
      <c r="A204" t="s">
        <v>37</v>
      </c>
      <c r="B204" t="s">
        <v>21</v>
      </c>
      <c r="C204" s="1">
        <v>44124</v>
      </c>
      <c r="D204" t="s">
        <v>11</v>
      </c>
      <c r="E204" t="s">
        <v>96</v>
      </c>
      <c r="F204">
        <v>13</v>
      </c>
      <c r="G204">
        <v>0.125</v>
      </c>
    </row>
    <row r="205" spans="1:7" x14ac:dyDescent="0.3">
      <c r="A205" t="s">
        <v>37</v>
      </c>
      <c r="B205" t="s">
        <v>21</v>
      </c>
      <c r="C205" s="1">
        <v>44124</v>
      </c>
      <c r="D205" t="s">
        <v>12</v>
      </c>
      <c r="E205" t="s">
        <v>87</v>
      </c>
      <c r="F205">
        <v>3</v>
      </c>
      <c r="G205">
        <v>6.25E-2</v>
      </c>
    </row>
    <row r="206" spans="1:7" x14ac:dyDescent="0.3">
      <c r="A206" t="s">
        <v>37</v>
      </c>
      <c r="B206" t="s">
        <v>21</v>
      </c>
      <c r="C206" s="1">
        <v>44124</v>
      </c>
      <c r="D206" t="s">
        <v>13</v>
      </c>
      <c r="E206" t="s">
        <v>97</v>
      </c>
      <c r="F206">
        <v>14</v>
      </c>
      <c r="G206">
        <v>6.25E-2</v>
      </c>
    </row>
    <row r="207" spans="1:7" x14ac:dyDescent="0.3">
      <c r="A207" t="s">
        <v>37</v>
      </c>
      <c r="B207" t="s">
        <v>21</v>
      </c>
      <c r="C207" s="1">
        <v>44124</v>
      </c>
      <c r="D207" t="s">
        <v>14</v>
      </c>
      <c r="E207" t="s">
        <v>88</v>
      </c>
      <c r="F207">
        <v>4</v>
      </c>
      <c r="G207">
        <v>6.25E-2</v>
      </c>
    </row>
    <row r="208" spans="1:7" x14ac:dyDescent="0.3">
      <c r="A208" t="s">
        <v>37</v>
      </c>
      <c r="B208" t="s">
        <v>21</v>
      </c>
      <c r="C208" s="1">
        <v>44124</v>
      </c>
      <c r="D208" t="s">
        <v>15</v>
      </c>
      <c r="E208" t="s">
        <v>98</v>
      </c>
      <c r="F208">
        <v>15</v>
      </c>
      <c r="G208">
        <v>0.29920000000000002</v>
      </c>
    </row>
    <row r="209" spans="1:7" x14ac:dyDescent="0.3">
      <c r="A209" t="s">
        <v>37</v>
      </c>
      <c r="B209" t="s">
        <v>21</v>
      </c>
      <c r="C209" s="1">
        <v>44124</v>
      </c>
      <c r="D209" t="s">
        <v>16</v>
      </c>
      <c r="E209" t="s">
        <v>89</v>
      </c>
      <c r="F209">
        <v>5</v>
      </c>
      <c r="G209">
        <v>0.125</v>
      </c>
    </row>
    <row r="210" spans="1:7" x14ac:dyDescent="0.3">
      <c r="A210" t="s">
        <v>37</v>
      </c>
      <c r="B210" t="s">
        <v>21</v>
      </c>
      <c r="C210" s="1">
        <v>44124</v>
      </c>
      <c r="D210" t="s">
        <v>60</v>
      </c>
      <c r="E210" t="s">
        <v>104</v>
      </c>
      <c r="F210">
        <v>22</v>
      </c>
      <c r="G210">
        <v>6.9199999999999998E-2</v>
      </c>
    </row>
    <row r="211" spans="1:7" x14ac:dyDescent="0.3">
      <c r="A211" t="s">
        <v>37</v>
      </c>
      <c r="B211" t="s">
        <v>21</v>
      </c>
      <c r="C211" s="1">
        <v>44124</v>
      </c>
      <c r="D211" t="s">
        <v>17</v>
      </c>
      <c r="E211" t="s">
        <v>99</v>
      </c>
      <c r="F211">
        <v>16</v>
      </c>
      <c r="G211">
        <v>5.0200000000000002E-2</v>
      </c>
    </row>
    <row r="212" spans="1:7" x14ac:dyDescent="0.3">
      <c r="A212" t="s">
        <v>37</v>
      </c>
      <c r="B212" t="s">
        <v>21</v>
      </c>
      <c r="C212" s="1">
        <v>44124</v>
      </c>
      <c r="D212" t="s">
        <v>18</v>
      </c>
      <c r="E212" t="s">
        <v>90</v>
      </c>
      <c r="F212">
        <v>6</v>
      </c>
      <c r="G212">
        <v>0.125</v>
      </c>
    </row>
    <row r="213" spans="1:7" x14ac:dyDescent="0.3">
      <c r="A213" t="s">
        <v>37</v>
      </c>
      <c r="B213" t="s">
        <v>21</v>
      </c>
      <c r="C213" s="1">
        <v>44124</v>
      </c>
      <c r="D213" t="s">
        <v>19</v>
      </c>
      <c r="E213" t="s">
        <v>100</v>
      </c>
      <c r="F213">
        <v>17</v>
      </c>
      <c r="G213">
        <v>5.9831000000000003</v>
      </c>
    </row>
    <row r="214" spans="1:7" x14ac:dyDescent="0.3">
      <c r="A214" t="s">
        <v>38</v>
      </c>
      <c r="B214" t="s">
        <v>24</v>
      </c>
      <c r="C214" s="1">
        <v>44124</v>
      </c>
      <c r="D214" t="s">
        <v>3</v>
      </c>
      <c r="E214" t="e">
        <v>#N/A</v>
      </c>
      <c r="F214" t="e">
        <v>#N/A</v>
      </c>
      <c r="G214" t="s">
        <v>25</v>
      </c>
    </row>
    <row r="215" spans="1:7" x14ac:dyDescent="0.3">
      <c r="A215" t="s">
        <v>38</v>
      </c>
      <c r="B215" t="s">
        <v>24</v>
      </c>
      <c r="C215" s="1">
        <v>44124</v>
      </c>
      <c r="D215" t="s">
        <v>4</v>
      </c>
      <c r="E215" t="e">
        <v>#N/A</v>
      </c>
      <c r="F215" t="e">
        <v>#N/A</v>
      </c>
      <c r="G215">
        <v>0.19900000000000001</v>
      </c>
    </row>
    <row r="216" spans="1:7" x14ac:dyDescent="0.3">
      <c r="A216" t="s">
        <v>38</v>
      </c>
      <c r="B216" t="s">
        <v>24</v>
      </c>
      <c r="C216" s="1">
        <v>44124</v>
      </c>
      <c r="D216" t="s">
        <v>5</v>
      </c>
      <c r="E216" t="e">
        <v>#N/A</v>
      </c>
      <c r="F216" t="e">
        <v>#N/A</v>
      </c>
      <c r="G216">
        <v>25800</v>
      </c>
    </row>
    <row r="217" spans="1:7" x14ac:dyDescent="0.3">
      <c r="A217" t="s">
        <v>38</v>
      </c>
      <c r="B217" t="s">
        <v>24</v>
      </c>
      <c r="C217" s="1">
        <v>44124</v>
      </c>
      <c r="D217" t="s">
        <v>6</v>
      </c>
      <c r="E217" t="e">
        <v>#N/A</v>
      </c>
      <c r="F217" t="e">
        <v>#N/A</v>
      </c>
      <c r="G217">
        <v>9.4499999999999993</v>
      </c>
    </row>
    <row r="218" spans="1:7" x14ac:dyDescent="0.3">
      <c r="A218" t="s">
        <v>38</v>
      </c>
      <c r="B218" t="s">
        <v>24</v>
      </c>
      <c r="C218" s="1">
        <v>44124</v>
      </c>
      <c r="D218" t="s">
        <v>7</v>
      </c>
      <c r="E218" t="e">
        <v>#N/A</v>
      </c>
      <c r="F218" t="e">
        <v>#N/A</v>
      </c>
      <c r="G218">
        <v>10.48</v>
      </c>
    </row>
    <row r="219" spans="1:7" x14ac:dyDescent="0.3">
      <c r="A219" t="s">
        <v>38</v>
      </c>
      <c r="B219" t="s">
        <v>24</v>
      </c>
      <c r="C219" s="1">
        <v>44124</v>
      </c>
      <c r="D219" t="s">
        <v>8</v>
      </c>
      <c r="E219" t="e">
        <v>#N/A</v>
      </c>
      <c r="F219" t="e">
        <v>#N/A</v>
      </c>
      <c r="G219">
        <v>74.8</v>
      </c>
    </row>
    <row r="220" spans="1:7" x14ac:dyDescent="0.3">
      <c r="A220" t="s">
        <v>38</v>
      </c>
      <c r="B220" t="s">
        <v>24</v>
      </c>
      <c r="C220" s="1">
        <v>44124</v>
      </c>
      <c r="D220" t="s">
        <v>9</v>
      </c>
      <c r="E220" t="s">
        <v>85</v>
      </c>
      <c r="F220">
        <v>1</v>
      </c>
      <c r="G220">
        <v>6.25E-2</v>
      </c>
    </row>
    <row r="221" spans="1:7" x14ac:dyDescent="0.3">
      <c r="A221" t="s">
        <v>38</v>
      </c>
      <c r="B221" t="s">
        <v>24</v>
      </c>
      <c r="C221" s="1">
        <v>44124</v>
      </c>
      <c r="D221" t="s">
        <v>10</v>
      </c>
      <c r="E221" t="s">
        <v>86</v>
      </c>
      <c r="F221">
        <v>2</v>
      </c>
      <c r="G221">
        <v>0.1303</v>
      </c>
    </row>
    <row r="222" spans="1:7" x14ac:dyDescent="0.3">
      <c r="A222" t="s">
        <v>38</v>
      </c>
      <c r="B222" t="s">
        <v>24</v>
      </c>
      <c r="C222" s="1">
        <v>44124</v>
      </c>
      <c r="D222" t="s">
        <v>11</v>
      </c>
      <c r="E222" t="s">
        <v>96</v>
      </c>
      <c r="F222">
        <v>13</v>
      </c>
      <c r="G222">
        <v>0.125</v>
      </c>
    </row>
    <row r="223" spans="1:7" x14ac:dyDescent="0.3">
      <c r="A223" t="s">
        <v>38</v>
      </c>
      <c r="B223" t="s">
        <v>24</v>
      </c>
      <c r="C223" s="1">
        <v>44124</v>
      </c>
      <c r="D223" t="s">
        <v>12</v>
      </c>
      <c r="E223" t="s">
        <v>87</v>
      </c>
      <c r="F223">
        <v>3</v>
      </c>
      <c r="G223">
        <v>0.25280000000000002</v>
      </c>
    </row>
    <row r="224" spans="1:7" x14ac:dyDescent="0.3">
      <c r="A224" t="s">
        <v>38</v>
      </c>
      <c r="B224" t="s">
        <v>24</v>
      </c>
      <c r="C224" s="1">
        <v>44124</v>
      </c>
      <c r="D224" t="s">
        <v>13</v>
      </c>
      <c r="E224" t="s">
        <v>97</v>
      </c>
      <c r="F224">
        <v>14</v>
      </c>
      <c r="G224">
        <v>0.17380000000000001</v>
      </c>
    </row>
    <row r="225" spans="1:7" x14ac:dyDescent="0.3">
      <c r="A225" t="s">
        <v>38</v>
      </c>
      <c r="B225" t="s">
        <v>24</v>
      </c>
      <c r="C225" s="1">
        <v>44124</v>
      </c>
      <c r="D225" t="s">
        <v>14</v>
      </c>
      <c r="E225" t="s">
        <v>88</v>
      </c>
      <c r="F225">
        <v>4</v>
      </c>
      <c r="G225">
        <v>0.13009999999999999</v>
      </c>
    </row>
    <row r="226" spans="1:7" x14ac:dyDescent="0.3">
      <c r="A226" t="s">
        <v>38</v>
      </c>
      <c r="B226" t="s">
        <v>24</v>
      </c>
      <c r="C226" s="1">
        <v>44124</v>
      </c>
      <c r="D226" t="s">
        <v>15</v>
      </c>
      <c r="E226" t="s">
        <v>98</v>
      </c>
      <c r="F226">
        <v>15</v>
      </c>
      <c r="G226">
        <v>1.008</v>
      </c>
    </row>
    <row r="227" spans="1:7" x14ac:dyDescent="0.3">
      <c r="A227" t="s">
        <v>38</v>
      </c>
      <c r="B227" t="s">
        <v>24</v>
      </c>
      <c r="C227" s="1">
        <v>44124</v>
      </c>
      <c r="D227" t="s">
        <v>16</v>
      </c>
      <c r="E227" t="s">
        <v>89</v>
      </c>
      <c r="F227">
        <v>5</v>
      </c>
      <c r="G227">
        <v>0.37130000000000002</v>
      </c>
    </row>
    <row r="228" spans="1:7" x14ac:dyDescent="0.3">
      <c r="A228" t="s">
        <v>38</v>
      </c>
      <c r="B228" t="s">
        <v>24</v>
      </c>
      <c r="C228" s="1">
        <v>44124</v>
      </c>
      <c r="D228" t="s">
        <v>60</v>
      </c>
      <c r="E228" t="s">
        <v>104</v>
      </c>
      <c r="F228">
        <v>22</v>
      </c>
      <c r="G228">
        <v>0.56799999999999995</v>
      </c>
    </row>
    <row r="229" spans="1:7" x14ac:dyDescent="0.3">
      <c r="A229" t="s">
        <v>38</v>
      </c>
      <c r="B229" t="s">
        <v>24</v>
      </c>
      <c r="C229" s="1">
        <v>44124</v>
      </c>
      <c r="D229" t="s">
        <v>17</v>
      </c>
      <c r="E229" t="s">
        <v>99</v>
      </c>
      <c r="F229">
        <v>16</v>
      </c>
      <c r="G229">
        <v>9.64E-2</v>
      </c>
    </row>
    <row r="230" spans="1:7" x14ac:dyDescent="0.3">
      <c r="A230" t="s">
        <v>38</v>
      </c>
      <c r="B230" t="s">
        <v>24</v>
      </c>
      <c r="C230" s="1">
        <v>44124</v>
      </c>
      <c r="D230" t="s">
        <v>18</v>
      </c>
      <c r="E230" t="s">
        <v>90</v>
      </c>
      <c r="F230">
        <v>6</v>
      </c>
      <c r="G230">
        <v>0.125</v>
      </c>
    </row>
    <row r="231" spans="1:7" x14ac:dyDescent="0.3">
      <c r="A231" t="s">
        <v>38</v>
      </c>
      <c r="B231" t="s">
        <v>24</v>
      </c>
      <c r="C231" s="1">
        <v>44124</v>
      </c>
      <c r="D231" t="s">
        <v>19</v>
      </c>
      <c r="E231" t="s">
        <v>100</v>
      </c>
      <c r="F231">
        <v>17</v>
      </c>
      <c r="G231">
        <v>17.177499999999998</v>
      </c>
    </row>
    <row r="232" spans="1:7" x14ac:dyDescent="0.3">
      <c r="A232" t="s">
        <v>39</v>
      </c>
      <c r="B232" t="s">
        <v>27</v>
      </c>
      <c r="C232" s="1">
        <v>44124</v>
      </c>
      <c r="D232" t="s">
        <v>3</v>
      </c>
      <c r="E232" t="e">
        <v>#N/A</v>
      </c>
      <c r="F232" t="e">
        <v>#N/A</v>
      </c>
      <c r="G232" t="s">
        <v>22</v>
      </c>
    </row>
    <row r="233" spans="1:7" x14ac:dyDescent="0.3">
      <c r="A233" t="s">
        <v>39</v>
      </c>
      <c r="B233" t="s">
        <v>27</v>
      </c>
      <c r="C233" s="1">
        <v>44124</v>
      </c>
      <c r="D233" t="s">
        <v>4</v>
      </c>
      <c r="E233" t="e">
        <v>#N/A</v>
      </c>
      <c r="F233" t="e">
        <v>#N/A</v>
      </c>
      <c r="G233">
        <v>0.45600000000000002</v>
      </c>
    </row>
    <row r="234" spans="1:7" x14ac:dyDescent="0.3">
      <c r="A234" t="s">
        <v>39</v>
      </c>
      <c r="B234" t="s">
        <v>27</v>
      </c>
      <c r="C234" s="1">
        <v>44124</v>
      </c>
      <c r="D234" t="s">
        <v>5</v>
      </c>
      <c r="E234" t="e">
        <v>#N/A</v>
      </c>
      <c r="F234" t="e">
        <v>#N/A</v>
      </c>
      <c r="G234">
        <v>11300</v>
      </c>
    </row>
    <row r="235" spans="1:7" x14ac:dyDescent="0.3">
      <c r="A235" t="s">
        <v>39</v>
      </c>
      <c r="B235" t="s">
        <v>27</v>
      </c>
      <c r="C235" s="1">
        <v>44124</v>
      </c>
      <c r="D235" t="s">
        <v>6</v>
      </c>
      <c r="E235" t="e">
        <v>#N/A</v>
      </c>
      <c r="F235" t="e">
        <v>#N/A</v>
      </c>
      <c r="G235">
        <v>5.37</v>
      </c>
    </row>
    <row r="236" spans="1:7" x14ac:dyDescent="0.3">
      <c r="A236" t="s">
        <v>39</v>
      </c>
      <c r="B236" t="s">
        <v>27</v>
      </c>
      <c r="C236" s="1">
        <v>44124</v>
      </c>
      <c r="D236" t="s">
        <v>7</v>
      </c>
      <c r="E236" t="e">
        <v>#N/A</v>
      </c>
      <c r="F236" t="e">
        <v>#N/A</v>
      </c>
      <c r="G236">
        <v>73.680000000000007</v>
      </c>
    </row>
    <row r="237" spans="1:7" x14ac:dyDescent="0.3">
      <c r="A237" t="s">
        <v>39</v>
      </c>
      <c r="B237" t="s">
        <v>27</v>
      </c>
      <c r="C237" s="1">
        <v>44124</v>
      </c>
      <c r="D237" t="s">
        <v>8</v>
      </c>
      <c r="E237" t="e">
        <v>#N/A</v>
      </c>
      <c r="F237" t="e">
        <v>#N/A</v>
      </c>
      <c r="G237">
        <v>46.2</v>
      </c>
    </row>
    <row r="238" spans="1:7" x14ac:dyDescent="0.3">
      <c r="A238" t="s">
        <v>39</v>
      </c>
      <c r="B238" t="s">
        <v>27</v>
      </c>
      <c r="C238" s="1">
        <v>44124</v>
      </c>
      <c r="D238" t="s">
        <v>9</v>
      </c>
      <c r="E238" t="s">
        <v>85</v>
      </c>
      <c r="F238">
        <v>1</v>
      </c>
      <c r="G238">
        <v>6.25E-2</v>
      </c>
    </row>
    <row r="239" spans="1:7" x14ac:dyDescent="0.3">
      <c r="A239" t="s">
        <v>39</v>
      </c>
      <c r="B239" t="s">
        <v>27</v>
      </c>
      <c r="C239" s="1">
        <v>44124</v>
      </c>
      <c r="D239" t="s">
        <v>10</v>
      </c>
      <c r="E239" t="s">
        <v>86</v>
      </c>
      <c r="F239">
        <v>2</v>
      </c>
      <c r="G239">
        <v>6.25E-2</v>
      </c>
    </row>
    <row r="240" spans="1:7" x14ac:dyDescent="0.3">
      <c r="A240" t="s">
        <v>39</v>
      </c>
      <c r="B240" t="s">
        <v>27</v>
      </c>
      <c r="C240" s="1">
        <v>44124</v>
      </c>
      <c r="D240" t="s">
        <v>11</v>
      </c>
      <c r="E240" t="s">
        <v>96</v>
      </c>
      <c r="F240">
        <v>13</v>
      </c>
      <c r="G240">
        <v>0.125</v>
      </c>
    </row>
    <row r="241" spans="1:7" x14ac:dyDescent="0.3">
      <c r="A241" t="s">
        <v>39</v>
      </c>
      <c r="B241" t="s">
        <v>27</v>
      </c>
      <c r="C241" s="1">
        <v>44124</v>
      </c>
      <c r="D241" t="s">
        <v>12</v>
      </c>
      <c r="E241" t="s">
        <v>87</v>
      </c>
      <c r="F241">
        <v>3</v>
      </c>
      <c r="G241">
        <v>6.25E-2</v>
      </c>
    </row>
    <row r="242" spans="1:7" x14ac:dyDescent="0.3">
      <c r="A242" t="s">
        <v>39</v>
      </c>
      <c r="B242" t="s">
        <v>27</v>
      </c>
      <c r="C242" s="1">
        <v>44124</v>
      </c>
      <c r="D242" t="s">
        <v>13</v>
      </c>
      <c r="E242" t="s">
        <v>97</v>
      </c>
      <c r="F242">
        <v>14</v>
      </c>
      <c r="G242">
        <v>6.25E-2</v>
      </c>
    </row>
    <row r="243" spans="1:7" x14ac:dyDescent="0.3">
      <c r="A243" t="s">
        <v>39</v>
      </c>
      <c r="B243" t="s">
        <v>27</v>
      </c>
      <c r="C243" s="1">
        <v>44124</v>
      </c>
      <c r="D243" t="s">
        <v>14</v>
      </c>
      <c r="E243" t="s">
        <v>88</v>
      </c>
      <c r="F243">
        <v>4</v>
      </c>
      <c r="G243">
        <v>6.25E-2</v>
      </c>
    </row>
    <row r="244" spans="1:7" x14ac:dyDescent="0.3">
      <c r="A244" t="s">
        <v>39</v>
      </c>
      <c r="B244" t="s">
        <v>27</v>
      </c>
      <c r="C244" s="1">
        <v>44124</v>
      </c>
      <c r="D244" t="s">
        <v>15</v>
      </c>
      <c r="E244" t="s">
        <v>98</v>
      </c>
      <c r="F244">
        <v>15</v>
      </c>
      <c r="G244">
        <v>0.24929999999999999</v>
      </c>
    </row>
    <row r="245" spans="1:7" x14ac:dyDescent="0.3">
      <c r="A245" t="s">
        <v>39</v>
      </c>
      <c r="B245" t="s">
        <v>27</v>
      </c>
      <c r="C245" s="1">
        <v>44124</v>
      </c>
      <c r="D245" t="s">
        <v>16</v>
      </c>
      <c r="E245" t="s">
        <v>89</v>
      </c>
      <c r="F245">
        <v>5</v>
      </c>
      <c r="G245">
        <v>0.125</v>
      </c>
    </row>
    <row r="246" spans="1:7" x14ac:dyDescent="0.3">
      <c r="A246" t="s">
        <v>39</v>
      </c>
      <c r="B246" t="s">
        <v>27</v>
      </c>
      <c r="C246" s="1">
        <v>44124</v>
      </c>
      <c r="D246" t="s">
        <v>60</v>
      </c>
      <c r="E246" t="s">
        <v>104</v>
      </c>
      <c r="F246">
        <v>22</v>
      </c>
      <c r="G246">
        <v>8.9800000000000005E-2</v>
      </c>
    </row>
    <row r="247" spans="1:7" x14ac:dyDescent="0.3">
      <c r="A247" t="s">
        <v>39</v>
      </c>
      <c r="B247" t="s">
        <v>27</v>
      </c>
      <c r="C247" s="1">
        <v>44124</v>
      </c>
      <c r="D247" t="s">
        <v>17</v>
      </c>
      <c r="E247" t="s">
        <v>99</v>
      </c>
      <c r="F247">
        <v>16</v>
      </c>
      <c r="G247">
        <v>4.36E-2</v>
      </c>
    </row>
    <row r="248" spans="1:7" x14ac:dyDescent="0.3">
      <c r="A248" t="s">
        <v>39</v>
      </c>
      <c r="B248" t="s">
        <v>27</v>
      </c>
      <c r="C248" s="1">
        <v>44124</v>
      </c>
      <c r="D248" t="s">
        <v>18</v>
      </c>
      <c r="E248" t="s">
        <v>90</v>
      </c>
      <c r="F248">
        <v>6</v>
      </c>
      <c r="G248">
        <v>0.125</v>
      </c>
    </row>
    <row r="249" spans="1:7" x14ac:dyDescent="0.3">
      <c r="A249" t="s">
        <v>39</v>
      </c>
      <c r="B249" t="s">
        <v>27</v>
      </c>
      <c r="C249" s="1">
        <v>44124</v>
      </c>
      <c r="D249" t="s">
        <v>19</v>
      </c>
      <c r="E249" t="s">
        <v>100</v>
      </c>
      <c r="F249">
        <v>17</v>
      </c>
      <c r="G249">
        <v>3.242</v>
      </c>
    </row>
    <row r="250" spans="1:7" x14ac:dyDescent="0.3">
      <c r="A250" t="s">
        <v>40</v>
      </c>
      <c r="B250" t="s">
        <v>29</v>
      </c>
      <c r="C250" s="1">
        <v>44124</v>
      </c>
      <c r="D250" t="s">
        <v>3</v>
      </c>
      <c r="E250" t="e">
        <v>#N/A</v>
      </c>
      <c r="F250" t="e">
        <v>#N/A</v>
      </c>
      <c r="G250" t="s">
        <v>25</v>
      </c>
    </row>
    <row r="251" spans="1:7" x14ac:dyDescent="0.3">
      <c r="A251" t="s">
        <v>40</v>
      </c>
      <c r="B251" t="s">
        <v>29</v>
      </c>
      <c r="C251" s="1">
        <v>44124</v>
      </c>
      <c r="D251" t="s">
        <v>4</v>
      </c>
      <c r="E251" t="e">
        <v>#N/A</v>
      </c>
      <c r="F251" t="e">
        <v>#N/A</v>
      </c>
      <c r="G251">
        <v>0.67800000000000005</v>
      </c>
    </row>
    <row r="252" spans="1:7" x14ac:dyDescent="0.3">
      <c r="A252" t="s">
        <v>40</v>
      </c>
      <c r="B252" t="s">
        <v>29</v>
      </c>
      <c r="C252" s="1">
        <v>44124</v>
      </c>
      <c r="D252" t="s">
        <v>5</v>
      </c>
      <c r="E252" t="e">
        <v>#N/A</v>
      </c>
      <c r="F252" t="e">
        <v>#N/A</v>
      </c>
      <c r="G252">
        <v>103000</v>
      </c>
    </row>
    <row r="253" spans="1:7" x14ac:dyDescent="0.3">
      <c r="A253" t="s">
        <v>40</v>
      </c>
      <c r="B253" t="s">
        <v>29</v>
      </c>
      <c r="C253" s="1">
        <v>44124</v>
      </c>
      <c r="D253" t="s">
        <v>6</v>
      </c>
      <c r="E253" t="e">
        <v>#N/A</v>
      </c>
      <c r="F253" t="e">
        <v>#N/A</v>
      </c>
      <c r="G253">
        <v>2.3199999999999998</v>
      </c>
    </row>
    <row r="254" spans="1:7" x14ac:dyDescent="0.3">
      <c r="A254" t="s">
        <v>40</v>
      </c>
      <c r="B254" t="s">
        <v>29</v>
      </c>
      <c r="C254" s="1">
        <v>44124</v>
      </c>
      <c r="D254" t="s">
        <v>7</v>
      </c>
      <c r="E254" t="e">
        <v>#N/A</v>
      </c>
      <c r="F254" t="e">
        <v>#N/A</v>
      </c>
      <c r="G254">
        <v>7.97</v>
      </c>
    </row>
    <row r="255" spans="1:7" x14ac:dyDescent="0.3">
      <c r="A255" t="s">
        <v>40</v>
      </c>
      <c r="B255" t="s">
        <v>29</v>
      </c>
      <c r="C255" s="1">
        <v>44124</v>
      </c>
      <c r="D255" t="s">
        <v>8</v>
      </c>
      <c r="E255" t="e">
        <v>#N/A</v>
      </c>
      <c r="F255" t="e">
        <v>#N/A</v>
      </c>
      <c r="G255">
        <v>74.599999999999994</v>
      </c>
    </row>
    <row r="256" spans="1:7" x14ac:dyDescent="0.3">
      <c r="A256" t="s">
        <v>40</v>
      </c>
      <c r="B256" t="s">
        <v>29</v>
      </c>
      <c r="C256" s="1">
        <v>44124</v>
      </c>
      <c r="D256" t="s">
        <v>9</v>
      </c>
      <c r="E256" t="s">
        <v>85</v>
      </c>
      <c r="F256">
        <v>1</v>
      </c>
      <c r="G256">
        <v>6.25E-2</v>
      </c>
    </row>
    <row r="257" spans="1:7" x14ac:dyDescent="0.3">
      <c r="A257" t="s">
        <v>40</v>
      </c>
      <c r="B257" t="s">
        <v>29</v>
      </c>
      <c r="C257" s="1">
        <v>44124</v>
      </c>
      <c r="D257" t="s">
        <v>10</v>
      </c>
      <c r="E257" t="s">
        <v>86</v>
      </c>
      <c r="F257">
        <v>2</v>
      </c>
      <c r="G257">
        <v>6.25E-2</v>
      </c>
    </row>
    <row r="258" spans="1:7" x14ac:dyDescent="0.3">
      <c r="A258" t="s">
        <v>40</v>
      </c>
      <c r="B258" t="s">
        <v>29</v>
      </c>
      <c r="C258" s="1">
        <v>44124</v>
      </c>
      <c r="D258" t="s">
        <v>11</v>
      </c>
      <c r="E258" t="s">
        <v>96</v>
      </c>
      <c r="F258">
        <v>13</v>
      </c>
      <c r="G258">
        <v>0.29670000000000002</v>
      </c>
    </row>
    <row r="259" spans="1:7" x14ac:dyDescent="0.3">
      <c r="A259" t="s">
        <v>40</v>
      </c>
      <c r="B259" t="s">
        <v>29</v>
      </c>
      <c r="C259" s="1">
        <v>44124</v>
      </c>
      <c r="D259" t="s">
        <v>12</v>
      </c>
      <c r="E259" t="s">
        <v>87</v>
      </c>
      <c r="F259">
        <v>3</v>
      </c>
      <c r="G259">
        <v>0.30840000000000001</v>
      </c>
    </row>
    <row r="260" spans="1:7" x14ac:dyDescent="0.3">
      <c r="A260" t="s">
        <v>40</v>
      </c>
      <c r="B260" t="s">
        <v>29</v>
      </c>
      <c r="C260" s="1">
        <v>44124</v>
      </c>
      <c r="D260" t="s">
        <v>13</v>
      </c>
      <c r="E260" t="s">
        <v>97</v>
      </c>
      <c r="F260">
        <v>14</v>
      </c>
      <c r="G260">
        <v>0.28999999999999998</v>
      </c>
    </row>
    <row r="261" spans="1:7" x14ac:dyDescent="0.3">
      <c r="A261" t="s">
        <v>40</v>
      </c>
      <c r="B261" t="s">
        <v>29</v>
      </c>
      <c r="C261" s="1">
        <v>44124</v>
      </c>
      <c r="D261" t="s">
        <v>14</v>
      </c>
      <c r="E261" t="s">
        <v>88</v>
      </c>
      <c r="F261">
        <v>4</v>
      </c>
      <c r="G261">
        <v>0.129</v>
      </c>
    </row>
    <row r="262" spans="1:7" x14ac:dyDescent="0.3">
      <c r="A262" t="s">
        <v>40</v>
      </c>
      <c r="B262" t="s">
        <v>29</v>
      </c>
      <c r="C262" s="1">
        <v>44124</v>
      </c>
      <c r="D262" t="s">
        <v>15</v>
      </c>
      <c r="E262" t="s">
        <v>98</v>
      </c>
      <c r="F262">
        <v>15</v>
      </c>
      <c r="G262">
        <v>1.6617999999999999</v>
      </c>
    </row>
    <row r="263" spans="1:7" x14ac:dyDescent="0.3">
      <c r="A263" t="s">
        <v>40</v>
      </c>
      <c r="B263" t="s">
        <v>29</v>
      </c>
      <c r="C263" s="1">
        <v>44124</v>
      </c>
      <c r="D263" t="s">
        <v>16</v>
      </c>
      <c r="E263" t="s">
        <v>89</v>
      </c>
      <c r="F263">
        <v>5</v>
      </c>
      <c r="G263">
        <v>0.42609999999999998</v>
      </c>
    </row>
    <row r="264" spans="1:7" x14ac:dyDescent="0.3">
      <c r="A264" t="s">
        <v>40</v>
      </c>
      <c r="B264" t="s">
        <v>29</v>
      </c>
      <c r="C264" s="1">
        <v>44124</v>
      </c>
      <c r="D264" t="s">
        <v>60</v>
      </c>
      <c r="E264" t="s">
        <v>104</v>
      </c>
      <c r="F264">
        <v>22</v>
      </c>
      <c r="G264">
        <v>0.82540000000000002</v>
      </c>
    </row>
    <row r="265" spans="1:7" x14ac:dyDescent="0.3">
      <c r="A265" t="s">
        <v>40</v>
      </c>
      <c r="B265" t="s">
        <v>29</v>
      </c>
      <c r="C265" s="1">
        <v>44124</v>
      </c>
      <c r="D265" t="s">
        <v>17</v>
      </c>
      <c r="E265" t="s">
        <v>99</v>
      </c>
      <c r="F265">
        <v>16</v>
      </c>
      <c r="G265">
        <v>0.38840000000000002</v>
      </c>
    </row>
    <row r="266" spans="1:7" x14ac:dyDescent="0.3">
      <c r="A266" t="s">
        <v>40</v>
      </c>
      <c r="B266" t="s">
        <v>29</v>
      </c>
      <c r="C266" s="1">
        <v>44124</v>
      </c>
      <c r="D266" t="s">
        <v>18</v>
      </c>
      <c r="E266" t="s">
        <v>90</v>
      </c>
      <c r="F266">
        <v>6</v>
      </c>
      <c r="G266">
        <v>0.125</v>
      </c>
    </row>
    <row r="267" spans="1:7" x14ac:dyDescent="0.3">
      <c r="A267" t="s">
        <v>40</v>
      </c>
      <c r="B267" t="s">
        <v>29</v>
      </c>
      <c r="C267" s="1">
        <v>44124</v>
      </c>
      <c r="D267" t="s">
        <v>19</v>
      </c>
      <c r="E267" t="s">
        <v>100</v>
      </c>
      <c r="F267">
        <v>17</v>
      </c>
      <c r="G267">
        <v>11.720800000000001</v>
      </c>
    </row>
    <row r="268" spans="1:7" x14ac:dyDescent="0.3">
      <c r="A268" t="s">
        <v>41</v>
      </c>
      <c r="B268" t="s">
        <v>21</v>
      </c>
      <c r="C268" s="1">
        <v>44127</v>
      </c>
      <c r="D268" t="s">
        <v>3</v>
      </c>
      <c r="E268" t="e">
        <v>#N/A</v>
      </c>
      <c r="F268" t="e">
        <v>#N/A</v>
      </c>
      <c r="G268" t="s">
        <v>22</v>
      </c>
    </row>
    <row r="269" spans="1:7" x14ac:dyDescent="0.3">
      <c r="A269" t="s">
        <v>41</v>
      </c>
      <c r="B269" t="s">
        <v>21</v>
      </c>
      <c r="C269" s="1">
        <v>44127</v>
      </c>
      <c r="D269" t="s">
        <v>4</v>
      </c>
      <c r="E269" t="e">
        <v>#N/A</v>
      </c>
      <c r="F269" t="e">
        <v>#N/A</v>
      </c>
      <c r="G269">
        <v>0.64800000000000002</v>
      </c>
    </row>
    <row r="270" spans="1:7" x14ac:dyDescent="0.3">
      <c r="A270" t="s">
        <v>41</v>
      </c>
      <c r="B270" t="s">
        <v>21</v>
      </c>
      <c r="C270" s="1">
        <v>44127</v>
      </c>
      <c r="D270" t="s">
        <v>5</v>
      </c>
      <c r="E270" t="e">
        <v>#N/A</v>
      </c>
      <c r="F270" t="e">
        <v>#N/A</v>
      </c>
      <c r="G270">
        <v>6940</v>
      </c>
    </row>
    <row r="271" spans="1:7" x14ac:dyDescent="0.3">
      <c r="A271" t="s">
        <v>41</v>
      </c>
      <c r="B271" t="s">
        <v>21</v>
      </c>
      <c r="C271" s="1">
        <v>44127</v>
      </c>
      <c r="D271" t="s">
        <v>6</v>
      </c>
      <c r="E271" t="e">
        <v>#N/A</v>
      </c>
      <c r="F271" t="e">
        <v>#N/A</v>
      </c>
      <c r="G271">
        <v>21.37</v>
      </c>
    </row>
    <row r="272" spans="1:7" x14ac:dyDescent="0.3">
      <c r="A272" t="s">
        <v>41</v>
      </c>
      <c r="B272" t="s">
        <v>21</v>
      </c>
      <c r="C272" s="1">
        <v>44127</v>
      </c>
      <c r="D272" t="s">
        <v>7</v>
      </c>
      <c r="E272" t="e">
        <v>#N/A</v>
      </c>
      <c r="F272" t="e">
        <v>#N/A</v>
      </c>
      <c r="G272">
        <v>61.91</v>
      </c>
    </row>
    <row r="273" spans="1:7" x14ac:dyDescent="0.3">
      <c r="A273" t="s">
        <v>41</v>
      </c>
      <c r="B273" t="s">
        <v>21</v>
      </c>
      <c r="C273" s="1">
        <v>44127</v>
      </c>
      <c r="D273" t="s">
        <v>8</v>
      </c>
      <c r="E273" t="e">
        <v>#N/A</v>
      </c>
      <c r="F273" t="e">
        <v>#N/A</v>
      </c>
      <c r="G273">
        <v>28.8</v>
      </c>
    </row>
    <row r="274" spans="1:7" x14ac:dyDescent="0.3">
      <c r="A274" t="s">
        <v>41</v>
      </c>
      <c r="B274" t="s">
        <v>21</v>
      </c>
      <c r="C274" s="1">
        <v>44127</v>
      </c>
      <c r="D274" t="s">
        <v>9</v>
      </c>
      <c r="E274" t="s">
        <v>85</v>
      </c>
      <c r="F274">
        <v>1</v>
      </c>
      <c r="G274">
        <v>6.25E-2</v>
      </c>
    </row>
    <row r="275" spans="1:7" x14ac:dyDescent="0.3">
      <c r="A275" t="s">
        <v>41</v>
      </c>
      <c r="B275" t="s">
        <v>21</v>
      </c>
      <c r="C275" s="1">
        <v>44127</v>
      </c>
      <c r="D275" t="s">
        <v>10</v>
      </c>
      <c r="E275" t="s">
        <v>86</v>
      </c>
      <c r="F275">
        <v>2</v>
      </c>
      <c r="G275">
        <v>6.25E-2</v>
      </c>
    </row>
    <row r="276" spans="1:7" x14ac:dyDescent="0.3">
      <c r="A276" t="s">
        <v>41</v>
      </c>
      <c r="B276" t="s">
        <v>21</v>
      </c>
      <c r="C276" s="1">
        <v>44127</v>
      </c>
      <c r="D276" t="s">
        <v>11</v>
      </c>
      <c r="E276" t="s">
        <v>96</v>
      </c>
      <c r="F276">
        <v>13</v>
      </c>
      <c r="G276">
        <v>0.125</v>
      </c>
    </row>
    <row r="277" spans="1:7" x14ac:dyDescent="0.3">
      <c r="A277" t="s">
        <v>41</v>
      </c>
      <c r="B277" t="s">
        <v>21</v>
      </c>
      <c r="C277" s="1">
        <v>44127</v>
      </c>
      <c r="D277" t="s">
        <v>12</v>
      </c>
      <c r="E277" t="s">
        <v>87</v>
      </c>
      <c r="F277">
        <v>3</v>
      </c>
      <c r="G277">
        <v>6.25E-2</v>
      </c>
    </row>
    <row r="278" spans="1:7" x14ac:dyDescent="0.3">
      <c r="A278" t="s">
        <v>41</v>
      </c>
      <c r="B278" t="s">
        <v>21</v>
      </c>
      <c r="C278" s="1">
        <v>44127</v>
      </c>
      <c r="D278" t="s">
        <v>13</v>
      </c>
      <c r="E278" t="s">
        <v>97</v>
      </c>
      <c r="F278">
        <v>14</v>
      </c>
      <c r="G278">
        <v>6.25E-2</v>
      </c>
    </row>
    <row r="279" spans="1:7" x14ac:dyDescent="0.3">
      <c r="A279" t="s">
        <v>41</v>
      </c>
      <c r="B279" t="s">
        <v>21</v>
      </c>
      <c r="C279" s="1">
        <v>44127</v>
      </c>
      <c r="D279" t="s">
        <v>14</v>
      </c>
      <c r="E279" t="s">
        <v>88</v>
      </c>
      <c r="F279">
        <v>4</v>
      </c>
      <c r="G279">
        <v>6.25E-2</v>
      </c>
    </row>
    <row r="280" spans="1:7" x14ac:dyDescent="0.3">
      <c r="A280" t="s">
        <v>41</v>
      </c>
      <c r="B280" t="s">
        <v>21</v>
      </c>
      <c r="C280" s="1">
        <v>44127</v>
      </c>
      <c r="D280" t="s">
        <v>15</v>
      </c>
      <c r="E280" t="s">
        <v>98</v>
      </c>
      <c r="F280">
        <v>15</v>
      </c>
      <c r="G280">
        <v>0.1792</v>
      </c>
    </row>
    <row r="281" spans="1:7" x14ac:dyDescent="0.3">
      <c r="A281" t="s">
        <v>41</v>
      </c>
      <c r="B281" t="s">
        <v>21</v>
      </c>
      <c r="C281" s="1">
        <v>44127</v>
      </c>
      <c r="D281" t="s">
        <v>16</v>
      </c>
      <c r="E281" t="s">
        <v>89</v>
      </c>
      <c r="F281">
        <v>5</v>
      </c>
      <c r="G281">
        <v>0.125</v>
      </c>
    </row>
    <row r="282" spans="1:7" x14ac:dyDescent="0.3">
      <c r="A282" t="s">
        <v>41</v>
      </c>
      <c r="B282" t="s">
        <v>21</v>
      </c>
      <c r="C282" s="1">
        <v>44127</v>
      </c>
      <c r="D282" t="s">
        <v>60</v>
      </c>
      <c r="E282" t="s">
        <v>104</v>
      </c>
      <c r="F282">
        <v>22</v>
      </c>
      <c r="G282">
        <v>8.8400000000000006E-2</v>
      </c>
    </row>
    <row r="283" spans="1:7" x14ac:dyDescent="0.3">
      <c r="A283" t="s">
        <v>41</v>
      </c>
      <c r="B283" t="s">
        <v>21</v>
      </c>
      <c r="C283" s="1">
        <v>44127</v>
      </c>
      <c r="D283" t="s">
        <v>17</v>
      </c>
      <c r="E283" t="s">
        <v>99</v>
      </c>
      <c r="F283">
        <v>16</v>
      </c>
      <c r="G283">
        <v>3.9399999999999998E-2</v>
      </c>
    </row>
    <row r="284" spans="1:7" x14ac:dyDescent="0.3">
      <c r="A284" t="s">
        <v>41</v>
      </c>
      <c r="B284" t="s">
        <v>21</v>
      </c>
      <c r="C284" s="1">
        <v>44127</v>
      </c>
      <c r="D284" t="s">
        <v>18</v>
      </c>
      <c r="E284" t="s">
        <v>90</v>
      </c>
      <c r="F284">
        <v>6</v>
      </c>
      <c r="G284">
        <v>0.125</v>
      </c>
    </row>
    <row r="285" spans="1:7" x14ac:dyDescent="0.3">
      <c r="A285" t="s">
        <v>41</v>
      </c>
      <c r="B285" t="s">
        <v>21</v>
      </c>
      <c r="C285" s="1">
        <v>44127</v>
      </c>
      <c r="D285" t="s">
        <v>19</v>
      </c>
      <c r="E285" t="s">
        <v>100</v>
      </c>
      <c r="F285">
        <v>17</v>
      </c>
      <c r="G285">
        <v>1.2278</v>
      </c>
    </row>
    <row r="286" spans="1:7" x14ac:dyDescent="0.3">
      <c r="A286" t="s">
        <v>42</v>
      </c>
      <c r="B286" t="s">
        <v>24</v>
      </c>
      <c r="C286" s="1">
        <v>44127</v>
      </c>
      <c r="D286" t="s">
        <v>3</v>
      </c>
      <c r="E286" t="e">
        <v>#N/A</v>
      </c>
      <c r="F286" t="e">
        <v>#N/A</v>
      </c>
      <c r="G286" t="s">
        <v>25</v>
      </c>
    </row>
    <row r="287" spans="1:7" x14ac:dyDescent="0.3">
      <c r="A287" t="s">
        <v>42</v>
      </c>
      <c r="B287" t="s">
        <v>24</v>
      </c>
      <c r="C287" s="1">
        <v>44127</v>
      </c>
      <c r="D287" t="s">
        <v>4</v>
      </c>
      <c r="E287" t="e">
        <v>#N/A</v>
      </c>
      <c r="F287" t="e">
        <v>#N/A</v>
      </c>
      <c r="G287">
        <v>0.19900000000000001</v>
      </c>
    </row>
    <row r="288" spans="1:7" x14ac:dyDescent="0.3">
      <c r="A288" t="s">
        <v>42</v>
      </c>
      <c r="B288" t="s">
        <v>24</v>
      </c>
      <c r="C288" s="1">
        <v>44127</v>
      </c>
      <c r="D288" t="s">
        <v>5</v>
      </c>
      <c r="E288" t="e">
        <v>#N/A</v>
      </c>
      <c r="F288" t="e">
        <v>#N/A</v>
      </c>
      <c r="G288">
        <v>25800</v>
      </c>
    </row>
    <row r="289" spans="1:7" x14ac:dyDescent="0.3">
      <c r="A289" t="s">
        <v>42</v>
      </c>
      <c r="B289" t="s">
        <v>24</v>
      </c>
      <c r="C289" s="1">
        <v>44127</v>
      </c>
      <c r="D289" t="s">
        <v>6</v>
      </c>
      <c r="E289" t="e">
        <v>#N/A</v>
      </c>
      <c r="F289" t="e">
        <v>#N/A</v>
      </c>
      <c r="G289">
        <v>9.4499999999999993</v>
      </c>
    </row>
    <row r="290" spans="1:7" x14ac:dyDescent="0.3">
      <c r="A290" t="s">
        <v>42</v>
      </c>
      <c r="B290" t="s">
        <v>24</v>
      </c>
      <c r="C290" s="1">
        <v>44127</v>
      </c>
      <c r="D290" t="s">
        <v>7</v>
      </c>
      <c r="E290" t="e">
        <v>#N/A</v>
      </c>
      <c r="F290" t="e">
        <v>#N/A</v>
      </c>
      <c r="G290">
        <v>10.48</v>
      </c>
    </row>
    <row r="291" spans="1:7" x14ac:dyDescent="0.3">
      <c r="A291" t="s">
        <v>42</v>
      </c>
      <c r="B291" t="s">
        <v>24</v>
      </c>
      <c r="C291" s="1">
        <v>44127</v>
      </c>
      <c r="D291" t="s">
        <v>8</v>
      </c>
      <c r="E291" t="e">
        <v>#N/A</v>
      </c>
      <c r="F291" t="e">
        <v>#N/A</v>
      </c>
      <c r="G291">
        <v>74.8</v>
      </c>
    </row>
    <row r="292" spans="1:7" x14ac:dyDescent="0.3">
      <c r="A292" t="s">
        <v>42</v>
      </c>
      <c r="B292" t="s">
        <v>24</v>
      </c>
      <c r="C292" s="1">
        <v>44127</v>
      </c>
      <c r="D292" t="s">
        <v>9</v>
      </c>
      <c r="E292" t="s">
        <v>85</v>
      </c>
      <c r="F292">
        <v>1</v>
      </c>
      <c r="G292">
        <v>6.25E-2</v>
      </c>
    </row>
    <row r="293" spans="1:7" x14ac:dyDescent="0.3">
      <c r="A293" t="s">
        <v>42</v>
      </c>
      <c r="B293" t="s">
        <v>24</v>
      </c>
      <c r="C293" s="1">
        <v>44127</v>
      </c>
      <c r="D293" t="s">
        <v>10</v>
      </c>
      <c r="E293" t="s">
        <v>86</v>
      </c>
      <c r="F293">
        <v>2</v>
      </c>
      <c r="G293">
        <v>0.1323</v>
      </c>
    </row>
    <row r="294" spans="1:7" x14ac:dyDescent="0.3">
      <c r="A294" t="s">
        <v>42</v>
      </c>
      <c r="B294" t="s">
        <v>24</v>
      </c>
      <c r="C294" s="1">
        <v>44127</v>
      </c>
      <c r="D294" t="s">
        <v>11</v>
      </c>
      <c r="E294" t="s">
        <v>96</v>
      </c>
      <c r="F294">
        <v>13</v>
      </c>
      <c r="G294">
        <v>0.27929999999999999</v>
      </c>
    </row>
    <row r="295" spans="1:7" x14ac:dyDescent="0.3">
      <c r="A295" t="s">
        <v>42</v>
      </c>
      <c r="B295" t="s">
        <v>24</v>
      </c>
      <c r="C295" s="1">
        <v>44127</v>
      </c>
      <c r="D295" t="s">
        <v>12</v>
      </c>
      <c r="E295" t="s">
        <v>87</v>
      </c>
      <c r="F295">
        <v>3</v>
      </c>
      <c r="G295">
        <v>0.33189999999999997</v>
      </c>
    </row>
    <row r="296" spans="1:7" x14ac:dyDescent="0.3">
      <c r="A296" t="s">
        <v>42</v>
      </c>
      <c r="B296" t="s">
        <v>24</v>
      </c>
      <c r="C296" s="1">
        <v>44127</v>
      </c>
      <c r="D296" t="s">
        <v>13</v>
      </c>
      <c r="E296" t="s">
        <v>97</v>
      </c>
      <c r="F296">
        <v>14</v>
      </c>
      <c r="G296">
        <v>0.26779999999999998</v>
      </c>
    </row>
    <row r="297" spans="1:7" x14ac:dyDescent="0.3">
      <c r="A297" t="s">
        <v>42</v>
      </c>
      <c r="B297" t="s">
        <v>24</v>
      </c>
      <c r="C297" s="1">
        <v>44127</v>
      </c>
      <c r="D297" t="s">
        <v>14</v>
      </c>
      <c r="E297" t="s">
        <v>88</v>
      </c>
      <c r="F297">
        <v>4</v>
      </c>
      <c r="G297">
        <v>0.1431</v>
      </c>
    </row>
    <row r="298" spans="1:7" x14ac:dyDescent="0.3">
      <c r="A298" t="s">
        <v>42</v>
      </c>
      <c r="B298" t="s">
        <v>24</v>
      </c>
      <c r="C298" s="1">
        <v>44127</v>
      </c>
      <c r="D298" t="s">
        <v>15</v>
      </c>
      <c r="E298" t="s">
        <v>98</v>
      </c>
      <c r="F298">
        <v>15</v>
      </c>
      <c r="G298">
        <v>1.0609999999999999</v>
      </c>
    </row>
    <row r="299" spans="1:7" x14ac:dyDescent="0.3">
      <c r="A299" t="s">
        <v>42</v>
      </c>
      <c r="B299" t="s">
        <v>24</v>
      </c>
      <c r="C299" s="1">
        <v>44127</v>
      </c>
      <c r="D299" t="s">
        <v>16</v>
      </c>
      <c r="E299" t="s">
        <v>89</v>
      </c>
      <c r="F299">
        <v>5</v>
      </c>
      <c r="G299">
        <v>0.41489999999999999</v>
      </c>
    </row>
    <row r="300" spans="1:7" x14ac:dyDescent="0.3">
      <c r="A300" t="s">
        <v>42</v>
      </c>
      <c r="B300" t="s">
        <v>24</v>
      </c>
      <c r="C300" s="1">
        <v>44127</v>
      </c>
      <c r="D300" t="s">
        <v>60</v>
      </c>
      <c r="E300" t="s">
        <v>104</v>
      </c>
      <c r="F300">
        <v>22</v>
      </c>
      <c r="G300">
        <v>0.8034</v>
      </c>
    </row>
    <row r="301" spans="1:7" x14ac:dyDescent="0.3">
      <c r="A301" t="s">
        <v>42</v>
      </c>
      <c r="B301" t="s">
        <v>24</v>
      </c>
      <c r="C301" s="1">
        <v>44127</v>
      </c>
      <c r="D301" t="s">
        <v>17</v>
      </c>
      <c r="E301" t="s">
        <v>99</v>
      </c>
      <c r="F301">
        <v>16</v>
      </c>
      <c r="G301">
        <v>0.14879999999999999</v>
      </c>
    </row>
    <row r="302" spans="1:7" x14ac:dyDescent="0.3">
      <c r="A302" t="s">
        <v>42</v>
      </c>
      <c r="B302" t="s">
        <v>24</v>
      </c>
      <c r="C302" s="1">
        <v>44127</v>
      </c>
      <c r="D302" t="s">
        <v>18</v>
      </c>
      <c r="E302" t="s">
        <v>90</v>
      </c>
      <c r="F302">
        <v>6</v>
      </c>
      <c r="G302">
        <v>0.125</v>
      </c>
    </row>
    <row r="303" spans="1:7" x14ac:dyDescent="0.3">
      <c r="A303" t="s">
        <v>42</v>
      </c>
      <c r="B303" t="s">
        <v>24</v>
      </c>
      <c r="C303" s="1">
        <v>44127</v>
      </c>
      <c r="D303" t="s">
        <v>19</v>
      </c>
      <c r="E303" t="s">
        <v>100</v>
      </c>
      <c r="F303">
        <v>17</v>
      </c>
      <c r="G303">
        <v>13.0288</v>
      </c>
    </row>
    <row r="304" spans="1:7" x14ac:dyDescent="0.3">
      <c r="A304" t="s">
        <v>43</v>
      </c>
      <c r="B304" t="s">
        <v>27</v>
      </c>
      <c r="C304" s="1">
        <v>44127</v>
      </c>
      <c r="D304" t="s">
        <v>3</v>
      </c>
      <c r="E304" t="e">
        <v>#N/A</v>
      </c>
      <c r="F304" t="e">
        <v>#N/A</v>
      </c>
      <c r="G304" t="s">
        <v>22</v>
      </c>
    </row>
    <row r="305" spans="1:7" x14ac:dyDescent="0.3">
      <c r="A305" t="s">
        <v>43</v>
      </c>
      <c r="B305" t="s">
        <v>27</v>
      </c>
      <c r="C305" s="1">
        <v>44127</v>
      </c>
      <c r="D305" t="s">
        <v>4</v>
      </c>
      <c r="E305" t="e">
        <v>#N/A</v>
      </c>
      <c r="F305" t="e">
        <v>#N/A</v>
      </c>
      <c r="G305">
        <v>0.67800000000000005</v>
      </c>
    </row>
    <row r="306" spans="1:7" x14ac:dyDescent="0.3">
      <c r="A306" t="s">
        <v>43</v>
      </c>
      <c r="B306" t="s">
        <v>27</v>
      </c>
      <c r="C306" s="1">
        <v>44127</v>
      </c>
      <c r="D306" t="s">
        <v>5</v>
      </c>
      <c r="E306" t="e">
        <v>#N/A</v>
      </c>
      <c r="F306" t="e">
        <v>#N/A</v>
      </c>
      <c r="G306">
        <v>11300</v>
      </c>
    </row>
    <row r="307" spans="1:7" x14ac:dyDescent="0.3">
      <c r="A307" t="s">
        <v>43</v>
      </c>
      <c r="B307" t="s">
        <v>27</v>
      </c>
      <c r="C307" s="1">
        <v>44127</v>
      </c>
      <c r="D307" t="s">
        <v>6</v>
      </c>
      <c r="E307" t="e">
        <v>#N/A</v>
      </c>
      <c r="F307" t="e">
        <v>#N/A</v>
      </c>
      <c r="G307">
        <v>5.37</v>
      </c>
    </row>
    <row r="308" spans="1:7" x14ac:dyDescent="0.3">
      <c r="A308" t="s">
        <v>43</v>
      </c>
      <c r="B308" t="s">
        <v>27</v>
      </c>
      <c r="C308" s="1">
        <v>44127</v>
      </c>
      <c r="D308" t="s">
        <v>7</v>
      </c>
      <c r="E308" t="e">
        <v>#N/A</v>
      </c>
      <c r="F308" t="e">
        <v>#N/A</v>
      </c>
      <c r="G308">
        <v>73.680000000000007</v>
      </c>
    </row>
    <row r="309" spans="1:7" x14ac:dyDescent="0.3">
      <c r="A309" t="s">
        <v>43</v>
      </c>
      <c r="B309" t="s">
        <v>27</v>
      </c>
      <c r="C309" s="1">
        <v>44127</v>
      </c>
      <c r="D309" t="s">
        <v>8</v>
      </c>
      <c r="E309" t="e">
        <v>#N/A</v>
      </c>
      <c r="F309" t="e">
        <v>#N/A</v>
      </c>
      <c r="G309">
        <v>46.2</v>
      </c>
    </row>
    <row r="310" spans="1:7" x14ac:dyDescent="0.3">
      <c r="A310" t="s">
        <v>43</v>
      </c>
      <c r="B310" t="s">
        <v>27</v>
      </c>
      <c r="C310" s="1">
        <v>44127</v>
      </c>
      <c r="D310" t="s">
        <v>9</v>
      </c>
      <c r="E310" t="s">
        <v>85</v>
      </c>
      <c r="F310">
        <v>1</v>
      </c>
      <c r="G310">
        <v>6.25E-2</v>
      </c>
    </row>
    <row r="311" spans="1:7" x14ac:dyDescent="0.3">
      <c r="A311" t="s">
        <v>43</v>
      </c>
      <c r="B311" t="s">
        <v>27</v>
      </c>
      <c r="C311" s="1">
        <v>44127</v>
      </c>
      <c r="D311" t="s">
        <v>10</v>
      </c>
      <c r="E311" t="s">
        <v>86</v>
      </c>
      <c r="F311">
        <v>2</v>
      </c>
      <c r="G311">
        <v>6.25E-2</v>
      </c>
    </row>
    <row r="312" spans="1:7" x14ac:dyDescent="0.3">
      <c r="A312" t="s">
        <v>43</v>
      </c>
      <c r="B312" t="s">
        <v>27</v>
      </c>
      <c r="C312" s="1">
        <v>44127</v>
      </c>
      <c r="D312" t="s">
        <v>11</v>
      </c>
      <c r="E312" t="s">
        <v>96</v>
      </c>
      <c r="F312">
        <v>13</v>
      </c>
      <c r="G312">
        <v>0.125</v>
      </c>
    </row>
    <row r="313" spans="1:7" x14ac:dyDescent="0.3">
      <c r="A313" t="s">
        <v>43</v>
      </c>
      <c r="B313" t="s">
        <v>27</v>
      </c>
      <c r="C313" s="1">
        <v>44127</v>
      </c>
      <c r="D313" t="s">
        <v>12</v>
      </c>
      <c r="E313" t="s">
        <v>87</v>
      </c>
      <c r="F313">
        <v>3</v>
      </c>
      <c r="G313">
        <v>6.25E-2</v>
      </c>
    </row>
    <row r="314" spans="1:7" x14ac:dyDescent="0.3">
      <c r="A314" t="s">
        <v>43</v>
      </c>
      <c r="B314" t="s">
        <v>27</v>
      </c>
      <c r="C314" s="1">
        <v>44127</v>
      </c>
      <c r="D314" t="s">
        <v>13</v>
      </c>
      <c r="E314" t="s">
        <v>97</v>
      </c>
      <c r="F314">
        <v>14</v>
      </c>
      <c r="G314">
        <v>6.25E-2</v>
      </c>
    </row>
    <row r="315" spans="1:7" x14ac:dyDescent="0.3">
      <c r="A315" t="s">
        <v>43</v>
      </c>
      <c r="B315" t="s">
        <v>27</v>
      </c>
      <c r="C315" s="1">
        <v>44127</v>
      </c>
      <c r="D315" t="s">
        <v>14</v>
      </c>
      <c r="E315" t="s">
        <v>88</v>
      </c>
      <c r="F315">
        <v>4</v>
      </c>
      <c r="G315">
        <v>6.25E-2</v>
      </c>
    </row>
    <row r="316" spans="1:7" x14ac:dyDescent="0.3">
      <c r="A316" t="s">
        <v>43</v>
      </c>
      <c r="B316" t="s">
        <v>27</v>
      </c>
      <c r="C316" s="1">
        <v>44127</v>
      </c>
      <c r="D316" t="s">
        <v>15</v>
      </c>
      <c r="E316" t="s">
        <v>98</v>
      </c>
      <c r="F316">
        <v>15</v>
      </c>
      <c r="G316">
        <v>0.22800000000000001</v>
      </c>
    </row>
    <row r="317" spans="1:7" x14ac:dyDescent="0.3">
      <c r="A317" t="s">
        <v>43</v>
      </c>
      <c r="B317" t="s">
        <v>27</v>
      </c>
      <c r="C317" s="1">
        <v>44127</v>
      </c>
      <c r="D317" t="s">
        <v>16</v>
      </c>
      <c r="E317" t="s">
        <v>89</v>
      </c>
      <c r="F317">
        <v>5</v>
      </c>
      <c r="G317">
        <v>0.125</v>
      </c>
    </row>
    <row r="318" spans="1:7" x14ac:dyDescent="0.3">
      <c r="A318" t="s">
        <v>43</v>
      </c>
      <c r="B318" t="s">
        <v>27</v>
      </c>
      <c r="C318" s="1">
        <v>44127</v>
      </c>
      <c r="D318" t="s">
        <v>60</v>
      </c>
      <c r="E318" t="s">
        <v>104</v>
      </c>
      <c r="F318">
        <v>22</v>
      </c>
      <c r="G318">
        <v>8.6099999999999996E-2</v>
      </c>
    </row>
    <row r="319" spans="1:7" x14ac:dyDescent="0.3">
      <c r="A319" t="s">
        <v>43</v>
      </c>
      <c r="B319" t="s">
        <v>27</v>
      </c>
      <c r="C319" s="1">
        <v>44127</v>
      </c>
      <c r="D319" t="s">
        <v>17</v>
      </c>
      <c r="E319" t="s">
        <v>99</v>
      </c>
      <c r="F319">
        <v>16</v>
      </c>
      <c r="G319">
        <v>3.7499999999999999E-2</v>
      </c>
    </row>
    <row r="320" spans="1:7" x14ac:dyDescent="0.3">
      <c r="A320" t="s">
        <v>43</v>
      </c>
      <c r="B320" t="s">
        <v>27</v>
      </c>
      <c r="C320" s="1">
        <v>44127</v>
      </c>
      <c r="D320" t="s">
        <v>18</v>
      </c>
      <c r="E320" t="s">
        <v>90</v>
      </c>
      <c r="F320">
        <v>6</v>
      </c>
      <c r="G320">
        <v>0.125</v>
      </c>
    </row>
    <row r="321" spans="1:7" x14ac:dyDescent="0.3">
      <c r="A321" t="s">
        <v>43</v>
      </c>
      <c r="B321" t="s">
        <v>27</v>
      </c>
      <c r="C321" s="1">
        <v>44127</v>
      </c>
      <c r="D321" t="s">
        <v>19</v>
      </c>
      <c r="E321" t="s">
        <v>100</v>
      </c>
      <c r="F321">
        <v>17</v>
      </c>
      <c r="G321">
        <v>2.4598</v>
      </c>
    </row>
    <row r="322" spans="1:7" x14ac:dyDescent="0.3">
      <c r="A322" t="s">
        <v>44</v>
      </c>
      <c r="B322" t="s">
        <v>21</v>
      </c>
      <c r="C322" s="1">
        <v>44131</v>
      </c>
      <c r="D322" t="s">
        <v>3</v>
      </c>
      <c r="E322" t="e">
        <v>#N/A</v>
      </c>
      <c r="F322" t="e">
        <v>#N/A</v>
      </c>
      <c r="G322" t="s">
        <v>22</v>
      </c>
    </row>
    <row r="323" spans="1:7" x14ac:dyDescent="0.3">
      <c r="A323" t="s">
        <v>44</v>
      </c>
      <c r="B323" t="s">
        <v>21</v>
      </c>
      <c r="C323" s="1">
        <v>44131</v>
      </c>
      <c r="D323" t="s">
        <v>4</v>
      </c>
      <c r="E323" t="e">
        <v>#N/A</v>
      </c>
      <c r="F323" t="e">
        <v>#N/A</v>
      </c>
      <c r="G323">
        <v>0.19900000000000001</v>
      </c>
    </row>
    <row r="324" spans="1:7" x14ac:dyDescent="0.3">
      <c r="A324" t="s">
        <v>44</v>
      </c>
      <c r="B324" t="s">
        <v>21</v>
      </c>
      <c r="C324" s="1">
        <v>44131</v>
      </c>
      <c r="D324" t="s">
        <v>5</v>
      </c>
      <c r="E324" t="e">
        <v>#N/A</v>
      </c>
      <c r="F324" t="e">
        <v>#N/A</v>
      </c>
      <c r="G324">
        <v>6940</v>
      </c>
    </row>
    <row r="325" spans="1:7" x14ac:dyDescent="0.3">
      <c r="A325" t="s">
        <v>44</v>
      </c>
      <c r="B325" t="s">
        <v>21</v>
      </c>
      <c r="C325" s="1">
        <v>44131</v>
      </c>
      <c r="D325" t="s">
        <v>6</v>
      </c>
      <c r="E325" t="e">
        <v>#N/A</v>
      </c>
      <c r="F325" t="e">
        <v>#N/A</v>
      </c>
      <c r="G325">
        <v>21.37</v>
      </c>
    </row>
    <row r="326" spans="1:7" x14ac:dyDescent="0.3">
      <c r="A326" t="s">
        <v>44</v>
      </c>
      <c r="B326" t="s">
        <v>21</v>
      </c>
      <c r="C326" s="1">
        <v>44131</v>
      </c>
      <c r="D326" t="s">
        <v>7</v>
      </c>
      <c r="E326" t="e">
        <v>#N/A</v>
      </c>
      <c r="F326" t="e">
        <v>#N/A</v>
      </c>
      <c r="G326">
        <v>61.91</v>
      </c>
    </row>
    <row r="327" spans="1:7" x14ac:dyDescent="0.3">
      <c r="A327" t="s">
        <v>44</v>
      </c>
      <c r="B327" t="s">
        <v>21</v>
      </c>
      <c r="C327" s="1">
        <v>44131</v>
      </c>
      <c r="D327" t="s">
        <v>8</v>
      </c>
      <c r="E327" t="e">
        <v>#N/A</v>
      </c>
      <c r="F327" t="e">
        <v>#N/A</v>
      </c>
      <c r="G327">
        <v>28.8</v>
      </c>
    </row>
    <row r="328" spans="1:7" x14ac:dyDescent="0.3">
      <c r="A328" t="s">
        <v>44</v>
      </c>
      <c r="B328" t="s">
        <v>21</v>
      </c>
      <c r="C328" s="1">
        <v>44131</v>
      </c>
      <c r="D328" t="s">
        <v>9</v>
      </c>
      <c r="E328" t="s">
        <v>85</v>
      </c>
      <c r="F328">
        <v>1</v>
      </c>
      <c r="G328">
        <v>6.25E-2</v>
      </c>
    </row>
    <row r="329" spans="1:7" x14ac:dyDescent="0.3">
      <c r="A329" t="s">
        <v>44</v>
      </c>
      <c r="B329" t="s">
        <v>21</v>
      </c>
      <c r="C329" s="1">
        <v>44131</v>
      </c>
      <c r="D329" t="s">
        <v>10</v>
      </c>
      <c r="E329" t="s">
        <v>86</v>
      </c>
      <c r="F329">
        <v>2</v>
      </c>
      <c r="G329">
        <v>6.25E-2</v>
      </c>
    </row>
    <row r="330" spans="1:7" x14ac:dyDescent="0.3">
      <c r="A330" t="s">
        <v>44</v>
      </c>
      <c r="B330" t="s">
        <v>21</v>
      </c>
      <c r="C330" s="1">
        <v>44131</v>
      </c>
      <c r="D330" t="s">
        <v>11</v>
      </c>
      <c r="E330" t="s">
        <v>96</v>
      </c>
      <c r="F330">
        <v>13</v>
      </c>
      <c r="G330">
        <v>0.125</v>
      </c>
    </row>
    <row r="331" spans="1:7" x14ac:dyDescent="0.3">
      <c r="A331" t="s">
        <v>44</v>
      </c>
      <c r="B331" t="s">
        <v>21</v>
      </c>
      <c r="C331" s="1">
        <v>44131</v>
      </c>
      <c r="D331" t="s">
        <v>12</v>
      </c>
      <c r="E331" t="s">
        <v>87</v>
      </c>
      <c r="F331">
        <v>3</v>
      </c>
      <c r="G331">
        <v>0.14510000000000001</v>
      </c>
    </row>
    <row r="332" spans="1:7" x14ac:dyDescent="0.3">
      <c r="A332" t="s">
        <v>44</v>
      </c>
      <c r="B332" t="s">
        <v>21</v>
      </c>
      <c r="C332" s="1">
        <v>44131</v>
      </c>
      <c r="D332" t="s">
        <v>13</v>
      </c>
      <c r="E332" t="s">
        <v>97</v>
      </c>
      <c r="F332">
        <v>14</v>
      </c>
      <c r="G332">
        <v>6.25E-2</v>
      </c>
    </row>
    <row r="333" spans="1:7" x14ac:dyDescent="0.3">
      <c r="A333" t="s">
        <v>44</v>
      </c>
      <c r="B333" t="s">
        <v>21</v>
      </c>
      <c r="C333" s="1">
        <v>44131</v>
      </c>
      <c r="D333" t="s">
        <v>14</v>
      </c>
      <c r="E333" t="s">
        <v>88</v>
      </c>
      <c r="F333">
        <v>4</v>
      </c>
      <c r="G333">
        <v>6.25E-2</v>
      </c>
    </row>
    <row r="334" spans="1:7" x14ac:dyDescent="0.3">
      <c r="A334" t="s">
        <v>44</v>
      </c>
      <c r="B334" t="s">
        <v>21</v>
      </c>
      <c r="C334" s="1">
        <v>44131</v>
      </c>
      <c r="D334" t="s">
        <v>15</v>
      </c>
      <c r="E334" t="s">
        <v>98</v>
      </c>
      <c r="F334">
        <v>15</v>
      </c>
      <c r="G334">
        <v>0.17469999999999999</v>
      </c>
    </row>
    <row r="335" spans="1:7" x14ac:dyDescent="0.3">
      <c r="A335" t="s">
        <v>44</v>
      </c>
      <c r="B335" t="s">
        <v>21</v>
      </c>
      <c r="C335" s="1">
        <v>44131</v>
      </c>
      <c r="D335" t="s">
        <v>16</v>
      </c>
      <c r="E335" t="s">
        <v>89</v>
      </c>
      <c r="F335">
        <v>5</v>
      </c>
      <c r="G335">
        <v>0.125</v>
      </c>
    </row>
    <row r="336" spans="1:7" x14ac:dyDescent="0.3">
      <c r="A336" t="s">
        <v>44</v>
      </c>
      <c r="B336" t="s">
        <v>21</v>
      </c>
      <c r="C336" s="1">
        <v>44131</v>
      </c>
      <c r="D336" t="s">
        <v>60</v>
      </c>
      <c r="E336" t="s">
        <v>104</v>
      </c>
      <c r="F336">
        <v>22</v>
      </c>
      <c r="G336">
        <v>0.17460000000000001</v>
      </c>
    </row>
    <row r="337" spans="1:7" x14ac:dyDescent="0.3">
      <c r="A337" t="s">
        <v>44</v>
      </c>
      <c r="B337" t="s">
        <v>21</v>
      </c>
      <c r="C337" s="1">
        <v>44131</v>
      </c>
      <c r="D337" t="s">
        <v>18</v>
      </c>
      <c r="E337" t="s">
        <v>90</v>
      </c>
      <c r="F337">
        <v>6</v>
      </c>
      <c r="G337">
        <v>0.125</v>
      </c>
    </row>
    <row r="338" spans="1:7" x14ac:dyDescent="0.3">
      <c r="A338" t="s">
        <v>44</v>
      </c>
      <c r="B338" t="s">
        <v>21</v>
      </c>
      <c r="C338" s="1">
        <v>44131</v>
      </c>
      <c r="D338" t="s">
        <v>19</v>
      </c>
      <c r="E338" t="s">
        <v>100</v>
      </c>
      <c r="F338">
        <v>17</v>
      </c>
      <c r="G338">
        <v>1.0768</v>
      </c>
    </row>
    <row r="339" spans="1:7" x14ac:dyDescent="0.3">
      <c r="A339" t="s">
        <v>45</v>
      </c>
      <c r="B339" t="s">
        <v>24</v>
      </c>
      <c r="C339" s="1">
        <v>44131</v>
      </c>
      <c r="D339" t="s">
        <v>3</v>
      </c>
      <c r="E339" t="e">
        <v>#N/A</v>
      </c>
      <c r="F339" t="e">
        <v>#N/A</v>
      </c>
      <c r="G339" t="s">
        <v>25</v>
      </c>
    </row>
    <row r="340" spans="1:7" x14ac:dyDescent="0.3">
      <c r="A340" t="s">
        <v>45</v>
      </c>
      <c r="B340" t="s">
        <v>24</v>
      </c>
      <c r="C340" s="1">
        <v>44131</v>
      </c>
      <c r="D340" t="s">
        <v>4</v>
      </c>
      <c r="E340" t="e">
        <v>#N/A</v>
      </c>
      <c r="F340" t="e">
        <v>#N/A</v>
      </c>
      <c r="G340">
        <v>0.67800000000000005</v>
      </c>
    </row>
    <row r="341" spans="1:7" x14ac:dyDescent="0.3">
      <c r="A341" t="s">
        <v>45</v>
      </c>
      <c r="B341" t="s">
        <v>24</v>
      </c>
      <c r="C341" s="1">
        <v>44131</v>
      </c>
      <c r="D341" t="s">
        <v>5</v>
      </c>
      <c r="E341" t="e">
        <v>#N/A</v>
      </c>
      <c r="F341" t="e">
        <v>#N/A</v>
      </c>
      <c r="G341">
        <v>25800</v>
      </c>
    </row>
    <row r="342" spans="1:7" x14ac:dyDescent="0.3">
      <c r="A342" t="s">
        <v>45</v>
      </c>
      <c r="B342" t="s">
        <v>24</v>
      </c>
      <c r="C342" s="1">
        <v>44131</v>
      </c>
      <c r="D342" t="s">
        <v>6</v>
      </c>
      <c r="E342" t="e">
        <v>#N/A</v>
      </c>
      <c r="F342" t="e">
        <v>#N/A</v>
      </c>
      <c r="G342">
        <v>9.4499999999999993</v>
      </c>
    </row>
    <row r="343" spans="1:7" x14ac:dyDescent="0.3">
      <c r="A343" t="s">
        <v>45</v>
      </c>
      <c r="B343" t="s">
        <v>24</v>
      </c>
      <c r="C343" s="1">
        <v>44131</v>
      </c>
      <c r="D343" t="s">
        <v>7</v>
      </c>
      <c r="E343" t="e">
        <v>#N/A</v>
      </c>
      <c r="F343" t="e">
        <v>#N/A</v>
      </c>
      <c r="G343">
        <v>10.48</v>
      </c>
    </row>
    <row r="344" spans="1:7" x14ac:dyDescent="0.3">
      <c r="A344" t="s">
        <v>45</v>
      </c>
      <c r="B344" t="s">
        <v>24</v>
      </c>
      <c r="C344" s="1">
        <v>44131</v>
      </c>
      <c r="D344" t="s">
        <v>8</v>
      </c>
      <c r="E344" t="e">
        <v>#N/A</v>
      </c>
      <c r="F344" t="e">
        <v>#N/A</v>
      </c>
      <c r="G344">
        <v>74.8</v>
      </c>
    </row>
    <row r="345" spans="1:7" x14ac:dyDescent="0.3">
      <c r="A345" t="s">
        <v>45</v>
      </c>
      <c r="B345" t="s">
        <v>24</v>
      </c>
      <c r="C345" s="1">
        <v>44131</v>
      </c>
      <c r="D345" t="s">
        <v>9</v>
      </c>
      <c r="E345" t="s">
        <v>85</v>
      </c>
      <c r="F345">
        <v>1</v>
      </c>
      <c r="G345">
        <v>0.12909999999999999</v>
      </c>
    </row>
    <row r="346" spans="1:7" x14ac:dyDescent="0.3">
      <c r="A346" t="s">
        <v>45</v>
      </c>
      <c r="B346" t="s">
        <v>24</v>
      </c>
      <c r="C346" s="1">
        <v>44131</v>
      </c>
      <c r="D346" t="s">
        <v>10</v>
      </c>
      <c r="E346" t="s">
        <v>86</v>
      </c>
      <c r="F346">
        <v>2</v>
      </c>
      <c r="G346">
        <v>0.15340000000000001</v>
      </c>
    </row>
    <row r="347" spans="1:7" x14ac:dyDescent="0.3">
      <c r="A347" t="s">
        <v>45</v>
      </c>
      <c r="B347" t="s">
        <v>24</v>
      </c>
      <c r="C347" s="1">
        <v>44131</v>
      </c>
      <c r="D347" t="s">
        <v>11</v>
      </c>
      <c r="E347" t="s">
        <v>96</v>
      </c>
      <c r="F347">
        <v>13</v>
      </c>
      <c r="G347">
        <v>0.125</v>
      </c>
    </row>
    <row r="348" spans="1:7" x14ac:dyDescent="0.3">
      <c r="A348" t="s">
        <v>45</v>
      </c>
      <c r="B348" t="s">
        <v>24</v>
      </c>
      <c r="C348" s="1">
        <v>44131</v>
      </c>
      <c r="D348" t="s">
        <v>12</v>
      </c>
      <c r="E348" t="s">
        <v>87</v>
      </c>
      <c r="F348">
        <v>3</v>
      </c>
      <c r="G348">
        <v>0.33929999999999999</v>
      </c>
    </row>
    <row r="349" spans="1:7" x14ac:dyDescent="0.3">
      <c r="A349" t="s">
        <v>45</v>
      </c>
      <c r="B349" t="s">
        <v>24</v>
      </c>
      <c r="C349" s="1">
        <v>44131</v>
      </c>
      <c r="D349" t="s">
        <v>13</v>
      </c>
      <c r="E349" t="s">
        <v>97</v>
      </c>
      <c r="F349">
        <v>14</v>
      </c>
      <c r="G349">
        <v>0.20580000000000001</v>
      </c>
    </row>
    <row r="350" spans="1:7" x14ac:dyDescent="0.3">
      <c r="A350" t="s">
        <v>45</v>
      </c>
      <c r="B350" t="s">
        <v>24</v>
      </c>
      <c r="C350" s="1">
        <v>44131</v>
      </c>
      <c r="D350" t="s">
        <v>14</v>
      </c>
      <c r="E350" t="s">
        <v>88</v>
      </c>
      <c r="F350">
        <v>4</v>
      </c>
      <c r="G350">
        <v>0.1525</v>
      </c>
    </row>
    <row r="351" spans="1:7" x14ac:dyDescent="0.3">
      <c r="A351" t="s">
        <v>45</v>
      </c>
      <c r="B351" t="s">
        <v>24</v>
      </c>
      <c r="C351" s="1">
        <v>44131</v>
      </c>
      <c r="D351" t="s">
        <v>15</v>
      </c>
      <c r="E351" t="s">
        <v>98</v>
      </c>
      <c r="F351">
        <v>15</v>
      </c>
      <c r="G351">
        <v>1.3073999999999999</v>
      </c>
    </row>
    <row r="352" spans="1:7" x14ac:dyDescent="0.3">
      <c r="A352" t="s">
        <v>45</v>
      </c>
      <c r="B352" t="s">
        <v>24</v>
      </c>
      <c r="C352" s="1">
        <v>44131</v>
      </c>
      <c r="D352" t="s">
        <v>16</v>
      </c>
      <c r="E352" t="s">
        <v>89</v>
      </c>
      <c r="F352">
        <v>5</v>
      </c>
      <c r="G352">
        <v>0.42809999999999998</v>
      </c>
    </row>
    <row r="353" spans="1:7" x14ac:dyDescent="0.3">
      <c r="A353" t="s">
        <v>45</v>
      </c>
      <c r="B353" t="s">
        <v>24</v>
      </c>
      <c r="C353" s="1">
        <v>44131</v>
      </c>
      <c r="D353" t="s">
        <v>60</v>
      </c>
      <c r="E353" t="s">
        <v>104</v>
      </c>
      <c r="F353">
        <v>22</v>
      </c>
      <c r="G353">
        <v>0.80459999999999998</v>
      </c>
    </row>
    <row r="354" spans="1:7" x14ac:dyDescent="0.3">
      <c r="A354" t="s">
        <v>45</v>
      </c>
      <c r="B354" t="s">
        <v>24</v>
      </c>
      <c r="C354" s="1">
        <v>44131</v>
      </c>
      <c r="D354" t="s">
        <v>17</v>
      </c>
      <c r="E354" t="s">
        <v>99</v>
      </c>
      <c r="F354">
        <v>16</v>
      </c>
      <c r="G354">
        <v>0.18590000000000001</v>
      </c>
    </row>
    <row r="355" spans="1:7" x14ac:dyDescent="0.3">
      <c r="A355" t="s">
        <v>45</v>
      </c>
      <c r="B355" t="s">
        <v>24</v>
      </c>
      <c r="C355" s="1">
        <v>44131</v>
      </c>
      <c r="D355" t="s">
        <v>18</v>
      </c>
      <c r="E355" t="s">
        <v>90</v>
      </c>
      <c r="F355">
        <v>6</v>
      </c>
      <c r="G355">
        <v>0.125</v>
      </c>
    </row>
    <row r="356" spans="1:7" x14ac:dyDescent="0.3">
      <c r="A356" t="s">
        <v>45</v>
      </c>
      <c r="B356" t="s">
        <v>24</v>
      </c>
      <c r="C356" s="1">
        <v>44131</v>
      </c>
      <c r="D356" t="s">
        <v>19</v>
      </c>
      <c r="E356" t="s">
        <v>100</v>
      </c>
      <c r="F356">
        <v>17</v>
      </c>
      <c r="G356">
        <v>17.083300000000001</v>
      </c>
    </row>
    <row r="357" spans="1:7" x14ac:dyDescent="0.3">
      <c r="A357" t="s">
        <v>46</v>
      </c>
      <c r="B357" t="s">
        <v>27</v>
      </c>
      <c r="C357" s="1">
        <v>44131</v>
      </c>
      <c r="D357" t="s">
        <v>3</v>
      </c>
      <c r="E357" t="e">
        <v>#N/A</v>
      </c>
      <c r="F357" t="e">
        <v>#N/A</v>
      </c>
      <c r="G357" t="s">
        <v>22</v>
      </c>
    </row>
    <row r="358" spans="1:7" x14ac:dyDescent="0.3">
      <c r="A358" t="s">
        <v>46</v>
      </c>
      <c r="B358" t="s">
        <v>27</v>
      </c>
      <c r="C358" s="1">
        <v>44131</v>
      </c>
      <c r="D358" t="s">
        <v>4</v>
      </c>
      <c r="E358" t="e">
        <v>#N/A</v>
      </c>
      <c r="F358" t="e">
        <v>#N/A</v>
      </c>
      <c r="G358">
        <v>0.64800000000000002</v>
      </c>
    </row>
    <row r="359" spans="1:7" x14ac:dyDescent="0.3">
      <c r="A359" t="s">
        <v>46</v>
      </c>
      <c r="B359" t="s">
        <v>27</v>
      </c>
      <c r="C359" s="1">
        <v>44131</v>
      </c>
      <c r="D359" t="s">
        <v>5</v>
      </c>
      <c r="E359" t="e">
        <v>#N/A</v>
      </c>
      <c r="F359" t="e">
        <v>#N/A</v>
      </c>
      <c r="G359">
        <v>11300</v>
      </c>
    </row>
    <row r="360" spans="1:7" x14ac:dyDescent="0.3">
      <c r="A360" t="s">
        <v>46</v>
      </c>
      <c r="B360" t="s">
        <v>27</v>
      </c>
      <c r="C360" s="1">
        <v>44131</v>
      </c>
      <c r="D360" t="s">
        <v>6</v>
      </c>
      <c r="E360" t="e">
        <v>#N/A</v>
      </c>
      <c r="F360" t="e">
        <v>#N/A</v>
      </c>
      <c r="G360">
        <v>5.37</v>
      </c>
    </row>
    <row r="361" spans="1:7" x14ac:dyDescent="0.3">
      <c r="A361" t="s">
        <v>46</v>
      </c>
      <c r="B361" t="s">
        <v>27</v>
      </c>
      <c r="C361" s="1">
        <v>44131</v>
      </c>
      <c r="D361" t="s">
        <v>7</v>
      </c>
      <c r="E361" t="e">
        <v>#N/A</v>
      </c>
      <c r="F361" t="e">
        <v>#N/A</v>
      </c>
      <c r="G361">
        <v>73.680000000000007</v>
      </c>
    </row>
    <row r="362" spans="1:7" x14ac:dyDescent="0.3">
      <c r="A362" t="s">
        <v>46</v>
      </c>
      <c r="B362" t="s">
        <v>27</v>
      </c>
      <c r="C362" s="1">
        <v>44131</v>
      </c>
      <c r="D362" t="s">
        <v>8</v>
      </c>
      <c r="E362" t="e">
        <v>#N/A</v>
      </c>
      <c r="F362" t="e">
        <v>#N/A</v>
      </c>
      <c r="G362">
        <v>46.2</v>
      </c>
    </row>
    <row r="363" spans="1:7" x14ac:dyDescent="0.3">
      <c r="A363" t="s">
        <v>46</v>
      </c>
      <c r="B363" t="s">
        <v>27</v>
      </c>
      <c r="C363" s="1">
        <v>44131</v>
      </c>
      <c r="D363" t="s">
        <v>9</v>
      </c>
      <c r="E363" t="s">
        <v>85</v>
      </c>
      <c r="F363">
        <v>1</v>
      </c>
      <c r="G363">
        <v>6.25E-2</v>
      </c>
    </row>
    <row r="364" spans="1:7" x14ac:dyDescent="0.3">
      <c r="A364" t="s">
        <v>46</v>
      </c>
      <c r="B364" t="s">
        <v>27</v>
      </c>
      <c r="C364" s="1">
        <v>44131</v>
      </c>
      <c r="D364" t="s">
        <v>10</v>
      </c>
      <c r="E364" t="s">
        <v>86</v>
      </c>
      <c r="F364">
        <v>2</v>
      </c>
      <c r="G364">
        <v>6.25E-2</v>
      </c>
    </row>
    <row r="365" spans="1:7" x14ac:dyDescent="0.3">
      <c r="A365" t="s">
        <v>46</v>
      </c>
      <c r="B365" t="s">
        <v>27</v>
      </c>
      <c r="C365" s="1">
        <v>44131</v>
      </c>
      <c r="D365" t="s">
        <v>11</v>
      </c>
      <c r="E365" t="s">
        <v>96</v>
      </c>
      <c r="F365">
        <v>13</v>
      </c>
      <c r="G365">
        <v>0.125</v>
      </c>
    </row>
    <row r="366" spans="1:7" x14ac:dyDescent="0.3">
      <c r="A366" t="s">
        <v>46</v>
      </c>
      <c r="B366" t="s">
        <v>27</v>
      </c>
      <c r="C366" s="1">
        <v>44131</v>
      </c>
      <c r="D366" t="s">
        <v>12</v>
      </c>
      <c r="E366" t="s">
        <v>87</v>
      </c>
      <c r="F366">
        <v>3</v>
      </c>
      <c r="G366">
        <v>0.12859999999999999</v>
      </c>
    </row>
    <row r="367" spans="1:7" x14ac:dyDescent="0.3">
      <c r="A367" t="s">
        <v>46</v>
      </c>
      <c r="B367" t="s">
        <v>27</v>
      </c>
      <c r="C367" s="1">
        <v>44131</v>
      </c>
      <c r="D367" t="s">
        <v>13</v>
      </c>
      <c r="E367" t="s">
        <v>97</v>
      </c>
      <c r="F367">
        <v>14</v>
      </c>
      <c r="G367">
        <v>0.1416</v>
      </c>
    </row>
    <row r="368" spans="1:7" x14ac:dyDescent="0.3">
      <c r="A368" t="s">
        <v>46</v>
      </c>
      <c r="B368" t="s">
        <v>27</v>
      </c>
      <c r="C368" s="1">
        <v>44131</v>
      </c>
      <c r="D368" t="s">
        <v>14</v>
      </c>
      <c r="E368" t="s">
        <v>88</v>
      </c>
      <c r="F368">
        <v>4</v>
      </c>
      <c r="G368">
        <v>6.25E-2</v>
      </c>
    </row>
    <row r="369" spans="1:7" x14ac:dyDescent="0.3">
      <c r="A369" t="s">
        <v>46</v>
      </c>
      <c r="B369" t="s">
        <v>27</v>
      </c>
      <c r="C369" s="1">
        <v>44131</v>
      </c>
      <c r="D369" t="s">
        <v>15</v>
      </c>
      <c r="E369" t="s">
        <v>98</v>
      </c>
      <c r="F369">
        <v>15</v>
      </c>
      <c r="G369">
        <v>0.2404</v>
      </c>
    </row>
    <row r="370" spans="1:7" x14ac:dyDescent="0.3">
      <c r="A370" t="s">
        <v>46</v>
      </c>
      <c r="B370" t="s">
        <v>27</v>
      </c>
      <c r="C370" s="1">
        <v>44131</v>
      </c>
      <c r="D370" t="s">
        <v>16</v>
      </c>
      <c r="E370" t="s">
        <v>89</v>
      </c>
      <c r="F370">
        <v>5</v>
      </c>
      <c r="G370">
        <v>0.125</v>
      </c>
    </row>
    <row r="371" spans="1:7" x14ac:dyDescent="0.3">
      <c r="A371" t="s">
        <v>46</v>
      </c>
      <c r="B371" t="s">
        <v>27</v>
      </c>
      <c r="C371" s="1">
        <v>44131</v>
      </c>
      <c r="D371" t="s">
        <v>60</v>
      </c>
      <c r="E371" t="s">
        <v>104</v>
      </c>
      <c r="F371">
        <v>22</v>
      </c>
      <c r="G371">
        <v>0.18110000000000001</v>
      </c>
    </row>
    <row r="372" spans="1:7" x14ac:dyDescent="0.3">
      <c r="A372" t="s">
        <v>46</v>
      </c>
      <c r="B372" t="s">
        <v>27</v>
      </c>
      <c r="C372" s="1">
        <v>44131</v>
      </c>
      <c r="D372" t="s">
        <v>17</v>
      </c>
      <c r="E372" t="s">
        <v>99</v>
      </c>
      <c r="F372">
        <v>16</v>
      </c>
      <c r="G372">
        <v>4.19E-2</v>
      </c>
    </row>
    <row r="373" spans="1:7" x14ac:dyDescent="0.3">
      <c r="A373" t="s">
        <v>46</v>
      </c>
      <c r="B373" t="s">
        <v>27</v>
      </c>
      <c r="C373" s="1">
        <v>44131</v>
      </c>
      <c r="D373" t="s">
        <v>18</v>
      </c>
      <c r="E373" t="s">
        <v>90</v>
      </c>
      <c r="F373">
        <v>6</v>
      </c>
      <c r="G373">
        <v>0.125</v>
      </c>
    </row>
    <row r="374" spans="1:7" x14ac:dyDescent="0.3">
      <c r="A374" t="s">
        <v>46</v>
      </c>
      <c r="B374" t="s">
        <v>27</v>
      </c>
      <c r="C374" s="1">
        <v>44131</v>
      </c>
      <c r="D374" t="s">
        <v>19</v>
      </c>
      <c r="E374" t="s">
        <v>100</v>
      </c>
      <c r="F374">
        <v>17</v>
      </c>
      <c r="G374">
        <v>1.982</v>
      </c>
    </row>
    <row r="375" spans="1:7" x14ac:dyDescent="0.3">
      <c r="A375" t="s">
        <v>47</v>
      </c>
      <c r="B375" t="s">
        <v>21</v>
      </c>
      <c r="C375" s="1">
        <v>44133</v>
      </c>
      <c r="D375" t="s">
        <v>3</v>
      </c>
      <c r="E375" t="e">
        <v>#N/A</v>
      </c>
      <c r="F375" t="e">
        <v>#N/A</v>
      </c>
      <c r="G375" t="s">
        <v>22</v>
      </c>
    </row>
    <row r="376" spans="1:7" x14ac:dyDescent="0.3">
      <c r="A376" t="s">
        <v>47</v>
      </c>
      <c r="B376" t="s">
        <v>21</v>
      </c>
      <c r="C376" s="1">
        <v>44133</v>
      </c>
      <c r="D376" t="s">
        <v>4</v>
      </c>
      <c r="E376" t="e">
        <v>#N/A</v>
      </c>
      <c r="F376" t="e">
        <v>#N/A</v>
      </c>
      <c r="G376">
        <v>0.45600000000000002</v>
      </c>
    </row>
    <row r="377" spans="1:7" x14ac:dyDescent="0.3">
      <c r="A377" t="s">
        <v>47</v>
      </c>
      <c r="B377" t="s">
        <v>21</v>
      </c>
      <c r="C377" s="1">
        <v>44133</v>
      </c>
      <c r="D377" t="s">
        <v>5</v>
      </c>
      <c r="E377" t="e">
        <v>#N/A</v>
      </c>
      <c r="F377" t="e">
        <v>#N/A</v>
      </c>
      <c r="G377">
        <v>6940</v>
      </c>
    </row>
    <row r="378" spans="1:7" x14ac:dyDescent="0.3">
      <c r="A378" t="s">
        <v>47</v>
      </c>
      <c r="B378" t="s">
        <v>21</v>
      </c>
      <c r="C378" s="1">
        <v>44133</v>
      </c>
      <c r="D378" t="s">
        <v>6</v>
      </c>
      <c r="E378" t="e">
        <v>#N/A</v>
      </c>
      <c r="F378" t="e">
        <v>#N/A</v>
      </c>
      <c r="G378">
        <v>21.37</v>
      </c>
    </row>
    <row r="379" spans="1:7" x14ac:dyDescent="0.3">
      <c r="A379" t="s">
        <v>47</v>
      </c>
      <c r="B379" t="s">
        <v>21</v>
      </c>
      <c r="C379" s="1">
        <v>44133</v>
      </c>
      <c r="D379" t="s">
        <v>7</v>
      </c>
      <c r="E379" t="e">
        <v>#N/A</v>
      </c>
      <c r="F379" t="e">
        <v>#N/A</v>
      </c>
      <c r="G379">
        <v>61.91</v>
      </c>
    </row>
    <row r="380" spans="1:7" x14ac:dyDescent="0.3">
      <c r="A380" t="s">
        <v>47</v>
      </c>
      <c r="B380" t="s">
        <v>21</v>
      </c>
      <c r="C380" s="1">
        <v>44133</v>
      </c>
      <c r="D380" t="s">
        <v>8</v>
      </c>
      <c r="E380" t="e">
        <v>#N/A</v>
      </c>
      <c r="F380" t="e">
        <v>#N/A</v>
      </c>
      <c r="G380">
        <v>28.8</v>
      </c>
    </row>
    <row r="381" spans="1:7" x14ac:dyDescent="0.3">
      <c r="A381" t="s">
        <v>47</v>
      </c>
      <c r="B381" t="s">
        <v>21</v>
      </c>
      <c r="C381" s="1">
        <v>44133</v>
      </c>
      <c r="D381" t="s">
        <v>9</v>
      </c>
      <c r="E381" t="s">
        <v>85</v>
      </c>
      <c r="F381">
        <v>1</v>
      </c>
      <c r="G381">
        <v>6.25E-2</v>
      </c>
    </row>
    <row r="382" spans="1:7" x14ac:dyDescent="0.3">
      <c r="A382" t="s">
        <v>47</v>
      </c>
      <c r="B382" t="s">
        <v>21</v>
      </c>
      <c r="C382" s="1">
        <v>44133</v>
      </c>
      <c r="D382" t="s">
        <v>10</v>
      </c>
      <c r="E382" t="s">
        <v>86</v>
      </c>
      <c r="F382">
        <v>2</v>
      </c>
      <c r="G382">
        <v>6.25E-2</v>
      </c>
    </row>
    <row r="383" spans="1:7" x14ac:dyDescent="0.3">
      <c r="A383" t="s">
        <v>47</v>
      </c>
      <c r="B383" t="s">
        <v>21</v>
      </c>
      <c r="C383" s="1">
        <v>44133</v>
      </c>
      <c r="D383" t="s">
        <v>11</v>
      </c>
      <c r="E383" t="s">
        <v>96</v>
      </c>
      <c r="F383">
        <v>13</v>
      </c>
      <c r="G383">
        <v>0.125</v>
      </c>
    </row>
    <row r="384" spans="1:7" x14ac:dyDescent="0.3">
      <c r="A384" t="s">
        <v>47</v>
      </c>
      <c r="B384" t="s">
        <v>21</v>
      </c>
      <c r="C384" s="1">
        <v>44133</v>
      </c>
      <c r="D384" t="s">
        <v>12</v>
      </c>
      <c r="E384" t="s">
        <v>87</v>
      </c>
      <c r="F384">
        <v>3</v>
      </c>
      <c r="G384">
        <v>6.25E-2</v>
      </c>
    </row>
    <row r="385" spans="1:7" x14ac:dyDescent="0.3">
      <c r="A385" t="s">
        <v>47</v>
      </c>
      <c r="B385" t="s">
        <v>21</v>
      </c>
      <c r="C385" s="1">
        <v>44133</v>
      </c>
      <c r="D385" t="s">
        <v>13</v>
      </c>
      <c r="E385" t="s">
        <v>97</v>
      </c>
      <c r="F385">
        <v>14</v>
      </c>
      <c r="G385">
        <v>6.25E-2</v>
      </c>
    </row>
    <row r="386" spans="1:7" x14ac:dyDescent="0.3">
      <c r="A386" t="s">
        <v>47</v>
      </c>
      <c r="B386" t="s">
        <v>21</v>
      </c>
      <c r="C386" s="1">
        <v>44133</v>
      </c>
      <c r="D386" t="s">
        <v>14</v>
      </c>
      <c r="E386" t="s">
        <v>88</v>
      </c>
      <c r="F386">
        <v>4</v>
      </c>
      <c r="G386">
        <v>6.25E-2</v>
      </c>
    </row>
    <row r="387" spans="1:7" x14ac:dyDescent="0.3">
      <c r="A387" t="s">
        <v>47</v>
      </c>
      <c r="B387" t="s">
        <v>21</v>
      </c>
      <c r="C387" s="1">
        <v>44133</v>
      </c>
      <c r="D387" t="s">
        <v>15</v>
      </c>
      <c r="E387" t="s">
        <v>98</v>
      </c>
      <c r="F387">
        <v>15</v>
      </c>
      <c r="G387">
        <v>0.22170000000000001</v>
      </c>
    </row>
    <row r="388" spans="1:7" x14ac:dyDescent="0.3">
      <c r="A388" t="s">
        <v>47</v>
      </c>
      <c r="B388" t="s">
        <v>21</v>
      </c>
      <c r="C388" s="1">
        <v>44133</v>
      </c>
      <c r="D388" t="s">
        <v>16</v>
      </c>
      <c r="E388" t="s">
        <v>89</v>
      </c>
      <c r="F388">
        <v>5</v>
      </c>
      <c r="G388">
        <v>0.125</v>
      </c>
    </row>
    <row r="389" spans="1:7" x14ac:dyDescent="0.3">
      <c r="A389" t="s">
        <v>47</v>
      </c>
      <c r="B389" t="s">
        <v>21</v>
      </c>
      <c r="C389" s="1">
        <v>44133</v>
      </c>
      <c r="D389" t="s">
        <v>60</v>
      </c>
      <c r="E389" t="s">
        <v>104</v>
      </c>
      <c r="F389">
        <v>22</v>
      </c>
      <c r="G389">
        <v>0.15590000000000001</v>
      </c>
    </row>
    <row r="390" spans="1:7" x14ac:dyDescent="0.3">
      <c r="A390" t="s">
        <v>47</v>
      </c>
      <c r="B390" t="s">
        <v>21</v>
      </c>
      <c r="C390" s="1">
        <v>44133</v>
      </c>
      <c r="D390" t="s">
        <v>17</v>
      </c>
      <c r="E390" t="s">
        <v>99</v>
      </c>
      <c r="F390">
        <v>16</v>
      </c>
      <c r="G390">
        <v>4.0500000000000001E-2</v>
      </c>
    </row>
    <row r="391" spans="1:7" x14ac:dyDescent="0.3">
      <c r="A391" t="s">
        <v>47</v>
      </c>
      <c r="B391" t="s">
        <v>21</v>
      </c>
      <c r="C391" s="1">
        <v>44133</v>
      </c>
      <c r="D391" t="s">
        <v>18</v>
      </c>
      <c r="E391" t="s">
        <v>90</v>
      </c>
      <c r="F391">
        <v>6</v>
      </c>
      <c r="G391">
        <v>0.125</v>
      </c>
    </row>
    <row r="392" spans="1:7" x14ac:dyDescent="0.3">
      <c r="A392" t="s">
        <v>47</v>
      </c>
      <c r="B392" t="s">
        <v>21</v>
      </c>
      <c r="C392" s="1">
        <v>44133</v>
      </c>
      <c r="D392" t="s">
        <v>19</v>
      </c>
      <c r="E392" t="s">
        <v>100</v>
      </c>
      <c r="F392">
        <v>17</v>
      </c>
      <c r="G392">
        <v>2.363</v>
      </c>
    </row>
    <row r="393" spans="1:7" x14ac:dyDescent="0.3">
      <c r="A393" t="s">
        <v>48</v>
      </c>
      <c r="B393" t="s">
        <v>24</v>
      </c>
      <c r="C393" s="1">
        <v>44133</v>
      </c>
      <c r="D393" t="s">
        <v>3</v>
      </c>
      <c r="E393" t="e">
        <v>#N/A</v>
      </c>
      <c r="F393" t="e">
        <v>#N/A</v>
      </c>
      <c r="G393" t="s">
        <v>25</v>
      </c>
    </row>
    <row r="394" spans="1:7" x14ac:dyDescent="0.3">
      <c r="A394" t="s">
        <v>48</v>
      </c>
      <c r="B394" t="s">
        <v>24</v>
      </c>
      <c r="C394" s="1">
        <v>44133</v>
      </c>
      <c r="D394" t="s">
        <v>4</v>
      </c>
      <c r="E394" t="e">
        <v>#N/A</v>
      </c>
      <c r="F394" t="e">
        <v>#N/A</v>
      </c>
      <c r="G394">
        <v>0.67800000000000005</v>
      </c>
    </row>
    <row r="395" spans="1:7" x14ac:dyDescent="0.3">
      <c r="A395" t="s">
        <v>48</v>
      </c>
      <c r="B395" t="s">
        <v>24</v>
      </c>
      <c r="C395" s="1">
        <v>44133</v>
      </c>
      <c r="D395" t="s">
        <v>5</v>
      </c>
      <c r="E395" t="e">
        <v>#N/A</v>
      </c>
      <c r="F395" t="e">
        <v>#N/A</v>
      </c>
      <c r="G395">
        <v>25800</v>
      </c>
    </row>
    <row r="396" spans="1:7" x14ac:dyDescent="0.3">
      <c r="A396" t="s">
        <v>48</v>
      </c>
      <c r="B396" t="s">
        <v>24</v>
      </c>
      <c r="C396" s="1">
        <v>44133</v>
      </c>
      <c r="D396" t="s">
        <v>6</v>
      </c>
      <c r="E396" t="e">
        <v>#N/A</v>
      </c>
      <c r="F396" t="e">
        <v>#N/A</v>
      </c>
      <c r="G396">
        <v>9.4499999999999993</v>
      </c>
    </row>
    <row r="397" spans="1:7" x14ac:dyDescent="0.3">
      <c r="A397" t="s">
        <v>48</v>
      </c>
      <c r="B397" t="s">
        <v>24</v>
      </c>
      <c r="C397" s="1">
        <v>44133</v>
      </c>
      <c r="D397" t="s">
        <v>7</v>
      </c>
      <c r="E397" t="e">
        <v>#N/A</v>
      </c>
      <c r="F397" t="e">
        <v>#N/A</v>
      </c>
      <c r="G397">
        <v>10.48</v>
      </c>
    </row>
    <row r="398" spans="1:7" x14ac:dyDescent="0.3">
      <c r="A398" t="s">
        <v>48</v>
      </c>
      <c r="B398" t="s">
        <v>24</v>
      </c>
      <c r="C398" s="1">
        <v>44133</v>
      </c>
      <c r="D398" t="s">
        <v>8</v>
      </c>
      <c r="E398" t="e">
        <v>#N/A</v>
      </c>
      <c r="F398" t="e">
        <v>#N/A</v>
      </c>
      <c r="G398">
        <v>74.8</v>
      </c>
    </row>
    <row r="399" spans="1:7" x14ac:dyDescent="0.3">
      <c r="A399" t="s">
        <v>48</v>
      </c>
      <c r="B399" t="s">
        <v>24</v>
      </c>
      <c r="C399" s="1">
        <v>44133</v>
      </c>
      <c r="D399" t="s">
        <v>9</v>
      </c>
      <c r="E399" t="s">
        <v>85</v>
      </c>
      <c r="F399">
        <v>1</v>
      </c>
      <c r="G399">
        <v>0.12820000000000001</v>
      </c>
    </row>
    <row r="400" spans="1:7" x14ac:dyDescent="0.3">
      <c r="A400" t="s">
        <v>48</v>
      </c>
      <c r="B400" t="s">
        <v>24</v>
      </c>
      <c r="C400" s="1">
        <v>44133</v>
      </c>
      <c r="D400" t="s">
        <v>10</v>
      </c>
      <c r="E400" t="s">
        <v>86</v>
      </c>
      <c r="F400">
        <v>2</v>
      </c>
      <c r="G400">
        <v>0.15840000000000001</v>
      </c>
    </row>
    <row r="401" spans="1:7" x14ac:dyDescent="0.3">
      <c r="A401" t="s">
        <v>48</v>
      </c>
      <c r="B401" t="s">
        <v>24</v>
      </c>
      <c r="C401" s="1">
        <v>44133</v>
      </c>
      <c r="D401" t="s">
        <v>11</v>
      </c>
      <c r="E401" t="s">
        <v>96</v>
      </c>
      <c r="F401">
        <v>13</v>
      </c>
      <c r="G401">
        <v>0.25019999999999998</v>
      </c>
    </row>
    <row r="402" spans="1:7" x14ac:dyDescent="0.3">
      <c r="A402" t="s">
        <v>48</v>
      </c>
      <c r="B402" t="s">
        <v>24</v>
      </c>
      <c r="C402" s="1">
        <v>44133</v>
      </c>
      <c r="D402" t="s">
        <v>12</v>
      </c>
      <c r="E402" t="s">
        <v>87</v>
      </c>
      <c r="F402">
        <v>3</v>
      </c>
      <c r="G402">
        <v>0.31540000000000001</v>
      </c>
    </row>
    <row r="403" spans="1:7" x14ac:dyDescent="0.3">
      <c r="A403" t="s">
        <v>48</v>
      </c>
      <c r="B403" t="s">
        <v>24</v>
      </c>
      <c r="C403" s="1">
        <v>44133</v>
      </c>
      <c r="D403" t="s">
        <v>13</v>
      </c>
      <c r="E403" t="s">
        <v>97</v>
      </c>
      <c r="F403">
        <v>14</v>
      </c>
      <c r="G403">
        <v>0.3226</v>
      </c>
    </row>
    <row r="404" spans="1:7" x14ac:dyDescent="0.3">
      <c r="A404" t="s">
        <v>48</v>
      </c>
      <c r="B404" t="s">
        <v>24</v>
      </c>
      <c r="C404" s="1">
        <v>44133</v>
      </c>
      <c r="D404" t="s">
        <v>14</v>
      </c>
      <c r="E404" t="s">
        <v>88</v>
      </c>
      <c r="F404">
        <v>4</v>
      </c>
      <c r="G404">
        <v>0.1663</v>
      </c>
    </row>
    <row r="405" spans="1:7" x14ac:dyDescent="0.3">
      <c r="A405" t="s">
        <v>48</v>
      </c>
      <c r="B405" t="s">
        <v>24</v>
      </c>
      <c r="C405" s="1">
        <v>44133</v>
      </c>
      <c r="D405" t="s">
        <v>15</v>
      </c>
      <c r="E405" t="s">
        <v>98</v>
      </c>
      <c r="F405">
        <v>15</v>
      </c>
      <c r="G405">
        <v>2.0529000000000002</v>
      </c>
    </row>
    <row r="406" spans="1:7" x14ac:dyDescent="0.3">
      <c r="A406" t="s">
        <v>48</v>
      </c>
      <c r="B406" t="s">
        <v>24</v>
      </c>
      <c r="C406" s="1">
        <v>44133</v>
      </c>
      <c r="D406" t="s">
        <v>16</v>
      </c>
      <c r="E406" t="s">
        <v>89</v>
      </c>
      <c r="F406">
        <v>5</v>
      </c>
      <c r="G406">
        <v>0.50619999999999998</v>
      </c>
    </row>
    <row r="407" spans="1:7" x14ac:dyDescent="0.3">
      <c r="A407" t="s">
        <v>48</v>
      </c>
      <c r="B407" t="s">
        <v>24</v>
      </c>
      <c r="C407" s="1">
        <v>44133</v>
      </c>
      <c r="D407" t="s">
        <v>60</v>
      </c>
      <c r="E407" t="s">
        <v>104</v>
      </c>
      <c r="F407">
        <v>22</v>
      </c>
      <c r="G407">
        <v>1.2777000000000001</v>
      </c>
    </row>
    <row r="408" spans="1:7" x14ac:dyDescent="0.3">
      <c r="A408" t="s">
        <v>48</v>
      </c>
      <c r="B408" t="s">
        <v>24</v>
      </c>
      <c r="C408" s="1">
        <v>44133</v>
      </c>
      <c r="D408" t="s">
        <v>17</v>
      </c>
      <c r="E408" t="s">
        <v>99</v>
      </c>
      <c r="F408">
        <v>16</v>
      </c>
      <c r="G408">
        <v>0.22650000000000001</v>
      </c>
    </row>
    <row r="409" spans="1:7" x14ac:dyDescent="0.3">
      <c r="A409" t="s">
        <v>48</v>
      </c>
      <c r="B409" t="s">
        <v>24</v>
      </c>
      <c r="C409" s="1">
        <v>44133</v>
      </c>
      <c r="D409" t="s">
        <v>18</v>
      </c>
      <c r="E409" t="s">
        <v>90</v>
      </c>
      <c r="F409">
        <v>6</v>
      </c>
      <c r="G409">
        <v>0.125</v>
      </c>
    </row>
    <row r="410" spans="1:7" x14ac:dyDescent="0.3">
      <c r="A410" t="s">
        <v>48</v>
      </c>
      <c r="B410" t="s">
        <v>24</v>
      </c>
      <c r="C410" s="1">
        <v>44133</v>
      </c>
      <c r="D410" t="s">
        <v>19</v>
      </c>
      <c r="E410" t="s">
        <v>100</v>
      </c>
      <c r="F410">
        <v>17</v>
      </c>
      <c r="G410">
        <v>14.071899999999999</v>
      </c>
    </row>
    <row r="411" spans="1:7" x14ac:dyDescent="0.3">
      <c r="A411" t="s">
        <v>49</v>
      </c>
      <c r="B411" t="s">
        <v>27</v>
      </c>
      <c r="C411" s="1">
        <v>44133</v>
      </c>
      <c r="D411" t="s">
        <v>3</v>
      </c>
      <c r="E411" t="e">
        <v>#N/A</v>
      </c>
      <c r="F411" t="e">
        <v>#N/A</v>
      </c>
      <c r="G411" t="s">
        <v>22</v>
      </c>
    </row>
    <row r="412" spans="1:7" x14ac:dyDescent="0.3">
      <c r="A412" t="s">
        <v>49</v>
      </c>
      <c r="B412" t="s">
        <v>27</v>
      </c>
      <c r="C412" s="1">
        <v>44133</v>
      </c>
      <c r="D412" t="s">
        <v>4</v>
      </c>
      <c r="E412" t="e">
        <v>#N/A</v>
      </c>
      <c r="F412" t="e">
        <v>#N/A</v>
      </c>
      <c r="G412">
        <v>0.19900000000000001</v>
      </c>
    </row>
    <row r="413" spans="1:7" x14ac:dyDescent="0.3">
      <c r="A413" t="s">
        <v>49</v>
      </c>
      <c r="B413" t="s">
        <v>27</v>
      </c>
      <c r="C413" s="1">
        <v>44133</v>
      </c>
      <c r="D413" t="s">
        <v>5</v>
      </c>
      <c r="E413" t="e">
        <v>#N/A</v>
      </c>
      <c r="F413" t="e">
        <v>#N/A</v>
      </c>
      <c r="G413">
        <v>11300</v>
      </c>
    </row>
    <row r="414" spans="1:7" x14ac:dyDescent="0.3">
      <c r="A414" t="s">
        <v>49</v>
      </c>
      <c r="B414" t="s">
        <v>27</v>
      </c>
      <c r="C414" s="1">
        <v>44133</v>
      </c>
      <c r="D414" t="s">
        <v>6</v>
      </c>
      <c r="E414" t="e">
        <v>#N/A</v>
      </c>
      <c r="F414" t="e">
        <v>#N/A</v>
      </c>
      <c r="G414">
        <v>5.37</v>
      </c>
    </row>
    <row r="415" spans="1:7" x14ac:dyDescent="0.3">
      <c r="A415" t="s">
        <v>49</v>
      </c>
      <c r="B415" t="s">
        <v>27</v>
      </c>
      <c r="C415" s="1">
        <v>44133</v>
      </c>
      <c r="D415" t="s">
        <v>7</v>
      </c>
      <c r="E415" t="e">
        <v>#N/A</v>
      </c>
      <c r="F415" t="e">
        <v>#N/A</v>
      </c>
      <c r="G415">
        <v>73.680000000000007</v>
      </c>
    </row>
    <row r="416" spans="1:7" x14ac:dyDescent="0.3">
      <c r="A416" t="s">
        <v>49</v>
      </c>
      <c r="B416" t="s">
        <v>27</v>
      </c>
      <c r="C416" s="1">
        <v>44133</v>
      </c>
      <c r="D416" t="s">
        <v>8</v>
      </c>
      <c r="E416" t="e">
        <v>#N/A</v>
      </c>
      <c r="F416" t="e">
        <v>#N/A</v>
      </c>
      <c r="G416">
        <v>46.2</v>
      </c>
    </row>
    <row r="417" spans="1:7" x14ac:dyDescent="0.3">
      <c r="A417" t="s">
        <v>49</v>
      </c>
      <c r="B417" t="s">
        <v>27</v>
      </c>
      <c r="C417" s="1">
        <v>44133</v>
      </c>
      <c r="D417" t="s">
        <v>9</v>
      </c>
      <c r="E417" t="s">
        <v>85</v>
      </c>
      <c r="F417">
        <v>1</v>
      </c>
      <c r="G417">
        <v>6.25E-2</v>
      </c>
    </row>
    <row r="418" spans="1:7" x14ac:dyDescent="0.3">
      <c r="A418" t="s">
        <v>49</v>
      </c>
      <c r="B418" t="s">
        <v>27</v>
      </c>
      <c r="C418" s="1">
        <v>44133</v>
      </c>
      <c r="D418" t="s">
        <v>10</v>
      </c>
      <c r="E418" t="s">
        <v>86</v>
      </c>
      <c r="F418">
        <v>2</v>
      </c>
      <c r="G418">
        <v>6.25E-2</v>
      </c>
    </row>
    <row r="419" spans="1:7" x14ac:dyDescent="0.3">
      <c r="A419" t="s">
        <v>49</v>
      </c>
      <c r="B419" t="s">
        <v>27</v>
      </c>
      <c r="C419" s="1">
        <v>44133</v>
      </c>
      <c r="D419" t="s">
        <v>11</v>
      </c>
      <c r="E419" t="s">
        <v>96</v>
      </c>
      <c r="F419">
        <v>13</v>
      </c>
      <c r="G419">
        <v>0.125</v>
      </c>
    </row>
    <row r="420" spans="1:7" x14ac:dyDescent="0.3">
      <c r="A420" t="s">
        <v>49</v>
      </c>
      <c r="B420" t="s">
        <v>27</v>
      </c>
      <c r="C420" s="1">
        <v>44133</v>
      </c>
      <c r="D420" t="s">
        <v>12</v>
      </c>
      <c r="E420" t="s">
        <v>87</v>
      </c>
      <c r="F420">
        <v>3</v>
      </c>
      <c r="G420">
        <v>0.1318</v>
      </c>
    </row>
    <row r="421" spans="1:7" x14ac:dyDescent="0.3">
      <c r="A421" t="s">
        <v>49</v>
      </c>
      <c r="B421" t="s">
        <v>27</v>
      </c>
      <c r="C421" s="1">
        <v>44133</v>
      </c>
      <c r="D421" t="s">
        <v>13</v>
      </c>
      <c r="E421" t="s">
        <v>97</v>
      </c>
      <c r="F421">
        <v>14</v>
      </c>
      <c r="G421">
        <v>6.25E-2</v>
      </c>
    </row>
    <row r="422" spans="1:7" x14ac:dyDescent="0.3">
      <c r="A422" t="s">
        <v>49</v>
      </c>
      <c r="B422" t="s">
        <v>27</v>
      </c>
      <c r="C422" s="1">
        <v>44133</v>
      </c>
      <c r="D422" t="s">
        <v>14</v>
      </c>
      <c r="E422" t="s">
        <v>88</v>
      </c>
      <c r="F422">
        <v>4</v>
      </c>
      <c r="G422">
        <v>6.25E-2</v>
      </c>
    </row>
    <row r="423" spans="1:7" x14ac:dyDescent="0.3">
      <c r="A423" t="s">
        <v>49</v>
      </c>
      <c r="B423" t="s">
        <v>27</v>
      </c>
      <c r="C423" s="1">
        <v>44133</v>
      </c>
      <c r="D423" t="s">
        <v>15</v>
      </c>
      <c r="E423" t="s">
        <v>98</v>
      </c>
      <c r="F423">
        <v>15</v>
      </c>
      <c r="G423">
        <v>0.1986</v>
      </c>
    </row>
    <row r="424" spans="1:7" x14ac:dyDescent="0.3">
      <c r="A424" t="s">
        <v>49</v>
      </c>
      <c r="B424" t="s">
        <v>27</v>
      </c>
      <c r="C424" s="1">
        <v>44133</v>
      </c>
      <c r="D424" t="s">
        <v>16</v>
      </c>
      <c r="E424" t="s">
        <v>89</v>
      </c>
      <c r="F424">
        <v>5</v>
      </c>
      <c r="G424">
        <v>0.125</v>
      </c>
    </row>
    <row r="425" spans="1:7" x14ac:dyDescent="0.3">
      <c r="A425" t="s">
        <v>49</v>
      </c>
      <c r="B425" t="s">
        <v>27</v>
      </c>
      <c r="C425" s="1">
        <v>44133</v>
      </c>
      <c r="D425" t="s">
        <v>60</v>
      </c>
      <c r="E425" t="s">
        <v>104</v>
      </c>
      <c r="F425">
        <v>22</v>
      </c>
      <c r="G425">
        <v>0.1711</v>
      </c>
    </row>
    <row r="426" spans="1:7" x14ac:dyDescent="0.3">
      <c r="A426" t="s">
        <v>49</v>
      </c>
      <c r="B426" t="s">
        <v>27</v>
      </c>
      <c r="C426" s="1">
        <v>44133</v>
      </c>
      <c r="D426" t="s">
        <v>17</v>
      </c>
      <c r="E426" t="s">
        <v>99</v>
      </c>
      <c r="F426">
        <v>16</v>
      </c>
      <c r="G426">
        <v>2.8500000000000001E-2</v>
      </c>
    </row>
    <row r="427" spans="1:7" x14ac:dyDescent="0.3">
      <c r="A427" t="s">
        <v>49</v>
      </c>
      <c r="B427" t="s">
        <v>27</v>
      </c>
      <c r="C427" s="1">
        <v>44133</v>
      </c>
      <c r="D427" t="s">
        <v>18</v>
      </c>
      <c r="E427" t="s">
        <v>90</v>
      </c>
      <c r="F427">
        <v>6</v>
      </c>
      <c r="G427">
        <v>0.125</v>
      </c>
    </row>
    <row r="428" spans="1:7" x14ac:dyDescent="0.3">
      <c r="A428" t="s">
        <v>49</v>
      </c>
      <c r="B428" t="s">
        <v>27</v>
      </c>
      <c r="C428" s="1">
        <v>44133</v>
      </c>
      <c r="D428" t="s">
        <v>19</v>
      </c>
      <c r="E428" t="s">
        <v>100</v>
      </c>
      <c r="F428">
        <v>17</v>
      </c>
      <c r="G428">
        <v>1.9838</v>
      </c>
    </row>
    <row r="429" spans="1:7" x14ac:dyDescent="0.3">
      <c r="A429" t="s">
        <v>50</v>
      </c>
      <c r="B429" t="s">
        <v>29</v>
      </c>
      <c r="C429" s="1">
        <v>44133</v>
      </c>
      <c r="D429" t="s">
        <v>3</v>
      </c>
      <c r="E429" t="e">
        <v>#N/A</v>
      </c>
      <c r="F429" t="e">
        <v>#N/A</v>
      </c>
      <c r="G429" t="s">
        <v>25</v>
      </c>
    </row>
    <row r="430" spans="1:7" x14ac:dyDescent="0.3">
      <c r="A430" t="s">
        <v>50</v>
      </c>
      <c r="B430" t="s">
        <v>29</v>
      </c>
      <c r="C430" s="1">
        <v>44133</v>
      </c>
      <c r="D430" t="s">
        <v>4</v>
      </c>
      <c r="E430" t="e">
        <v>#N/A</v>
      </c>
      <c r="F430" t="e">
        <v>#N/A</v>
      </c>
      <c r="G430">
        <v>0.67800000000000005</v>
      </c>
    </row>
    <row r="431" spans="1:7" x14ac:dyDescent="0.3">
      <c r="A431" t="s">
        <v>50</v>
      </c>
      <c r="B431" t="s">
        <v>29</v>
      </c>
      <c r="C431" s="1">
        <v>44133</v>
      </c>
      <c r="D431" t="s">
        <v>5</v>
      </c>
      <c r="E431" t="e">
        <v>#N/A</v>
      </c>
      <c r="F431" t="e">
        <v>#N/A</v>
      </c>
      <c r="G431">
        <v>103000</v>
      </c>
    </row>
    <row r="432" spans="1:7" x14ac:dyDescent="0.3">
      <c r="A432" t="s">
        <v>50</v>
      </c>
      <c r="B432" t="s">
        <v>29</v>
      </c>
      <c r="C432" s="1">
        <v>44133</v>
      </c>
      <c r="D432" t="s">
        <v>6</v>
      </c>
      <c r="E432" t="e">
        <v>#N/A</v>
      </c>
      <c r="F432" t="e">
        <v>#N/A</v>
      </c>
      <c r="G432">
        <v>2.3199999999999998</v>
      </c>
    </row>
    <row r="433" spans="1:7" x14ac:dyDescent="0.3">
      <c r="A433" t="s">
        <v>50</v>
      </c>
      <c r="B433" t="s">
        <v>29</v>
      </c>
      <c r="C433" s="1">
        <v>44133</v>
      </c>
      <c r="D433" t="s">
        <v>7</v>
      </c>
      <c r="E433" t="e">
        <v>#N/A</v>
      </c>
      <c r="F433" t="e">
        <v>#N/A</v>
      </c>
      <c r="G433">
        <v>7.97</v>
      </c>
    </row>
    <row r="434" spans="1:7" x14ac:dyDescent="0.3">
      <c r="A434" t="s">
        <v>50</v>
      </c>
      <c r="B434" t="s">
        <v>29</v>
      </c>
      <c r="C434" s="1">
        <v>44133</v>
      </c>
      <c r="D434" t="s">
        <v>8</v>
      </c>
      <c r="E434" t="e">
        <v>#N/A</v>
      </c>
      <c r="F434" t="e">
        <v>#N/A</v>
      </c>
      <c r="G434">
        <v>74.599999999999994</v>
      </c>
    </row>
    <row r="435" spans="1:7" x14ac:dyDescent="0.3">
      <c r="A435" t="s">
        <v>50</v>
      </c>
      <c r="B435" t="s">
        <v>29</v>
      </c>
      <c r="C435" s="1">
        <v>44133</v>
      </c>
      <c r="D435" t="s">
        <v>9</v>
      </c>
      <c r="E435" t="s">
        <v>85</v>
      </c>
      <c r="F435">
        <v>1</v>
      </c>
      <c r="G435">
        <v>0.1275</v>
      </c>
    </row>
    <row r="436" spans="1:7" x14ac:dyDescent="0.3">
      <c r="A436" t="s">
        <v>50</v>
      </c>
      <c r="B436" t="s">
        <v>29</v>
      </c>
      <c r="C436" s="1">
        <v>44133</v>
      </c>
      <c r="D436" t="s">
        <v>10</v>
      </c>
      <c r="E436" t="s">
        <v>86</v>
      </c>
      <c r="F436">
        <v>2</v>
      </c>
      <c r="G436">
        <v>0.1552</v>
      </c>
    </row>
    <row r="437" spans="1:7" x14ac:dyDescent="0.3">
      <c r="A437" t="s">
        <v>50</v>
      </c>
      <c r="B437" t="s">
        <v>29</v>
      </c>
      <c r="C437" s="1">
        <v>44133</v>
      </c>
      <c r="D437" t="s">
        <v>11</v>
      </c>
      <c r="E437" t="s">
        <v>96</v>
      </c>
      <c r="F437">
        <v>13</v>
      </c>
      <c r="G437">
        <v>0.32640000000000002</v>
      </c>
    </row>
    <row r="438" spans="1:7" x14ac:dyDescent="0.3">
      <c r="A438" t="s">
        <v>50</v>
      </c>
      <c r="B438" t="s">
        <v>29</v>
      </c>
      <c r="C438" s="1">
        <v>44133</v>
      </c>
      <c r="D438" t="s">
        <v>12</v>
      </c>
      <c r="E438" t="s">
        <v>87</v>
      </c>
      <c r="F438">
        <v>3</v>
      </c>
      <c r="G438">
        <v>0.45269999999999999</v>
      </c>
    </row>
    <row r="439" spans="1:7" x14ac:dyDescent="0.3">
      <c r="A439" t="s">
        <v>50</v>
      </c>
      <c r="B439" t="s">
        <v>29</v>
      </c>
      <c r="C439" s="1">
        <v>44133</v>
      </c>
      <c r="D439" t="s">
        <v>13</v>
      </c>
      <c r="E439" t="s">
        <v>97</v>
      </c>
      <c r="F439">
        <v>14</v>
      </c>
      <c r="G439">
        <v>0.3846</v>
      </c>
    </row>
    <row r="440" spans="1:7" x14ac:dyDescent="0.3">
      <c r="A440" t="s">
        <v>50</v>
      </c>
      <c r="B440" t="s">
        <v>29</v>
      </c>
      <c r="C440" s="1">
        <v>44133</v>
      </c>
      <c r="D440" t="s">
        <v>14</v>
      </c>
      <c r="E440" t="s">
        <v>88</v>
      </c>
      <c r="F440">
        <v>4</v>
      </c>
      <c r="G440">
        <v>0.1482</v>
      </c>
    </row>
    <row r="441" spans="1:7" x14ac:dyDescent="0.3">
      <c r="A441" t="s">
        <v>50</v>
      </c>
      <c r="B441" t="s">
        <v>29</v>
      </c>
      <c r="C441" s="1">
        <v>44133</v>
      </c>
      <c r="D441" t="s">
        <v>15</v>
      </c>
      <c r="E441" t="s">
        <v>98</v>
      </c>
      <c r="F441">
        <v>15</v>
      </c>
      <c r="G441">
        <v>2.7288999999999999</v>
      </c>
    </row>
    <row r="442" spans="1:7" x14ac:dyDescent="0.3">
      <c r="A442" t="s">
        <v>50</v>
      </c>
      <c r="B442" t="s">
        <v>29</v>
      </c>
      <c r="C442" s="1">
        <v>44133</v>
      </c>
      <c r="D442" t="s">
        <v>16</v>
      </c>
      <c r="E442" t="s">
        <v>89</v>
      </c>
      <c r="F442">
        <v>5</v>
      </c>
      <c r="G442">
        <v>0.497</v>
      </c>
    </row>
    <row r="443" spans="1:7" x14ac:dyDescent="0.3">
      <c r="A443" t="s">
        <v>50</v>
      </c>
      <c r="B443" t="s">
        <v>29</v>
      </c>
      <c r="C443" s="1">
        <v>44133</v>
      </c>
      <c r="D443" t="s">
        <v>60</v>
      </c>
      <c r="E443" t="s">
        <v>104</v>
      </c>
      <c r="F443">
        <v>22</v>
      </c>
      <c r="G443">
        <v>2.0617000000000001</v>
      </c>
    </row>
    <row r="444" spans="1:7" x14ac:dyDescent="0.3">
      <c r="A444" t="s">
        <v>50</v>
      </c>
      <c r="B444" t="s">
        <v>29</v>
      </c>
      <c r="C444" s="1">
        <v>44133</v>
      </c>
      <c r="D444" t="s">
        <v>17</v>
      </c>
      <c r="E444" t="s">
        <v>99</v>
      </c>
      <c r="F444">
        <v>16</v>
      </c>
      <c r="G444">
        <v>0.59199999999999997</v>
      </c>
    </row>
    <row r="445" spans="1:7" x14ac:dyDescent="0.3">
      <c r="A445" t="s">
        <v>50</v>
      </c>
      <c r="B445" t="s">
        <v>29</v>
      </c>
      <c r="C445" s="1">
        <v>44133</v>
      </c>
      <c r="D445" t="s">
        <v>18</v>
      </c>
      <c r="E445" t="s">
        <v>90</v>
      </c>
      <c r="F445">
        <v>6</v>
      </c>
      <c r="G445">
        <v>0.125</v>
      </c>
    </row>
    <row r="446" spans="1:7" x14ac:dyDescent="0.3">
      <c r="A446" t="s">
        <v>50</v>
      </c>
      <c r="B446" t="s">
        <v>29</v>
      </c>
      <c r="C446" s="1">
        <v>44133</v>
      </c>
      <c r="D446" t="s">
        <v>19</v>
      </c>
      <c r="E446" t="s">
        <v>100</v>
      </c>
      <c r="F446">
        <v>17</v>
      </c>
      <c r="G446">
        <v>21.900500000000001</v>
      </c>
    </row>
    <row r="447" spans="1:7" x14ac:dyDescent="0.3">
      <c r="A447" t="s">
        <v>51</v>
      </c>
      <c r="B447" t="s">
        <v>21</v>
      </c>
      <c r="C447" s="1">
        <v>44138</v>
      </c>
      <c r="D447" t="s">
        <v>3</v>
      </c>
      <c r="E447" t="e">
        <v>#N/A</v>
      </c>
      <c r="F447" t="e">
        <v>#N/A</v>
      </c>
      <c r="G447" t="s">
        <v>22</v>
      </c>
    </row>
    <row r="448" spans="1:7" x14ac:dyDescent="0.3">
      <c r="A448" t="s">
        <v>51</v>
      </c>
      <c r="B448" t="s">
        <v>21</v>
      </c>
      <c r="C448" s="1">
        <v>44138</v>
      </c>
      <c r="D448" t="s">
        <v>4</v>
      </c>
      <c r="E448" t="e">
        <v>#N/A</v>
      </c>
      <c r="F448" t="e">
        <v>#N/A</v>
      </c>
      <c r="G448">
        <v>0.19900000000000001</v>
      </c>
    </row>
    <row r="449" spans="1:7" x14ac:dyDescent="0.3">
      <c r="A449" t="s">
        <v>51</v>
      </c>
      <c r="B449" t="s">
        <v>21</v>
      </c>
      <c r="C449" s="1">
        <v>44138</v>
      </c>
      <c r="D449" t="s">
        <v>5</v>
      </c>
      <c r="E449" t="e">
        <v>#N/A</v>
      </c>
      <c r="F449" t="e">
        <v>#N/A</v>
      </c>
      <c r="G449">
        <v>6940</v>
      </c>
    </row>
    <row r="450" spans="1:7" x14ac:dyDescent="0.3">
      <c r="A450" t="s">
        <v>51</v>
      </c>
      <c r="B450" t="s">
        <v>21</v>
      </c>
      <c r="C450" s="1">
        <v>44138</v>
      </c>
      <c r="D450" t="s">
        <v>6</v>
      </c>
      <c r="E450" t="e">
        <v>#N/A</v>
      </c>
      <c r="F450" t="e">
        <v>#N/A</v>
      </c>
      <c r="G450">
        <v>21.37</v>
      </c>
    </row>
    <row r="451" spans="1:7" x14ac:dyDescent="0.3">
      <c r="A451" t="s">
        <v>51</v>
      </c>
      <c r="B451" t="s">
        <v>21</v>
      </c>
      <c r="C451" s="1">
        <v>44138</v>
      </c>
      <c r="D451" t="s">
        <v>7</v>
      </c>
      <c r="E451" t="e">
        <v>#N/A</v>
      </c>
      <c r="F451" t="e">
        <v>#N/A</v>
      </c>
      <c r="G451">
        <v>61.91</v>
      </c>
    </row>
    <row r="452" spans="1:7" x14ac:dyDescent="0.3">
      <c r="A452" t="s">
        <v>51</v>
      </c>
      <c r="B452" t="s">
        <v>21</v>
      </c>
      <c r="C452" s="1">
        <v>44138</v>
      </c>
      <c r="D452" t="s">
        <v>8</v>
      </c>
      <c r="E452" t="e">
        <v>#N/A</v>
      </c>
      <c r="F452" t="e">
        <v>#N/A</v>
      </c>
      <c r="G452">
        <v>28.8</v>
      </c>
    </row>
    <row r="453" spans="1:7" x14ac:dyDescent="0.3">
      <c r="A453" t="s">
        <v>51</v>
      </c>
      <c r="B453" t="s">
        <v>21</v>
      </c>
      <c r="C453" s="1">
        <v>44138</v>
      </c>
      <c r="D453" t="s">
        <v>9</v>
      </c>
      <c r="E453" t="s">
        <v>85</v>
      </c>
      <c r="F453">
        <v>1</v>
      </c>
      <c r="G453">
        <v>6.25E-2</v>
      </c>
    </row>
    <row r="454" spans="1:7" x14ac:dyDescent="0.3">
      <c r="A454" t="s">
        <v>51</v>
      </c>
      <c r="B454" t="s">
        <v>21</v>
      </c>
      <c r="C454" s="1">
        <v>44138</v>
      </c>
      <c r="D454" t="s">
        <v>10</v>
      </c>
      <c r="E454" t="s">
        <v>86</v>
      </c>
      <c r="F454">
        <v>2</v>
      </c>
      <c r="G454">
        <v>6.25E-2</v>
      </c>
    </row>
    <row r="455" spans="1:7" x14ac:dyDescent="0.3">
      <c r="A455" t="s">
        <v>51</v>
      </c>
      <c r="B455" t="s">
        <v>21</v>
      </c>
      <c r="C455" s="1">
        <v>44138</v>
      </c>
      <c r="D455" t="s">
        <v>11</v>
      </c>
      <c r="E455" t="s">
        <v>96</v>
      </c>
      <c r="F455">
        <v>13</v>
      </c>
      <c r="G455">
        <v>0.125</v>
      </c>
    </row>
    <row r="456" spans="1:7" x14ac:dyDescent="0.3">
      <c r="A456" t="s">
        <v>51</v>
      </c>
      <c r="B456" t="s">
        <v>21</v>
      </c>
      <c r="C456" s="1">
        <v>44138</v>
      </c>
      <c r="D456" t="s">
        <v>12</v>
      </c>
      <c r="E456" t="s">
        <v>87</v>
      </c>
      <c r="F456">
        <v>3</v>
      </c>
      <c r="G456">
        <v>6.25E-2</v>
      </c>
    </row>
    <row r="457" spans="1:7" x14ac:dyDescent="0.3">
      <c r="A457" t="s">
        <v>51</v>
      </c>
      <c r="B457" t="s">
        <v>21</v>
      </c>
      <c r="C457" s="1">
        <v>44138</v>
      </c>
      <c r="D457" t="s">
        <v>13</v>
      </c>
      <c r="E457" t="s">
        <v>97</v>
      </c>
      <c r="F457">
        <v>14</v>
      </c>
      <c r="G457">
        <v>6.25E-2</v>
      </c>
    </row>
    <row r="458" spans="1:7" x14ac:dyDescent="0.3">
      <c r="A458" t="s">
        <v>51</v>
      </c>
      <c r="B458" t="s">
        <v>21</v>
      </c>
      <c r="C458" s="1">
        <v>44138</v>
      </c>
      <c r="D458" t="s">
        <v>14</v>
      </c>
      <c r="E458" t="s">
        <v>88</v>
      </c>
      <c r="F458">
        <v>4</v>
      </c>
      <c r="G458">
        <v>6.25E-2</v>
      </c>
    </row>
    <row r="459" spans="1:7" x14ac:dyDescent="0.3">
      <c r="A459" t="s">
        <v>51</v>
      </c>
      <c r="B459" t="s">
        <v>21</v>
      </c>
      <c r="C459" s="1">
        <v>44138</v>
      </c>
      <c r="D459" t="s">
        <v>15</v>
      </c>
      <c r="E459" t="s">
        <v>98</v>
      </c>
      <c r="F459">
        <v>15</v>
      </c>
      <c r="G459">
        <v>0.1807</v>
      </c>
    </row>
    <row r="460" spans="1:7" x14ac:dyDescent="0.3">
      <c r="A460" t="s">
        <v>51</v>
      </c>
      <c r="B460" t="s">
        <v>21</v>
      </c>
      <c r="C460" s="1">
        <v>44138</v>
      </c>
      <c r="D460" t="s">
        <v>16</v>
      </c>
      <c r="E460" t="s">
        <v>89</v>
      </c>
      <c r="F460">
        <v>5</v>
      </c>
      <c r="G460">
        <v>0.125</v>
      </c>
    </row>
    <row r="461" spans="1:7" x14ac:dyDescent="0.3">
      <c r="A461" t="s">
        <v>51</v>
      </c>
      <c r="B461" t="s">
        <v>21</v>
      </c>
      <c r="C461" s="1">
        <v>44138</v>
      </c>
      <c r="D461" t="s">
        <v>60</v>
      </c>
      <c r="E461" t="s">
        <v>104</v>
      </c>
      <c r="F461">
        <v>22</v>
      </c>
      <c r="G461">
        <v>0.16589999999999999</v>
      </c>
    </row>
    <row r="462" spans="1:7" x14ac:dyDescent="0.3">
      <c r="A462" t="s">
        <v>51</v>
      </c>
      <c r="B462" t="s">
        <v>21</v>
      </c>
      <c r="C462" s="1">
        <v>44138</v>
      </c>
      <c r="D462" t="s">
        <v>18</v>
      </c>
      <c r="E462" t="s">
        <v>90</v>
      </c>
      <c r="F462">
        <v>6</v>
      </c>
      <c r="G462">
        <v>0.125</v>
      </c>
    </row>
    <row r="463" spans="1:7" x14ac:dyDescent="0.3">
      <c r="A463" t="s">
        <v>51</v>
      </c>
      <c r="B463" t="s">
        <v>21</v>
      </c>
      <c r="C463" s="1">
        <v>44138</v>
      </c>
      <c r="D463" t="s">
        <v>19</v>
      </c>
      <c r="E463" t="s">
        <v>100</v>
      </c>
      <c r="F463">
        <v>17</v>
      </c>
      <c r="G463">
        <v>1.6272</v>
      </c>
    </row>
    <row r="464" spans="1:7" x14ac:dyDescent="0.3">
      <c r="A464" t="s">
        <v>52</v>
      </c>
      <c r="B464" t="s">
        <v>27</v>
      </c>
      <c r="C464" s="1">
        <v>44138</v>
      </c>
      <c r="D464" t="s">
        <v>3</v>
      </c>
      <c r="E464" t="e">
        <v>#N/A</v>
      </c>
      <c r="F464" t="e">
        <v>#N/A</v>
      </c>
      <c r="G464" t="s">
        <v>22</v>
      </c>
    </row>
    <row r="465" spans="1:7" x14ac:dyDescent="0.3">
      <c r="A465" t="s">
        <v>52</v>
      </c>
      <c r="B465" t="s">
        <v>27</v>
      </c>
      <c r="C465" s="1">
        <v>44138</v>
      </c>
      <c r="D465" t="s">
        <v>4</v>
      </c>
      <c r="E465" t="e">
        <v>#N/A</v>
      </c>
      <c r="F465" t="e">
        <v>#N/A</v>
      </c>
      <c r="G465">
        <v>0.67800000000000005</v>
      </c>
    </row>
    <row r="466" spans="1:7" x14ac:dyDescent="0.3">
      <c r="A466" t="s">
        <v>52</v>
      </c>
      <c r="B466" t="s">
        <v>27</v>
      </c>
      <c r="C466" s="1">
        <v>44138</v>
      </c>
      <c r="D466" t="s">
        <v>5</v>
      </c>
      <c r="E466" t="e">
        <v>#N/A</v>
      </c>
      <c r="F466" t="e">
        <v>#N/A</v>
      </c>
      <c r="G466">
        <v>11300</v>
      </c>
    </row>
    <row r="467" spans="1:7" x14ac:dyDescent="0.3">
      <c r="A467" t="s">
        <v>52</v>
      </c>
      <c r="B467" t="s">
        <v>27</v>
      </c>
      <c r="C467" s="1">
        <v>44138</v>
      </c>
      <c r="D467" t="s">
        <v>6</v>
      </c>
      <c r="E467" t="e">
        <v>#N/A</v>
      </c>
      <c r="F467" t="e">
        <v>#N/A</v>
      </c>
      <c r="G467">
        <v>5.37</v>
      </c>
    </row>
    <row r="468" spans="1:7" x14ac:dyDescent="0.3">
      <c r="A468" t="s">
        <v>52</v>
      </c>
      <c r="B468" t="s">
        <v>27</v>
      </c>
      <c r="C468" s="1">
        <v>44138</v>
      </c>
      <c r="D468" t="s">
        <v>7</v>
      </c>
      <c r="E468" t="e">
        <v>#N/A</v>
      </c>
      <c r="F468" t="e">
        <v>#N/A</v>
      </c>
      <c r="G468">
        <v>73.680000000000007</v>
      </c>
    </row>
    <row r="469" spans="1:7" x14ac:dyDescent="0.3">
      <c r="A469" t="s">
        <v>52</v>
      </c>
      <c r="B469" t="s">
        <v>27</v>
      </c>
      <c r="C469" s="1">
        <v>44138</v>
      </c>
      <c r="D469" t="s">
        <v>8</v>
      </c>
      <c r="E469" t="e">
        <v>#N/A</v>
      </c>
      <c r="F469" t="e">
        <v>#N/A</v>
      </c>
      <c r="G469">
        <v>46.2</v>
      </c>
    </row>
    <row r="470" spans="1:7" x14ac:dyDescent="0.3">
      <c r="A470" t="s">
        <v>52</v>
      </c>
      <c r="B470" t="s">
        <v>27</v>
      </c>
      <c r="C470" s="1">
        <v>44138</v>
      </c>
      <c r="D470" t="s">
        <v>9</v>
      </c>
      <c r="E470" t="s">
        <v>85</v>
      </c>
      <c r="F470">
        <v>1</v>
      </c>
      <c r="G470">
        <v>6.25E-2</v>
      </c>
    </row>
    <row r="471" spans="1:7" x14ac:dyDescent="0.3">
      <c r="A471" t="s">
        <v>52</v>
      </c>
      <c r="B471" t="s">
        <v>27</v>
      </c>
      <c r="C471" s="1">
        <v>44138</v>
      </c>
      <c r="D471" t="s">
        <v>10</v>
      </c>
      <c r="E471" t="s">
        <v>86</v>
      </c>
      <c r="F471">
        <v>2</v>
      </c>
      <c r="G471">
        <v>6.25E-2</v>
      </c>
    </row>
    <row r="472" spans="1:7" x14ac:dyDescent="0.3">
      <c r="A472" t="s">
        <v>52</v>
      </c>
      <c r="B472" t="s">
        <v>27</v>
      </c>
      <c r="C472" s="1">
        <v>44138</v>
      </c>
      <c r="D472" t="s">
        <v>11</v>
      </c>
      <c r="E472" t="s">
        <v>96</v>
      </c>
      <c r="F472">
        <v>13</v>
      </c>
      <c r="G472">
        <v>0.125</v>
      </c>
    </row>
    <row r="473" spans="1:7" x14ac:dyDescent="0.3">
      <c r="A473" t="s">
        <v>52</v>
      </c>
      <c r="B473" t="s">
        <v>27</v>
      </c>
      <c r="C473" s="1">
        <v>44138</v>
      </c>
      <c r="D473" t="s">
        <v>12</v>
      </c>
      <c r="E473" t="s">
        <v>87</v>
      </c>
      <c r="F473">
        <v>3</v>
      </c>
      <c r="G473">
        <v>6.25E-2</v>
      </c>
    </row>
    <row r="474" spans="1:7" x14ac:dyDescent="0.3">
      <c r="A474" t="s">
        <v>52</v>
      </c>
      <c r="B474" t="s">
        <v>27</v>
      </c>
      <c r="C474" s="1">
        <v>44138</v>
      </c>
      <c r="D474" t="s">
        <v>13</v>
      </c>
      <c r="E474" t="s">
        <v>97</v>
      </c>
      <c r="F474">
        <v>14</v>
      </c>
      <c r="G474">
        <v>0.12379999999999999</v>
      </c>
    </row>
    <row r="475" spans="1:7" x14ac:dyDescent="0.3">
      <c r="A475" t="s">
        <v>52</v>
      </c>
      <c r="B475" t="s">
        <v>27</v>
      </c>
      <c r="C475" s="1">
        <v>44138</v>
      </c>
      <c r="D475" t="s">
        <v>14</v>
      </c>
      <c r="E475" t="s">
        <v>88</v>
      </c>
      <c r="F475">
        <v>4</v>
      </c>
      <c r="G475">
        <v>6.25E-2</v>
      </c>
    </row>
    <row r="476" spans="1:7" x14ac:dyDescent="0.3">
      <c r="A476" t="s">
        <v>52</v>
      </c>
      <c r="B476" t="s">
        <v>27</v>
      </c>
      <c r="C476" s="1">
        <v>44138</v>
      </c>
      <c r="D476" t="s">
        <v>15</v>
      </c>
      <c r="E476" t="s">
        <v>98</v>
      </c>
      <c r="F476">
        <v>15</v>
      </c>
      <c r="G476">
        <v>0.3342</v>
      </c>
    </row>
    <row r="477" spans="1:7" x14ac:dyDescent="0.3">
      <c r="A477" t="s">
        <v>52</v>
      </c>
      <c r="B477" t="s">
        <v>27</v>
      </c>
      <c r="C477" s="1">
        <v>44138</v>
      </c>
      <c r="D477" t="s">
        <v>16</v>
      </c>
      <c r="E477" t="s">
        <v>89</v>
      </c>
      <c r="F477">
        <v>5</v>
      </c>
      <c r="G477">
        <v>0.125</v>
      </c>
    </row>
    <row r="478" spans="1:7" x14ac:dyDescent="0.3">
      <c r="A478" t="s">
        <v>52</v>
      </c>
      <c r="B478" t="s">
        <v>27</v>
      </c>
      <c r="C478" s="1">
        <v>44138</v>
      </c>
      <c r="D478" t="s">
        <v>60</v>
      </c>
      <c r="E478" t="s">
        <v>104</v>
      </c>
      <c r="F478">
        <v>22</v>
      </c>
      <c r="G478">
        <v>0.14749999999999999</v>
      </c>
    </row>
    <row r="479" spans="1:7" x14ac:dyDescent="0.3">
      <c r="A479" t="s">
        <v>52</v>
      </c>
      <c r="B479" t="s">
        <v>27</v>
      </c>
      <c r="C479" s="1">
        <v>44138</v>
      </c>
      <c r="D479" t="s">
        <v>17</v>
      </c>
      <c r="E479" t="s">
        <v>99</v>
      </c>
      <c r="F479">
        <v>16</v>
      </c>
      <c r="G479">
        <v>5.2600000000000001E-2</v>
      </c>
    </row>
    <row r="480" spans="1:7" x14ac:dyDescent="0.3">
      <c r="A480" t="s">
        <v>52</v>
      </c>
      <c r="B480" t="s">
        <v>27</v>
      </c>
      <c r="C480" s="1">
        <v>44138</v>
      </c>
      <c r="D480" t="s">
        <v>18</v>
      </c>
      <c r="E480" t="s">
        <v>90</v>
      </c>
      <c r="F480">
        <v>6</v>
      </c>
      <c r="G480">
        <v>0.125</v>
      </c>
    </row>
    <row r="481" spans="1:7" x14ac:dyDescent="0.3">
      <c r="A481" t="s">
        <v>52</v>
      </c>
      <c r="B481" t="s">
        <v>27</v>
      </c>
      <c r="C481" s="1">
        <v>44138</v>
      </c>
      <c r="D481" t="s">
        <v>19</v>
      </c>
      <c r="E481" t="s">
        <v>100</v>
      </c>
      <c r="F481">
        <v>17</v>
      </c>
      <c r="G481">
        <v>2.7298</v>
      </c>
    </row>
    <row r="482" spans="1:7" x14ac:dyDescent="0.3">
      <c r="A482" t="s">
        <v>53</v>
      </c>
      <c r="B482" t="s">
        <v>21</v>
      </c>
      <c r="C482" s="1">
        <v>44140</v>
      </c>
      <c r="D482" t="s">
        <v>3</v>
      </c>
      <c r="E482" t="e">
        <v>#N/A</v>
      </c>
      <c r="F482" t="e">
        <v>#N/A</v>
      </c>
      <c r="G482" t="s">
        <v>22</v>
      </c>
    </row>
    <row r="483" spans="1:7" x14ac:dyDescent="0.3">
      <c r="A483" t="s">
        <v>53</v>
      </c>
      <c r="B483" t="s">
        <v>21</v>
      </c>
      <c r="C483" s="1">
        <v>44140</v>
      </c>
      <c r="D483" t="s">
        <v>4</v>
      </c>
      <c r="E483" t="e">
        <v>#N/A</v>
      </c>
      <c r="F483" t="e">
        <v>#N/A</v>
      </c>
      <c r="G483">
        <v>0.19900000000000001</v>
      </c>
    </row>
    <row r="484" spans="1:7" x14ac:dyDescent="0.3">
      <c r="A484" t="s">
        <v>53</v>
      </c>
      <c r="B484" t="s">
        <v>21</v>
      </c>
      <c r="C484" s="1">
        <v>44140</v>
      </c>
      <c r="D484" t="s">
        <v>5</v>
      </c>
      <c r="E484" t="e">
        <v>#N/A</v>
      </c>
      <c r="F484" t="e">
        <v>#N/A</v>
      </c>
      <c r="G484">
        <v>6940</v>
      </c>
    </row>
    <row r="485" spans="1:7" x14ac:dyDescent="0.3">
      <c r="A485" t="s">
        <v>53</v>
      </c>
      <c r="B485" t="s">
        <v>21</v>
      </c>
      <c r="C485" s="1">
        <v>44140</v>
      </c>
      <c r="D485" t="s">
        <v>6</v>
      </c>
      <c r="E485" t="e">
        <v>#N/A</v>
      </c>
      <c r="F485" t="e">
        <v>#N/A</v>
      </c>
      <c r="G485">
        <v>21.37</v>
      </c>
    </row>
    <row r="486" spans="1:7" x14ac:dyDescent="0.3">
      <c r="A486" t="s">
        <v>53</v>
      </c>
      <c r="B486" t="s">
        <v>21</v>
      </c>
      <c r="C486" s="1">
        <v>44140</v>
      </c>
      <c r="D486" t="s">
        <v>7</v>
      </c>
      <c r="E486" t="e">
        <v>#N/A</v>
      </c>
      <c r="F486" t="e">
        <v>#N/A</v>
      </c>
      <c r="G486">
        <v>61.91</v>
      </c>
    </row>
    <row r="487" spans="1:7" x14ac:dyDescent="0.3">
      <c r="A487" t="s">
        <v>53</v>
      </c>
      <c r="B487" t="s">
        <v>21</v>
      </c>
      <c r="C487" s="1">
        <v>44140</v>
      </c>
      <c r="D487" t="s">
        <v>8</v>
      </c>
      <c r="E487" t="e">
        <v>#N/A</v>
      </c>
      <c r="F487" t="e">
        <v>#N/A</v>
      </c>
      <c r="G487">
        <v>28.8</v>
      </c>
    </row>
    <row r="488" spans="1:7" x14ac:dyDescent="0.3">
      <c r="A488" t="s">
        <v>53</v>
      </c>
      <c r="B488" t="s">
        <v>21</v>
      </c>
      <c r="C488" s="1">
        <v>44140</v>
      </c>
      <c r="D488" t="s">
        <v>9</v>
      </c>
      <c r="E488" t="s">
        <v>85</v>
      </c>
      <c r="F488">
        <v>1</v>
      </c>
      <c r="G488">
        <v>6.25E-2</v>
      </c>
    </row>
    <row r="489" spans="1:7" x14ac:dyDescent="0.3">
      <c r="A489" t="s">
        <v>53</v>
      </c>
      <c r="B489" t="s">
        <v>21</v>
      </c>
      <c r="C489" s="1">
        <v>44140</v>
      </c>
      <c r="D489" t="s">
        <v>10</v>
      </c>
      <c r="E489" t="s">
        <v>86</v>
      </c>
      <c r="F489">
        <v>2</v>
      </c>
      <c r="G489">
        <v>6.25E-2</v>
      </c>
    </row>
    <row r="490" spans="1:7" x14ac:dyDescent="0.3">
      <c r="A490" t="s">
        <v>53</v>
      </c>
      <c r="B490" t="s">
        <v>21</v>
      </c>
      <c r="C490" s="1">
        <v>44140</v>
      </c>
      <c r="D490" t="s">
        <v>11</v>
      </c>
      <c r="E490" t="s">
        <v>96</v>
      </c>
      <c r="F490">
        <v>13</v>
      </c>
      <c r="G490">
        <v>0.125</v>
      </c>
    </row>
    <row r="491" spans="1:7" x14ac:dyDescent="0.3">
      <c r="A491" t="s">
        <v>53</v>
      </c>
      <c r="B491" t="s">
        <v>21</v>
      </c>
      <c r="C491" s="1">
        <v>44140</v>
      </c>
      <c r="D491" t="s">
        <v>12</v>
      </c>
      <c r="E491" t="s">
        <v>87</v>
      </c>
      <c r="F491">
        <v>3</v>
      </c>
      <c r="G491">
        <v>6.25E-2</v>
      </c>
    </row>
    <row r="492" spans="1:7" x14ac:dyDescent="0.3">
      <c r="A492" t="s">
        <v>53</v>
      </c>
      <c r="B492" t="s">
        <v>21</v>
      </c>
      <c r="C492" s="1">
        <v>44140</v>
      </c>
      <c r="D492" t="s">
        <v>13</v>
      </c>
      <c r="E492" t="s">
        <v>97</v>
      </c>
      <c r="F492">
        <v>14</v>
      </c>
      <c r="G492">
        <v>6.25E-2</v>
      </c>
    </row>
    <row r="493" spans="1:7" x14ac:dyDescent="0.3">
      <c r="A493" t="s">
        <v>53</v>
      </c>
      <c r="B493" t="s">
        <v>21</v>
      </c>
      <c r="C493" s="1">
        <v>44140</v>
      </c>
      <c r="D493" t="s">
        <v>14</v>
      </c>
      <c r="E493" t="s">
        <v>88</v>
      </c>
      <c r="F493">
        <v>4</v>
      </c>
      <c r="G493">
        <v>6.25E-2</v>
      </c>
    </row>
    <row r="494" spans="1:7" x14ac:dyDescent="0.3">
      <c r="A494" t="s">
        <v>53</v>
      </c>
      <c r="B494" t="s">
        <v>21</v>
      </c>
      <c r="C494" s="1">
        <v>44140</v>
      </c>
      <c r="D494" t="s">
        <v>15</v>
      </c>
      <c r="E494" t="s">
        <v>98</v>
      </c>
      <c r="F494">
        <v>15</v>
      </c>
      <c r="G494">
        <v>0.2001</v>
      </c>
    </row>
    <row r="495" spans="1:7" x14ac:dyDescent="0.3">
      <c r="A495" t="s">
        <v>53</v>
      </c>
      <c r="B495" t="s">
        <v>21</v>
      </c>
      <c r="C495" s="1">
        <v>44140</v>
      </c>
      <c r="D495" t="s">
        <v>16</v>
      </c>
      <c r="E495" t="s">
        <v>89</v>
      </c>
      <c r="F495">
        <v>5</v>
      </c>
      <c r="G495">
        <v>0.125</v>
      </c>
    </row>
    <row r="496" spans="1:7" x14ac:dyDescent="0.3">
      <c r="A496" t="s">
        <v>53</v>
      </c>
      <c r="B496" t="s">
        <v>21</v>
      </c>
      <c r="C496" s="1">
        <v>44140</v>
      </c>
      <c r="D496" t="s">
        <v>60</v>
      </c>
      <c r="E496" t="s">
        <v>104</v>
      </c>
      <c r="F496">
        <v>22</v>
      </c>
      <c r="G496">
        <v>0.22670000000000001</v>
      </c>
    </row>
    <row r="497" spans="1:7" x14ac:dyDescent="0.3">
      <c r="A497" t="s">
        <v>53</v>
      </c>
      <c r="B497" t="s">
        <v>21</v>
      </c>
      <c r="C497" s="1">
        <v>44140</v>
      </c>
      <c r="D497" t="s">
        <v>17</v>
      </c>
      <c r="E497" t="s">
        <v>99</v>
      </c>
      <c r="F497">
        <v>16</v>
      </c>
      <c r="G497">
        <v>1.2500000000000001E-2</v>
      </c>
    </row>
    <row r="498" spans="1:7" x14ac:dyDescent="0.3">
      <c r="A498" t="s">
        <v>53</v>
      </c>
      <c r="B498" t="s">
        <v>21</v>
      </c>
      <c r="C498" s="1">
        <v>44140</v>
      </c>
      <c r="D498" t="s">
        <v>18</v>
      </c>
      <c r="E498" t="s">
        <v>90</v>
      </c>
      <c r="F498">
        <v>6</v>
      </c>
      <c r="G498">
        <v>0.125</v>
      </c>
    </row>
    <row r="499" spans="1:7" x14ac:dyDescent="0.3">
      <c r="A499" t="s">
        <v>53</v>
      </c>
      <c r="B499" t="s">
        <v>21</v>
      </c>
      <c r="C499" s="1">
        <v>44140</v>
      </c>
      <c r="D499" t="s">
        <v>19</v>
      </c>
      <c r="E499" t="s">
        <v>100</v>
      </c>
      <c r="F499">
        <v>17</v>
      </c>
      <c r="G499">
        <v>3.0945</v>
      </c>
    </row>
    <row r="500" spans="1:7" x14ac:dyDescent="0.3">
      <c r="A500" t="s">
        <v>54</v>
      </c>
      <c r="B500" t="s">
        <v>27</v>
      </c>
      <c r="C500" s="1">
        <v>44140</v>
      </c>
      <c r="D500" t="s">
        <v>3</v>
      </c>
      <c r="E500" t="e">
        <v>#N/A</v>
      </c>
      <c r="F500" t="e">
        <v>#N/A</v>
      </c>
      <c r="G500" t="s">
        <v>22</v>
      </c>
    </row>
    <row r="501" spans="1:7" x14ac:dyDescent="0.3">
      <c r="A501" t="s">
        <v>54</v>
      </c>
      <c r="B501" t="s">
        <v>27</v>
      </c>
      <c r="C501" s="1">
        <v>44140</v>
      </c>
      <c r="D501" t="s">
        <v>4</v>
      </c>
      <c r="E501" t="e">
        <v>#N/A</v>
      </c>
      <c r="F501" t="e">
        <v>#N/A</v>
      </c>
      <c r="G501">
        <v>0.19900000000000001</v>
      </c>
    </row>
    <row r="502" spans="1:7" x14ac:dyDescent="0.3">
      <c r="A502" t="s">
        <v>54</v>
      </c>
      <c r="B502" t="s">
        <v>27</v>
      </c>
      <c r="C502" s="1">
        <v>44140</v>
      </c>
      <c r="D502" t="s">
        <v>5</v>
      </c>
      <c r="E502" t="e">
        <v>#N/A</v>
      </c>
      <c r="F502" t="e">
        <v>#N/A</v>
      </c>
      <c r="G502">
        <v>11300</v>
      </c>
    </row>
    <row r="503" spans="1:7" x14ac:dyDescent="0.3">
      <c r="A503" t="s">
        <v>54</v>
      </c>
      <c r="B503" t="s">
        <v>27</v>
      </c>
      <c r="C503" s="1">
        <v>44140</v>
      </c>
      <c r="D503" t="s">
        <v>6</v>
      </c>
      <c r="E503" t="e">
        <v>#N/A</v>
      </c>
      <c r="F503" t="e">
        <v>#N/A</v>
      </c>
      <c r="G503">
        <v>5.37</v>
      </c>
    </row>
    <row r="504" spans="1:7" x14ac:dyDescent="0.3">
      <c r="A504" t="s">
        <v>54</v>
      </c>
      <c r="B504" t="s">
        <v>27</v>
      </c>
      <c r="C504" s="1">
        <v>44140</v>
      </c>
      <c r="D504" t="s">
        <v>7</v>
      </c>
      <c r="E504" t="e">
        <v>#N/A</v>
      </c>
      <c r="F504" t="e">
        <v>#N/A</v>
      </c>
      <c r="G504">
        <v>73.680000000000007</v>
      </c>
    </row>
    <row r="505" spans="1:7" x14ac:dyDescent="0.3">
      <c r="A505" t="s">
        <v>54</v>
      </c>
      <c r="B505" t="s">
        <v>27</v>
      </c>
      <c r="C505" s="1">
        <v>44140</v>
      </c>
      <c r="D505" t="s">
        <v>8</v>
      </c>
      <c r="E505" t="e">
        <v>#N/A</v>
      </c>
      <c r="F505" t="e">
        <v>#N/A</v>
      </c>
      <c r="G505">
        <v>46.2</v>
      </c>
    </row>
    <row r="506" spans="1:7" x14ac:dyDescent="0.3">
      <c r="A506" t="s">
        <v>54</v>
      </c>
      <c r="B506" t="s">
        <v>27</v>
      </c>
      <c r="C506" s="1">
        <v>44140</v>
      </c>
      <c r="D506" t="s">
        <v>9</v>
      </c>
      <c r="E506" t="s">
        <v>85</v>
      </c>
      <c r="F506">
        <v>1</v>
      </c>
      <c r="G506">
        <v>6.25E-2</v>
      </c>
    </row>
    <row r="507" spans="1:7" x14ac:dyDescent="0.3">
      <c r="A507" t="s">
        <v>54</v>
      </c>
      <c r="B507" t="s">
        <v>27</v>
      </c>
      <c r="C507" s="1">
        <v>44140</v>
      </c>
      <c r="D507" t="s">
        <v>10</v>
      </c>
      <c r="E507" t="s">
        <v>86</v>
      </c>
      <c r="F507">
        <v>2</v>
      </c>
      <c r="G507">
        <v>6.25E-2</v>
      </c>
    </row>
    <row r="508" spans="1:7" x14ac:dyDescent="0.3">
      <c r="A508" t="s">
        <v>54</v>
      </c>
      <c r="B508" t="s">
        <v>27</v>
      </c>
      <c r="C508" s="1">
        <v>44140</v>
      </c>
      <c r="D508" t="s">
        <v>11</v>
      </c>
      <c r="E508" t="s">
        <v>96</v>
      </c>
      <c r="F508">
        <v>13</v>
      </c>
      <c r="G508">
        <v>0.125</v>
      </c>
    </row>
    <row r="509" spans="1:7" x14ac:dyDescent="0.3">
      <c r="A509" t="s">
        <v>54</v>
      </c>
      <c r="B509" t="s">
        <v>27</v>
      </c>
      <c r="C509" s="1">
        <v>44140</v>
      </c>
      <c r="D509" t="s">
        <v>12</v>
      </c>
      <c r="E509" t="s">
        <v>87</v>
      </c>
      <c r="F509">
        <v>3</v>
      </c>
      <c r="G509">
        <v>6.25E-2</v>
      </c>
    </row>
    <row r="510" spans="1:7" x14ac:dyDescent="0.3">
      <c r="A510" t="s">
        <v>54</v>
      </c>
      <c r="B510" t="s">
        <v>27</v>
      </c>
      <c r="C510" s="1">
        <v>44140</v>
      </c>
      <c r="D510" t="s">
        <v>13</v>
      </c>
      <c r="E510" t="s">
        <v>97</v>
      </c>
      <c r="F510">
        <v>14</v>
      </c>
      <c r="G510">
        <v>0.28220000000000001</v>
      </c>
    </row>
    <row r="511" spans="1:7" x14ac:dyDescent="0.3">
      <c r="A511" t="s">
        <v>54</v>
      </c>
      <c r="B511" t="s">
        <v>27</v>
      </c>
      <c r="C511" s="1">
        <v>44140</v>
      </c>
      <c r="D511" t="s">
        <v>14</v>
      </c>
      <c r="E511" t="s">
        <v>88</v>
      </c>
      <c r="F511">
        <v>4</v>
      </c>
      <c r="G511">
        <v>6.25E-2</v>
      </c>
    </row>
    <row r="512" spans="1:7" x14ac:dyDescent="0.3">
      <c r="A512" t="s">
        <v>54</v>
      </c>
      <c r="B512" t="s">
        <v>27</v>
      </c>
      <c r="C512" s="1">
        <v>44140</v>
      </c>
      <c r="D512" t="s">
        <v>15</v>
      </c>
      <c r="E512" t="s">
        <v>98</v>
      </c>
      <c r="F512">
        <v>15</v>
      </c>
      <c r="G512">
        <v>0.25969999999999999</v>
      </c>
    </row>
    <row r="513" spans="1:7" x14ac:dyDescent="0.3">
      <c r="A513" t="s">
        <v>54</v>
      </c>
      <c r="B513" t="s">
        <v>27</v>
      </c>
      <c r="C513" s="1">
        <v>44140</v>
      </c>
      <c r="D513" t="s">
        <v>16</v>
      </c>
      <c r="E513" t="s">
        <v>89</v>
      </c>
      <c r="F513">
        <v>5</v>
      </c>
      <c r="G513">
        <v>0.125</v>
      </c>
    </row>
    <row r="514" spans="1:7" x14ac:dyDescent="0.3">
      <c r="A514" t="s">
        <v>54</v>
      </c>
      <c r="B514" t="s">
        <v>27</v>
      </c>
      <c r="C514" s="1">
        <v>44140</v>
      </c>
      <c r="D514" t="s">
        <v>60</v>
      </c>
      <c r="E514" t="s">
        <v>104</v>
      </c>
      <c r="F514">
        <v>22</v>
      </c>
      <c r="G514">
        <v>0.14779999999999999</v>
      </c>
    </row>
    <row r="515" spans="1:7" x14ac:dyDescent="0.3">
      <c r="A515" t="s">
        <v>54</v>
      </c>
      <c r="B515" t="s">
        <v>27</v>
      </c>
      <c r="C515" s="1">
        <v>44140</v>
      </c>
      <c r="D515" t="s">
        <v>17</v>
      </c>
      <c r="E515" t="s">
        <v>99</v>
      </c>
      <c r="F515">
        <v>16</v>
      </c>
      <c r="G515">
        <v>8.2699999999999996E-2</v>
      </c>
    </row>
    <row r="516" spans="1:7" x14ac:dyDescent="0.3">
      <c r="A516" t="s">
        <v>54</v>
      </c>
      <c r="B516" t="s">
        <v>27</v>
      </c>
      <c r="C516" s="1">
        <v>44140</v>
      </c>
      <c r="D516" t="s">
        <v>18</v>
      </c>
      <c r="E516" t="s">
        <v>90</v>
      </c>
      <c r="F516">
        <v>6</v>
      </c>
      <c r="G516">
        <v>0.125</v>
      </c>
    </row>
    <row r="517" spans="1:7" x14ac:dyDescent="0.3">
      <c r="A517" t="s">
        <v>54</v>
      </c>
      <c r="B517" t="s">
        <v>27</v>
      </c>
      <c r="C517" s="1">
        <v>44140</v>
      </c>
      <c r="D517" t="s">
        <v>19</v>
      </c>
      <c r="E517" t="s">
        <v>100</v>
      </c>
      <c r="F517">
        <v>17</v>
      </c>
      <c r="G517">
        <v>2.6074000000000002</v>
      </c>
    </row>
    <row r="518" spans="1:7" x14ac:dyDescent="0.3">
      <c r="A518" t="s">
        <v>55</v>
      </c>
      <c r="B518" t="s">
        <v>29</v>
      </c>
      <c r="C518" s="1">
        <v>44140</v>
      </c>
      <c r="D518" t="s">
        <v>3</v>
      </c>
      <c r="E518" t="e">
        <v>#N/A</v>
      </c>
      <c r="F518" t="e">
        <v>#N/A</v>
      </c>
      <c r="G518" t="s">
        <v>25</v>
      </c>
    </row>
    <row r="519" spans="1:7" x14ac:dyDescent="0.3">
      <c r="A519" t="s">
        <v>55</v>
      </c>
      <c r="B519" t="s">
        <v>29</v>
      </c>
      <c r="C519" s="1">
        <v>44140</v>
      </c>
      <c r="D519" t="s">
        <v>4</v>
      </c>
      <c r="E519" t="e">
        <v>#N/A</v>
      </c>
      <c r="F519" t="e">
        <v>#N/A</v>
      </c>
      <c r="G519">
        <v>0.45600000000000002</v>
      </c>
    </row>
    <row r="520" spans="1:7" x14ac:dyDescent="0.3">
      <c r="A520" t="s">
        <v>55</v>
      </c>
      <c r="B520" t="s">
        <v>29</v>
      </c>
      <c r="C520" s="1">
        <v>44140</v>
      </c>
      <c r="D520" t="s">
        <v>5</v>
      </c>
      <c r="E520" t="e">
        <v>#N/A</v>
      </c>
      <c r="F520" t="e">
        <v>#N/A</v>
      </c>
      <c r="G520">
        <v>103000</v>
      </c>
    </row>
    <row r="521" spans="1:7" x14ac:dyDescent="0.3">
      <c r="A521" t="s">
        <v>55</v>
      </c>
      <c r="B521" t="s">
        <v>29</v>
      </c>
      <c r="C521" s="1">
        <v>44140</v>
      </c>
      <c r="D521" t="s">
        <v>6</v>
      </c>
      <c r="E521" t="e">
        <v>#N/A</v>
      </c>
      <c r="F521" t="e">
        <v>#N/A</v>
      </c>
      <c r="G521">
        <v>2.3199999999999998</v>
      </c>
    </row>
    <row r="522" spans="1:7" x14ac:dyDescent="0.3">
      <c r="A522" t="s">
        <v>55</v>
      </c>
      <c r="B522" t="s">
        <v>29</v>
      </c>
      <c r="C522" s="1">
        <v>44140</v>
      </c>
      <c r="D522" t="s">
        <v>7</v>
      </c>
      <c r="E522" t="e">
        <v>#N/A</v>
      </c>
      <c r="F522" t="e">
        <v>#N/A</v>
      </c>
      <c r="G522">
        <v>7.97</v>
      </c>
    </row>
    <row r="523" spans="1:7" x14ac:dyDescent="0.3">
      <c r="A523" t="s">
        <v>55</v>
      </c>
      <c r="B523" t="s">
        <v>29</v>
      </c>
      <c r="C523" s="1">
        <v>44140</v>
      </c>
      <c r="D523" t="s">
        <v>8</v>
      </c>
      <c r="E523" t="e">
        <v>#N/A</v>
      </c>
      <c r="F523" t="e">
        <v>#N/A</v>
      </c>
      <c r="G523">
        <v>74.599999999999994</v>
      </c>
    </row>
    <row r="524" spans="1:7" x14ac:dyDescent="0.3">
      <c r="A524" t="s">
        <v>55</v>
      </c>
      <c r="B524" t="s">
        <v>29</v>
      </c>
      <c r="C524" s="1">
        <v>44140</v>
      </c>
      <c r="D524" t="s">
        <v>9</v>
      </c>
      <c r="E524" t="s">
        <v>85</v>
      </c>
      <c r="F524">
        <v>1</v>
      </c>
      <c r="G524">
        <v>6.25E-2</v>
      </c>
    </row>
    <row r="525" spans="1:7" x14ac:dyDescent="0.3">
      <c r="A525" t="s">
        <v>55</v>
      </c>
      <c r="B525" t="s">
        <v>29</v>
      </c>
      <c r="C525" s="1">
        <v>44140</v>
      </c>
      <c r="D525" t="s">
        <v>11</v>
      </c>
      <c r="E525" t="s">
        <v>96</v>
      </c>
      <c r="F525">
        <v>13</v>
      </c>
      <c r="G525">
        <v>0.41099999999999998</v>
      </c>
    </row>
    <row r="526" spans="1:7" x14ac:dyDescent="0.3">
      <c r="A526" t="s">
        <v>55</v>
      </c>
      <c r="B526" t="s">
        <v>29</v>
      </c>
      <c r="C526" s="1">
        <v>44140</v>
      </c>
      <c r="D526" t="s">
        <v>12</v>
      </c>
      <c r="E526" t="s">
        <v>87</v>
      </c>
      <c r="F526">
        <v>3</v>
      </c>
      <c r="G526">
        <v>0.27429999999999999</v>
      </c>
    </row>
    <row r="527" spans="1:7" x14ac:dyDescent="0.3">
      <c r="A527" t="s">
        <v>55</v>
      </c>
      <c r="B527" t="s">
        <v>29</v>
      </c>
      <c r="C527" s="1">
        <v>44140</v>
      </c>
      <c r="D527" t="s">
        <v>13</v>
      </c>
      <c r="E527" t="s">
        <v>97</v>
      </c>
      <c r="F527">
        <v>14</v>
      </c>
      <c r="G527">
        <v>0.43380000000000002</v>
      </c>
    </row>
    <row r="528" spans="1:7" x14ac:dyDescent="0.3">
      <c r="A528" t="s">
        <v>55</v>
      </c>
      <c r="B528" t="s">
        <v>29</v>
      </c>
      <c r="C528" s="1">
        <v>44140</v>
      </c>
      <c r="D528" t="s">
        <v>14</v>
      </c>
      <c r="E528" t="s">
        <v>88</v>
      </c>
      <c r="F528">
        <v>4</v>
      </c>
      <c r="G528">
        <v>0.2291</v>
      </c>
    </row>
    <row r="529" spans="1:7" x14ac:dyDescent="0.3">
      <c r="A529" t="s">
        <v>55</v>
      </c>
      <c r="B529" t="s">
        <v>29</v>
      </c>
      <c r="C529" s="1">
        <v>44140</v>
      </c>
      <c r="D529" t="s">
        <v>15</v>
      </c>
      <c r="E529" t="s">
        <v>98</v>
      </c>
      <c r="F529">
        <v>15</v>
      </c>
      <c r="G529">
        <v>2.71</v>
      </c>
    </row>
    <row r="530" spans="1:7" x14ac:dyDescent="0.3">
      <c r="A530" t="s">
        <v>55</v>
      </c>
      <c r="B530" t="s">
        <v>29</v>
      </c>
      <c r="C530" s="1">
        <v>44140</v>
      </c>
      <c r="D530" t="s">
        <v>16</v>
      </c>
      <c r="E530" t="s">
        <v>89</v>
      </c>
      <c r="F530">
        <v>5</v>
      </c>
      <c r="G530">
        <v>0.41099999999999998</v>
      </c>
    </row>
    <row r="531" spans="1:7" x14ac:dyDescent="0.3">
      <c r="A531" t="s">
        <v>55</v>
      </c>
      <c r="B531" t="s">
        <v>29</v>
      </c>
      <c r="C531" s="1">
        <v>44140</v>
      </c>
      <c r="D531" t="s">
        <v>60</v>
      </c>
      <c r="E531" t="s">
        <v>104</v>
      </c>
      <c r="F531">
        <v>22</v>
      </c>
      <c r="G531">
        <v>1.5748</v>
      </c>
    </row>
    <row r="532" spans="1:7" x14ac:dyDescent="0.3">
      <c r="A532" t="s">
        <v>55</v>
      </c>
      <c r="B532" t="s">
        <v>29</v>
      </c>
      <c r="C532" s="1">
        <v>44140</v>
      </c>
      <c r="D532" t="s">
        <v>17</v>
      </c>
      <c r="E532" t="s">
        <v>99</v>
      </c>
      <c r="F532">
        <v>16</v>
      </c>
      <c r="G532">
        <v>0.32279999999999998</v>
      </c>
    </row>
    <row r="533" spans="1:7" x14ac:dyDescent="0.3">
      <c r="A533" t="s">
        <v>55</v>
      </c>
      <c r="B533" t="s">
        <v>29</v>
      </c>
      <c r="C533" s="1">
        <v>44140</v>
      </c>
      <c r="D533" t="s">
        <v>18</v>
      </c>
      <c r="E533" t="s">
        <v>90</v>
      </c>
      <c r="F533">
        <v>6</v>
      </c>
      <c r="G533">
        <v>0.1333</v>
      </c>
    </row>
    <row r="534" spans="1:7" x14ac:dyDescent="0.3">
      <c r="A534" t="s">
        <v>55</v>
      </c>
      <c r="B534" t="s">
        <v>29</v>
      </c>
      <c r="C534" s="1">
        <v>44140</v>
      </c>
      <c r="D534" t="s">
        <v>19</v>
      </c>
      <c r="E534" t="s">
        <v>100</v>
      </c>
      <c r="F534">
        <v>17</v>
      </c>
      <c r="G534">
        <v>30.675000000000001</v>
      </c>
    </row>
    <row r="535" spans="1:7" x14ac:dyDescent="0.3">
      <c r="A535" t="s">
        <v>56</v>
      </c>
      <c r="B535" t="s">
        <v>21</v>
      </c>
      <c r="C535" s="1">
        <v>44145</v>
      </c>
      <c r="D535" t="s">
        <v>3</v>
      </c>
      <c r="E535" t="e">
        <v>#N/A</v>
      </c>
      <c r="F535" t="e">
        <v>#N/A</v>
      </c>
      <c r="G535" t="s">
        <v>22</v>
      </c>
    </row>
    <row r="536" spans="1:7" x14ac:dyDescent="0.3">
      <c r="A536" t="s">
        <v>56</v>
      </c>
      <c r="B536" t="s">
        <v>21</v>
      </c>
      <c r="C536" s="1">
        <v>44145</v>
      </c>
      <c r="D536" t="s">
        <v>4</v>
      </c>
      <c r="E536" t="e">
        <v>#N/A</v>
      </c>
      <c r="F536" t="e">
        <v>#N/A</v>
      </c>
      <c r="G536">
        <v>0.67800000000000005</v>
      </c>
    </row>
    <row r="537" spans="1:7" x14ac:dyDescent="0.3">
      <c r="A537" t="s">
        <v>56</v>
      </c>
      <c r="B537" t="s">
        <v>21</v>
      </c>
      <c r="C537" s="1">
        <v>44145</v>
      </c>
      <c r="D537" t="s">
        <v>5</v>
      </c>
      <c r="E537" t="e">
        <v>#N/A</v>
      </c>
      <c r="F537" t="e">
        <v>#N/A</v>
      </c>
      <c r="G537">
        <v>6940</v>
      </c>
    </row>
    <row r="538" spans="1:7" x14ac:dyDescent="0.3">
      <c r="A538" t="s">
        <v>56</v>
      </c>
      <c r="B538" t="s">
        <v>21</v>
      </c>
      <c r="C538" s="1">
        <v>44145</v>
      </c>
      <c r="D538" t="s">
        <v>6</v>
      </c>
      <c r="E538" t="e">
        <v>#N/A</v>
      </c>
      <c r="F538" t="e">
        <v>#N/A</v>
      </c>
      <c r="G538">
        <v>21.37</v>
      </c>
    </row>
    <row r="539" spans="1:7" x14ac:dyDescent="0.3">
      <c r="A539" t="s">
        <v>56</v>
      </c>
      <c r="B539" t="s">
        <v>21</v>
      </c>
      <c r="C539" s="1">
        <v>44145</v>
      </c>
      <c r="D539" t="s">
        <v>7</v>
      </c>
      <c r="E539" t="e">
        <v>#N/A</v>
      </c>
      <c r="F539" t="e">
        <v>#N/A</v>
      </c>
      <c r="G539">
        <v>61.91</v>
      </c>
    </row>
    <row r="540" spans="1:7" x14ac:dyDescent="0.3">
      <c r="A540" t="s">
        <v>56</v>
      </c>
      <c r="B540" t="s">
        <v>21</v>
      </c>
      <c r="C540" s="1">
        <v>44145</v>
      </c>
      <c r="D540" t="s">
        <v>8</v>
      </c>
      <c r="E540" t="e">
        <v>#N/A</v>
      </c>
      <c r="F540" t="e">
        <v>#N/A</v>
      </c>
      <c r="G540">
        <v>28.8</v>
      </c>
    </row>
    <row r="541" spans="1:7" x14ac:dyDescent="0.3">
      <c r="A541" t="s">
        <v>56</v>
      </c>
      <c r="B541" t="s">
        <v>21</v>
      </c>
      <c r="C541" s="1">
        <v>44145</v>
      </c>
      <c r="D541" t="s">
        <v>9</v>
      </c>
      <c r="E541" t="s">
        <v>85</v>
      </c>
      <c r="F541">
        <v>1</v>
      </c>
      <c r="G541">
        <v>6.25E-2</v>
      </c>
    </row>
    <row r="542" spans="1:7" x14ac:dyDescent="0.3">
      <c r="A542" t="s">
        <v>56</v>
      </c>
      <c r="B542" t="s">
        <v>21</v>
      </c>
      <c r="C542" s="1">
        <v>44145</v>
      </c>
      <c r="D542" t="s">
        <v>10</v>
      </c>
      <c r="E542" t="s">
        <v>86</v>
      </c>
      <c r="F542">
        <v>2</v>
      </c>
      <c r="G542">
        <v>6.25E-2</v>
      </c>
    </row>
    <row r="543" spans="1:7" x14ac:dyDescent="0.3">
      <c r="A543" t="s">
        <v>56</v>
      </c>
      <c r="B543" t="s">
        <v>21</v>
      </c>
      <c r="C543" s="1">
        <v>44145</v>
      </c>
      <c r="D543" t="s">
        <v>11</v>
      </c>
      <c r="E543" t="s">
        <v>96</v>
      </c>
      <c r="F543">
        <v>13</v>
      </c>
      <c r="G543">
        <v>0.125</v>
      </c>
    </row>
    <row r="544" spans="1:7" x14ac:dyDescent="0.3">
      <c r="A544" t="s">
        <v>56</v>
      </c>
      <c r="B544" t="s">
        <v>21</v>
      </c>
      <c r="C544" s="1">
        <v>44145</v>
      </c>
      <c r="D544" t="s">
        <v>12</v>
      </c>
      <c r="E544" t="s">
        <v>87</v>
      </c>
      <c r="F544">
        <v>3</v>
      </c>
      <c r="G544">
        <v>0.12670000000000001</v>
      </c>
    </row>
    <row r="545" spans="1:7" x14ac:dyDescent="0.3">
      <c r="A545" t="s">
        <v>56</v>
      </c>
      <c r="B545" t="s">
        <v>21</v>
      </c>
      <c r="C545" s="1">
        <v>44145</v>
      </c>
      <c r="D545" t="s">
        <v>13</v>
      </c>
      <c r="E545" t="s">
        <v>97</v>
      </c>
      <c r="F545">
        <v>14</v>
      </c>
      <c r="G545">
        <v>0.1779</v>
      </c>
    </row>
    <row r="546" spans="1:7" x14ac:dyDescent="0.3">
      <c r="A546" t="s">
        <v>56</v>
      </c>
      <c r="B546" t="s">
        <v>21</v>
      </c>
      <c r="C546" s="1">
        <v>44145</v>
      </c>
      <c r="D546" t="s">
        <v>14</v>
      </c>
      <c r="E546" t="s">
        <v>88</v>
      </c>
      <c r="F546">
        <v>4</v>
      </c>
      <c r="G546">
        <v>6.25E-2</v>
      </c>
    </row>
    <row r="547" spans="1:7" x14ac:dyDescent="0.3">
      <c r="A547" t="s">
        <v>56</v>
      </c>
      <c r="B547" t="s">
        <v>21</v>
      </c>
      <c r="C547" s="1">
        <v>44145</v>
      </c>
      <c r="D547" t="s">
        <v>15</v>
      </c>
      <c r="E547" t="s">
        <v>98</v>
      </c>
      <c r="F547">
        <v>15</v>
      </c>
      <c r="G547">
        <v>0.4118</v>
      </c>
    </row>
    <row r="548" spans="1:7" x14ac:dyDescent="0.3">
      <c r="A548" t="s">
        <v>56</v>
      </c>
      <c r="B548" t="s">
        <v>21</v>
      </c>
      <c r="C548" s="1">
        <v>44145</v>
      </c>
      <c r="D548" t="s">
        <v>16</v>
      </c>
      <c r="E548" t="s">
        <v>89</v>
      </c>
      <c r="F548">
        <v>5</v>
      </c>
      <c r="G548">
        <v>0.125</v>
      </c>
    </row>
    <row r="549" spans="1:7" x14ac:dyDescent="0.3">
      <c r="A549" t="s">
        <v>56</v>
      </c>
      <c r="B549" t="s">
        <v>21</v>
      </c>
      <c r="C549" s="1">
        <v>44145</v>
      </c>
      <c r="D549" t="s">
        <v>60</v>
      </c>
      <c r="E549" t="s">
        <v>104</v>
      </c>
      <c r="F549">
        <v>22</v>
      </c>
      <c r="G549">
        <v>0.1275</v>
      </c>
    </row>
    <row r="550" spans="1:7" x14ac:dyDescent="0.3">
      <c r="A550" t="s">
        <v>56</v>
      </c>
      <c r="B550" t="s">
        <v>21</v>
      </c>
      <c r="C550" s="1">
        <v>44145</v>
      </c>
      <c r="D550" t="s">
        <v>17</v>
      </c>
      <c r="E550" t="s">
        <v>99</v>
      </c>
      <c r="F550">
        <v>16</v>
      </c>
      <c r="G550">
        <v>5.7000000000000002E-2</v>
      </c>
    </row>
    <row r="551" spans="1:7" x14ac:dyDescent="0.3">
      <c r="A551" t="s">
        <v>56</v>
      </c>
      <c r="B551" t="s">
        <v>21</v>
      </c>
      <c r="C551" s="1">
        <v>44145</v>
      </c>
      <c r="D551" t="s">
        <v>18</v>
      </c>
      <c r="E551" t="s">
        <v>90</v>
      </c>
      <c r="F551">
        <v>6</v>
      </c>
      <c r="G551">
        <v>0.125</v>
      </c>
    </row>
    <row r="552" spans="1:7" x14ac:dyDescent="0.3">
      <c r="A552" t="s">
        <v>56</v>
      </c>
      <c r="B552" t="s">
        <v>21</v>
      </c>
      <c r="C552" s="1">
        <v>44145</v>
      </c>
      <c r="D552" t="s">
        <v>19</v>
      </c>
      <c r="E552" t="s">
        <v>100</v>
      </c>
      <c r="F552">
        <v>17</v>
      </c>
      <c r="G552">
        <v>3.4689999999999999</v>
      </c>
    </row>
    <row r="553" spans="1:7" x14ac:dyDescent="0.3">
      <c r="A553" t="s">
        <v>57</v>
      </c>
      <c r="B553" t="s">
        <v>24</v>
      </c>
      <c r="C553" s="1">
        <v>44145</v>
      </c>
      <c r="D553" t="s">
        <v>3</v>
      </c>
      <c r="E553" t="e">
        <v>#N/A</v>
      </c>
      <c r="F553" t="e">
        <v>#N/A</v>
      </c>
      <c r="G553" t="s">
        <v>25</v>
      </c>
    </row>
    <row r="554" spans="1:7" x14ac:dyDescent="0.3">
      <c r="A554" t="s">
        <v>57</v>
      </c>
      <c r="B554" t="s">
        <v>24</v>
      </c>
      <c r="C554" s="1">
        <v>44145</v>
      </c>
      <c r="D554" t="s">
        <v>4</v>
      </c>
      <c r="E554" t="e">
        <v>#N/A</v>
      </c>
      <c r="F554" t="e">
        <v>#N/A</v>
      </c>
      <c r="G554">
        <v>0.64800000000000002</v>
      </c>
    </row>
    <row r="555" spans="1:7" x14ac:dyDescent="0.3">
      <c r="A555" t="s">
        <v>57</v>
      </c>
      <c r="B555" t="s">
        <v>24</v>
      </c>
      <c r="C555" s="1">
        <v>44145</v>
      </c>
      <c r="D555" t="s">
        <v>5</v>
      </c>
      <c r="E555" t="e">
        <v>#N/A</v>
      </c>
      <c r="F555" t="e">
        <v>#N/A</v>
      </c>
      <c r="G555">
        <v>25800</v>
      </c>
    </row>
    <row r="556" spans="1:7" x14ac:dyDescent="0.3">
      <c r="A556" t="s">
        <v>57</v>
      </c>
      <c r="B556" t="s">
        <v>24</v>
      </c>
      <c r="C556" s="1">
        <v>44145</v>
      </c>
      <c r="D556" t="s">
        <v>6</v>
      </c>
      <c r="E556" t="e">
        <v>#N/A</v>
      </c>
      <c r="F556" t="e">
        <v>#N/A</v>
      </c>
      <c r="G556">
        <v>9.4499999999999993</v>
      </c>
    </row>
    <row r="557" spans="1:7" x14ac:dyDescent="0.3">
      <c r="A557" t="s">
        <v>57</v>
      </c>
      <c r="B557" t="s">
        <v>24</v>
      </c>
      <c r="C557" s="1">
        <v>44145</v>
      </c>
      <c r="D557" t="s">
        <v>7</v>
      </c>
      <c r="E557" t="e">
        <v>#N/A</v>
      </c>
      <c r="F557" t="e">
        <v>#N/A</v>
      </c>
      <c r="G557">
        <v>10.48</v>
      </c>
    </row>
    <row r="558" spans="1:7" x14ac:dyDescent="0.3">
      <c r="A558" t="s">
        <v>57</v>
      </c>
      <c r="B558" t="s">
        <v>24</v>
      </c>
      <c r="C558" s="1">
        <v>44145</v>
      </c>
      <c r="D558" t="s">
        <v>8</v>
      </c>
      <c r="E558" t="e">
        <v>#N/A</v>
      </c>
      <c r="F558" t="e">
        <v>#N/A</v>
      </c>
      <c r="G558">
        <v>74.8</v>
      </c>
    </row>
    <row r="559" spans="1:7" x14ac:dyDescent="0.3">
      <c r="A559" t="s">
        <v>57</v>
      </c>
      <c r="B559" t="s">
        <v>24</v>
      </c>
      <c r="C559" s="1">
        <v>44145</v>
      </c>
      <c r="D559" t="s">
        <v>9</v>
      </c>
      <c r="E559" t="s">
        <v>85</v>
      </c>
      <c r="F559">
        <v>1</v>
      </c>
      <c r="G559">
        <v>0.19819999999999999</v>
      </c>
    </row>
    <row r="560" spans="1:7" x14ac:dyDescent="0.3">
      <c r="A560" t="s">
        <v>57</v>
      </c>
      <c r="B560" t="s">
        <v>24</v>
      </c>
      <c r="C560" s="1">
        <v>44145</v>
      </c>
      <c r="D560" t="s">
        <v>10</v>
      </c>
      <c r="E560" t="s">
        <v>86</v>
      </c>
      <c r="F560">
        <v>2</v>
      </c>
      <c r="G560">
        <v>6.25E-2</v>
      </c>
    </row>
    <row r="561" spans="1:7" x14ac:dyDescent="0.3">
      <c r="A561" t="s">
        <v>57</v>
      </c>
      <c r="B561" t="s">
        <v>24</v>
      </c>
      <c r="C561" s="1">
        <v>44145</v>
      </c>
      <c r="D561" t="s">
        <v>11</v>
      </c>
      <c r="E561" t="s">
        <v>96</v>
      </c>
      <c r="F561">
        <v>13</v>
      </c>
      <c r="G561">
        <v>0.55889999999999995</v>
      </c>
    </row>
    <row r="562" spans="1:7" x14ac:dyDescent="0.3">
      <c r="A562" t="s">
        <v>57</v>
      </c>
      <c r="B562" t="s">
        <v>24</v>
      </c>
      <c r="C562" s="1">
        <v>44145</v>
      </c>
      <c r="D562" t="s">
        <v>12</v>
      </c>
      <c r="E562" t="s">
        <v>87</v>
      </c>
      <c r="F562">
        <v>3</v>
      </c>
      <c r="G562">
        <v>0.4703</v>
      </c>
    </row>
    <row r="563" spans="1:7" x14ac:dyDescent="0.3">
      <c r="A563" t="s">
        <v>57</v>
      </c>
      <c r="B563" t="s">
        <v>24</v>
      </c>
      <c r="C563" s="1">
        <v>44145</v>
      </c>
      <c r="D563" t="s">
        <v>13</v>
      </c>
      <c r="E563" t="s">
        <v>97</v>
      </c>
      <c r="F563">
        <v>14</v>
      </c>
      <c r="G563">
        <v>0.44829999999999998</v>
      </c>
    </row>
    <row r="564" spans="1:7" x14ac:dyDescent="0.3">
      <c r="A564" t="s">
        <v>57</v>
      </c>
      <c r="B564" t="s">
        <v>24</v>
      </c>
      <c r="C564" s="1">
        <v>44145</v>
      </c>
      <c r="D564" t="s">
        <v>14</v>
      </c>
      <c r="E564" t="s">
        <v>88</v>
      </c>
      <c r="F564">
        <v>4</v>
      </c>
      <c r="G564">
        <v>5.5126999999999997</v>
      </c>
    </row>
    <row r="565" spans="1:7" x14ac:dyDescent="0.3">
      <c r="A565" t="s">
        <v>57</v>
      </c>
      <c r="B565" t="s">
        <v>24</v>
      </c>
      <c r="C565" s="1">
        <v>44145</v>
      </c>
      <c r="D565" t="s">
        <v>15</v>
      </c>
      <c r="E565" t="s">
        <v>98</v>
      </c>
      <c r="F565">
        <v>15</v>
      </c>
      <c r="G565">
        <v>2.9346999999999999</v>
      </c>
    </row>
    <row r="566" spans="1:7" x14ac:dyDescent="0.3">
      <c r="A566" t="s">
        <v>57</v>
      </c>
      <c r="B566" t="s">
        <v>24</v>
      </c>
      <c r="C566" s="1">
        <v>44145</v>
      </c>
      <c r="D566" t="s">
        <v>16</v>
      </c>
      <c r="E566" t="s">
        <v>89</v>
      </c>
      <c r="F566">
        <v>5</v>
      </c>
      <c r="G566">
        <v>0.83009999999999995</v>
      </c>
    </row>
    <row r="567" spans="1:7" x14ac:dyDescent="0.3">
      <c r="A567" t="s">
        <v>57</v>
      </c>
      <c r="B567" t="s">
        <v>24</v>
      </c>
      <c r="C567" s="1">
        <v>44145</v>
      </c>
      <c r="D567" t="s">
        <v>60</v>
      </c>
      <c r="E567" t="s">
        <v>104</v>
      </c>
      <c r="F567">
        <v>22</v>
      </c>
      <c r="G567">
        <v>4.2839</v>
      </c>
    </row>
    <row r="568" spans="1:7" x14ac:dyDescent="0.3">
      <c r="A568" t="s">
        <v>57</v>
      </c>
      <c r="B568" t="s">
        <v>24</v>
      </c>
      <c r="C568" s="1">
        <v>44145</v>
      </c>
      <c r="D568" t="s">
        <v>17</v>
      </c>
      <c r="E568" t="s">
        <v>99</v>
      </c>
      <c r="F568">
        <v>16</v>
      </c>
      <c r="G568">
        <v>0.45679999999999998</v>
      </c>
    </row>
    <row r="569" spans="1:7" x14ac:dyDescent="0.3">
      <c r="A569" t="s">
        <v>57</v>
      </c>
      <c r="B569" t="s">
        <v>24</v>
      </c>
      <c r="C569" s="1">
        <v>44145</v>
      </c>
      <c r="D569" t="s">
        <v>18</v>
      </c>
      <c r="E569" t="s">
        <v>90</v>
      </c>
      <c r="F569">
        <v>6</v>
      </c>
      <c r="G569">
        <v>0.45</v>
      </c>
    </row>
    <row r="570" spans="1:7" x14ac:dyDescent="0.3">
      <c r="A570" t="s">
        <v>57</v>
      </c>
      <c r="B570" t="s">
        <v>24</v>
      </c>
      <c r="C570" s="1">
        <v>44145</v>
      </c>
      <c r="D570" t="s">
        <v>19</v>
      </c>
      <c r="E570" t="s">
        <v>100</v>
      </c>
      <c r="F570">
        <v>17</v>
      </c>
      <c r="G570">
        <v>35.834699999999998</v>
      </c>
    </row>
    <row r="571" spans="1:7" x14ac:dyDescent="0.3">
      <c r="A571" t="s">
        <v>58</v>
      </c>
      <c r="B571" t="s">
        <v>27</v>
      </c>
      <c r="C571" s="1">
        <v>44145</v>
      </c>
      <c r="D571" t="s">
        <v>3</v>
      </c>
      <c r="E571" t="e">
        <v>#N/A</v>
      </c>
      <c r="F571" t="e">
        <v>#N/A</v>
      </c>
      <c r="G571" t="s">
        <v>22</v>
      </c>
    </row>
    <row r="572" spans="1:7" x14ac:dyDescent="0.3">
      <c r="A572" t="s">
        <v>58</v>
      </c>
      <c r="B572" t="s">
        <v>27</v>
      </c>
      <c r="C572" s="1">
        <v>44145</v>
      </c>
      <c r="D572" t="s">
        <v>4</v>
      </c>
      <c r="E572" t="e">
        <v>#N/A</v>
      </c>
      <c r="F572" t="e">
        <v>#N/A</v>
      </c>
      <c r="G572">
        <v>0.19900000000000001</v>
      </c>
    </row>
    <row r="573" spans="1:7" x14ac:dyDescent="0.3">
      <c r="A573" t="s">
        <v>58</v>
      </c>
      <c r="B573" t="s">
        <v>27</v>
      </c>
      <c r="C573" s="1">
        <v>44145</v>
      </c>
      <c r="D573" t="s">
        <v>5</v>
      </c>
      <c r="E573" t="e">
        <v>#N/A</v>
      </c>
      <c r="F573" t="e">
        <v>#N/A</v>
      </c>
      <c r="G573">
        <v>11300</v>
      </c>
    </row>
    <row r="574" spans="1:7" x14ac:dyDescent="0.3">
      <c r="A574" t="s">
        <v>58</v>
      </c>
      <c r="B574" t="s">
        <v>27</v>
      </c>
      <c r="C574" s="1">
        <v>44145</v>
      </c>
      <c r="D574" t="s">
        <v>6</v>
      </c>
      <c r="E574" t="e">
        <v>#N/A</v>
      </c>
      <c r="F574" t="e">
        <v>#N/A</v>
      </c>
      <c r="G574">
        <v>5.37</v>
      </c>
    </row>
    <row r="575" spans="1:7" x14ac:dyDescent="0.3">
      <c r="A575" t="s">
        <v>58</v>
      </c>
      <c r="B575" t="s">
        <v>27</v>
      </c>
      <c r="C575" s="1">
        <v>44145</v>
      </c>
      <c r="D575" t="s">
        <v>7</v>
      </c>
      <c r="E575" t="e">
        <v>#N/A</v>
      </c>
      <c r="F575" t="e">
        <v>#N/A</v>
      </c>
      <c r="G575">
        <v>73.680000000000007</v>
      </c>
    </row>
    <row r="576" spans="1:7" x14ac:dyDescent="0.3">
      <c r="A576" t="s">
        <v>58</v>
      </c>
      <c r="B576" t="s">
        <v>27</v>
      </c>
      <c r="C576" s="1">
        <v>44145</v>
      </c>
      <c r="D576" t="s">
        <v>8</v>
      </c>
      <c r="E576" t="e">
        <v>#N/A</v>
      </c>
      <c r="F576" t="e">
        <v>#N/A</v>
      </c>
      <c r="G576">
        <v>46.2</v>
      </c>
    </row>
    <row r="577" spans="1:7" x14ac:dyDescent="0.3">
      <c r="A577" t="s">
        <v>58</v>
      </c>
      <c r="B577" t="s">
        <v>27</v>
      </c>
      <c r="C577" s="1">
        <v>44145</v>
      </c>
      <c r="D577" t="s">
        <v>9</v>
      </c>
      <c r="E577" t="s">
        <v>85</v>
      </c>
      <c r="F577">
        <v>1</v>
      </c>
      <c r="G577">
        <v>6.25E-2</v>
      </c>
    </row>
    <row r="578" spans="1:7" x14ac:dyDescent="0.3">
      <c r="A578" t="s">
        <v>58</v>
      </c>
      <c r="B578" t="s">
        <v>27</v>
      </c>
      <c r="C578" s="1">
        <v>44145</v>
      </c>
      <c r="D578" t="s">
        <v>10</v>
      </c>
      <c r="E578" t="s">
        <v>86</v>
      </c>
      <c r="F578">
        <v>2</v>
      </c>
      <c r="G578">
        <v>6.25E-2</v>
      </c>
    </row>
    <row r="579" spans="1:7" x14ac:dyDescent="0.3">
      <c r="A579" t="s">
        <v>58</v>
      </c>
      <c r="B579" t="s">
        <v>27</v>
      </c>
      <c r="C579" s="1">
        <v>44145</v>
      </c>
      <c r="D579" t="s">
        <v>11</v>
      </c>
      <c r="E579" t="s">
        <v>96</v>
      </c>
      <c r="F579">
        <v>13</v>
      </c>
      <c r="G579">
        <v>0.125</v>
      </c>
    </row>
    <row r="580" spans="1:7" x14ac:dyDescent="0.3">
      <c r="A580" t="s">
        <v>58</v>
      </c>
      <c r="B580" t="s">
        <v>27</v>
      </c>
      <c r="C580" s="1">
        <v>44145</v>
      </c>
      <c r="D580" t="s">
        <v>12</v>
      </c>
      <c r="E580" t="s">
        <v>87</v>
      </c>
      <c r="F580">
        <v>3</v>
      </c>
      <c r="G580">
        <v>0.1283</v>
      </c>
    </row>
    <row r="581" spans="1:7" x14ac:dyDescent="0.3">
      <c r="A581" t="s">
        <v>58</v>
      </c>
      <c r="B581" t="s">
        <v>27</v>
      </c>
      <c r="C581" s="1">
        <v>44145</v>
      </c>
      <c r="D581" t="s">
        <v>13</v>
      </c>
      <c r="E581" t="s">
        <v>97</v>
      </c>
      <c r="F581">
        <v>14</v>
      </c>
      <c r="G581">
        <v>0.17649999999999999</v>
      </c>
    </row>
    <row r="582" spans="1:7" x14ac:dyDescent="0.3">
      <c r="A582" t="s">
        <v>58</v>
      </c>
      <c r="B582" t="s">
        <v>27</v>
      </c>
      <c r="C582" s="1">
        <v>44145</v>
      </c>
      <c r="D582" t="s">
        <v>14</v>
      </c>
      <c r="E582" t="s">
        <v>88</v>
      </c>
      <c r="F582">
        <v>4</v>
      </c>
      <c r="G582">
        <v>6.25E-2</v>
      </c>
    </row>
    <row r="583" spans="1:7" x14ac:dyDescent="0.3">
      <c r="A583" t="s">
        <v>58</v>
      </c>
      <c r="B583" t="s">
        <v>27</v>
      </c>
      <c r="C583" s="1">
        <v>44145</v>
      </c>
      <c r="D583" t="s">
        <v>15</v>
      </c>
      <c r="E583" t="s">
        <v>98</v>
      </c>
      <c r="F583">
        <v>15</v>
      </c>
      <c r="G583">
        <v>0.55359999999999998</v>
      </c>
    </row>
    <row r="584" spans="1:7" x14ac:dyDescent="0.3">
      <c r="A584" t="s">
        <v>58</v>
      </c>
      <c r="B584" t="s">
        <v>27</v>
      </c>
      <c r="C584" s="1">
        <v>44145</v>
      </c>
      <c r="D584" t="s">
        <v>16</v>
      </c>
      <c r="E584" t="s">
        <v>89</v>
      </c>
      <c r="F584">
        <v>5</v>
      </c>
      <c r="G584">
        <v>0.25369999999999998</v>
      </c>
    </row>
    <row r="585" spans="1:7" x14ac:dyDescent="0.3">
      <c r="A585" t="s">
        <v>58</v>
      </c>
      <c r="B585" t="s">
        <v>27</v>
      </c>
      <c r="C585" s="1">
        <v>44145</v>
      </c>
      <c r="D585" t="s">
        <v>60</v>
      </c>
      <c r="E585" t="s">
        <v>104</v>
      </c>
      <c r="F585">
        <v>22</v>
      </c>
      <c r="G585">
        <v>0.15820000000000001</v>
      </c>
    </row>
    <row r="586" spans="1:7" x14ac:dyDescent="0.3">
      <c r="A586" t="s">
        <v>58</v>
      </c>
      <c r="B586" t="s">
        <v>27</v>
      </c>
      <c r="C586" s="1">
        <v>44145</v>
      </c>
      <c r="D586" t="s">
        <v>17</v>
      </c>
      <c r="E586" t="s">
        <v>99</v>
      </c>
      <c r="F586">
        <v>16</v>
      </c>
      <c r="G586">
        <v>3.1699999999999999E-2</v>
      </c>
    </row>
    <row r="587" spans="1:7" x14ac:dyDescent="0.3">
      <c r="A587" t="s">
        <v>58</v>
      </c>
      <c r="B587" t="s">
        <v>27</v>
      </c>
      <c r="C587" s="1">
        <v>44145</v>
      </c>
      <c r="D587" t="s">
        <v>18</v>
      </c>
      <c r="E587" t="s">
        <v>90</v>
      </c>
      <c r="F587">
        <v>6</v>
      </c>
      <c r="G587">
        <v>0.125</v>
      </c>
    </row>
    <row r="588" spans="1:7" x14ac:dyDescent="0.3">
      <c r="A588" t="s">
        <v>58</v>
      </c>
      <c r="B588" t="s">
        <v>27</v>
      </c>
      <c r="C588" s="1">
        <v>44145</v>
      </c>
      <c r="D588" t="s">
        <v>19</v>
      </c>
      <c r="E588" t="s">
        <v>100</v>
      </c>
      <c r="F588">
        <v>17</v>
      </c>
      <c r="G588">
        <v>6.0419</v>
      </c>
    </row>
    <row r="589" spans="1:7" x14ac:dyDescent="0.3">
      <c r="A589" t="s">
        <v>59</v>
      </c>
      <c r="B589" t="s">
        <v>29</v>
      </c>
      <c r="C589" s="1">
        <v>44145</v>
      </c>
      <c r="D589" t="s">
        <v>3</v>
      </c>
      <c r="E589" t="e">
        <v>#N/A</v>
      </c>
      <c r="F589" t="e">
        <v>#N/A</v>
      </c>
      <c r="G589" t="s">
        <v>25</v>
      </c>
    </row>
    <row r="590" spans="1:7" x14ac:dyDescent="0.3">
      <c r="A590" t="s">
        <v>59</v>
      </c>
      <c r="B590" t="s">
        <v>29</v>
      </c>
      <c r="C590" s="1">
        <v>44145</v>
      </c>
      <c r="D590" t="s">
        <v>4</v>
      </c>
      <c r="E590" t="e">
        <v>#N/A</v>
      </c>
      <c r="F590" t="e">
        <v>#N/A</v>
      </c>
      <c r="G590">
        <v>0.45600000000000002</v>
      </c>
    </row>
    <row r="591" spans="1:7" x14ac:dyDescent="0.3">
      <c r="A591" t="s">
        <v>59</v>
      </c>
      <c r="B591" t="s">
        <v>29</v>
      </c>
      <c r="C591" s="1">
        <v>44145</v>
      </c>
      <c r="D591" t="s">
        <v>5</v>
      </c>
      <c r="E591" t="e">
        <v>#N/A</v>
      </c>
      <c r="F591" t="e">
        <v>#N/A</v>
      </c>
      <c r="G591">
        <v>103000</v>
      </c>
    </row>
    <row r="592" spans="1:7" x14ac:dyDescent="0.3">
      <c r="A592" t="s">
        <v>59</v>
      </c>
      <c r="B592" t="s">
        <v>29</v>
      </c>
      <c r="C592" s="1">
        <v>44145</v>
      </c>
      <c r="D592" t="s">
        <v>6</v>
      </c>
      <c r="E592" t="e">
        <v>#N/A</v>
      </c>
      <c r="F592" t="e">
        <v>#N/A</v>
      </c>
      <c r="G592">
        <v>2.3199999999999998</v>
      </c>
    </row>
    <row r="593" spans="1:7" x14ac:dyDescent="0.3">
      <c r="A593" t="s">
        <v>59</v>
      </c>
      <c r="B593" t="s">
        <v>29</v>
      </c>
      <c r="C593" s="1">
        <v>44145</v>
      </c>
      <c r="D593" t="s">
        <v>7</v>
      </c>
      <c r="E593" t="e">
        <v>#N/A</v>
      </c>
      <c r="F593" t="e">
        <v>#N/A</v>
      </c>
      <c r="G593">
        <v>7.97</v>
      </c>
    </row>
    <row r="594" spans="1:7" x14ac:dyDescent="0.3">
      <c r="A594" t="s">
        <v>59</v>
      </c>
      <c r="B594" t="s">
        <v>29</v>
      </c>
      <c r="C594" s="1">
        <v>44145</v>
      </c>
      <c r="D594" t="s">
        <v>8</v>
      </c>
      <c r="E594" t="e">
        <v>#N/A</v>
      </c>
      <c r="F594" t="e">
        <v>#N/A</v>
      </c>
      <c r="G594">
        <v>74.599999999999994</v>
      </c>
    </row>
    <row r="595" spans="1:7" x14ac:dyDescent="0.3">
      <c r="A595" t="s">
        <v>59</v>
      </c>
      <c r="B595" t="s">
        <v>29</v>
      </c>
      <c r="C595" s="1">
        <v>44145</v>
      </c>
      <c r="D595" t="s">
        <v>9</v>
      </c>
      <c r="E595" t="s">
        <v>85</v>
      </c>
      <c r="F595">
        <v>1</v>
      </c>
      <c r="G595">
        <v>0.1394</v>
      </c>
    </row>
    <row r="596" spans="1:7" x14ac:dyDescent="0.3">
      <c r="A596" t="s">
        <v>59</v>
      </c>
      <c r="B596" t="s">
        <v>29</v>
      </c>
      <c r="C596" s="1">
        <v>44145</v>
      </c>
      <c r="D596" t="s">
        <v>11</v>
      </c>
      <c r="E596" t="s">
        <v>96</v>
      </c>
      <c r="F596">
        <v>13</v>
      </c>
      <c r="G596">
        <v>0.69340000000000002</v>
      </c>
    </row>
    <row r="597" spans="1:7" x14ac:dyDescent="0.3">
      <c r="A597" t="s">
        <v>59</v>
      </c>
      <c r="B597" t="s">
        <v>29</v>
      </c>
      <c r="C597" s="1">
        <v>44145</v>
      </c>
      <c r="D597" t="s">
        <v>12</v>
      </c>
      <c r="E597" t="s">
        <v>87</v>
      </c>
      <c r="F597">
        <v>3</v>
      </c>
      <c r="G597">
        <v>0.39200000000000002</v>
      </c>
    </row>
    <row r="598" spans="1:7" x14ac:dyDescent="0.3">
      <c r="A598" t="s">
        <v>59</v>
      </c>
      <c r="B598" t="s">
        <v>29</v>
      </c>
      <c r="C598" s="1">
        <v>44145</v>
      </c>
      <c r="D598" t="s">
        <v>13</v>
      </c>
      <c r="E598" t="s">
        <v>97</v>
      </c>
      <c r="F598">
        <v>14</v>
      </c>
      <c r="G598">
        <v>0.74709999999999999</v>
      </c>
    </row>
    <row r="599" spans="1:7" x14ac:dyDescent="0.3">
      <c r="A599" t="s">
        <v>59</v>
      </c>
      <c r="B599" t="s">
        <v>29</v>
      </c>
      <c r="C599" s="1">
        <v>44145</v>
      </c>
      <c r="D599" t="s">
        <v>14</v>
      </c>
      <c r="E599" t="s">
        <v>88</v>
      </c>
      <c r="F599">
        <v>4</v>
      </c>
      <c r="G599">
        <v>2.3481000000000001</v>
      </c>
    </row>
    <row r="600" spans="1:7" x14ac:dyDescent="0.3">
      <c r="A600" t="s">
        <v>59</v>
      </c>
      <c r="B600" t="s">
        <v>29</v>
      </c>
      <c r="C600" s="1">
        <v>44145</v>
      </c>
      <c r="D600" t="s">
        <v>15</v>
      </c>
      <c r="E600" t="s">
        <v>98</v>
      </c>
      <c r="F600">
        <v>15</v>
      </c>
      <c r="G600">
        <v>2.5737000000000001</v>
      </c>
    </row>
    <row r="601" spans="1:7" x14ac:dyDescent="0.3">
      <c r="A601" t="s">
        <v>59</v>
      </c>
      <c r="B601" t="s">
        <v>29</v>
      </c>
      <c r="C601" s="1">
        <v>44145</v>
      </c>
      <c r="D601" t="s">
        <v>16</v>
      </c>
      <c r="E601" t="s">
        <v>89</v>
      </c>
      <c r="F601">
        <v>5</v>
      </c>
      <c r="G601">
        <v>0.66410000000000002</v>
      </c>
    </row>
    <row r="602" spans="1:7" x14ac:dyDescent="0.3">
      <c r="A602" t="s">
        <v>59</v>
      </c>
      <c r="B602" t="s">
        <v>29</v>
      </c>
      <c r="C602" s="1">
        <v>44145</v>
      </c>
      <c r="D602" t="s">
        <v>60</v>
      </c>
      <c r="E602" t="s">
        <v>104</v>
      </c>
      <c r="F602">
        <v>22</v>
      </c>
      <c r="G602">
        <v>8.6865000000000006</v>
      </c>
    </row>
    <row r="603" spans="1:7" x14ac:dyDescent="0.3">
      <c r="A603" t="s">
        <v>59</v>
      </c>
      <c r="B603" t="s">
        <v>29</v>
      </c>
      <c r="C603" s="1">
        <v>44145</v>
      </c>
      <c r="D603" t="s">
        <v>17</v>
      </c>
      <c r="E603" t="s">
        <v>99</v>
      </c>
      <c r="F603">
        <v>16</v>
      </c>
      <c r="G603">
        <v>0.61470000000000002</v>
      </c>
    </row>
    <row r="604" spans="1:7" x14ac:dyDescent="0.3">
      <c r="A604" t="s">
        <v>59</v>
      </c>
      <c r="B604" t="s">
        <v>29</v>
      </c>
      <c r="C604" s="1">
        <v>44145</v>
      </c>
      <c r="D604" t="s">
        <v>18</v>
      </c>
      <c r="E604" t="s">
        <v>90</v>
      </c>
      <c r="F604">
        <v>6</v>
      </c>
      <c r="G604">
        <v>0.2452</v>
      </c>
    </row>
    <row r="605" spans="1:7" x14ac:dyDescent="0.3">
      <c r="A605" t="s">
        <v>59</v>
      </c>
      <c r="B605" t="s">
        <v>29</v>
      </c>
      <c r="C605" s="1">
        <v>44145</v>
      </c>
      <c r="D605" t="s">
        <v>19</v>
      </c>
      <c r="E605" t="s">
        <v>100</v>
      </c>
      <c r="F605">
        <v>17</v>
      </c>
      <c r="G605">
        <v>32.7393</v>
      </c>
    </row>
    <row r="606" spans="1:7" x14ac:dyDescent="0.3">
      <c r="A606" t="s">
        <v>63</v>
      </c>
      <c r="B606" t="s">
        <v>128</v>
      </c>
      <c r="C606" s="1">
        <v>44362.5</v>
      </c>
      <c r="D606" t="s">
        <v>9</v>
      </c>
      <c r="E606" t="s">
        <v>85</v>
      </c>
      <c r="F606">
        <v>1</v>
      </c>
      <c r="G606">
        <v>0.2</v>
      </c>
    </row>
    <row r="607" spans="1:7" x14ac:dyDescent="0.3">
      <c r="A607" t="s">
        <v>63</v>
      </c>
      <c r="B607" t="s">
        <v>128</v>
      </c>
      <c r="C607" s="1">
        <v>44362.5</v>
      </c>
      <c r="D607" t="s">
        <v>10</v>
      </c>
      <c r="E607" t="s">
        <v>86</v>
      </c>
      <c r="F607">
        <v>2</v>
      </c>
      <c r="G607">
        <v>0.1</v>
      </c>
    </row>
    <row r="608" spans="1:7" x14ac:dyDescent="0.3">
      <c r="A608" t="s">
        <v>63</v>
      </c>
      <c r="B608" t="s">
        <v>128</v>
      </c>
      <c r="C608" s="1">
        <v>44362.5</v>
      </c>
      <c r="D608" t="s">
        <v>12</v>
      </c>
      <c r="E608" t="s">
        <v>87</v>
      </c>
      <c r="F608">
        <v>3</v>
      </c>
      <c r="G608">
        <v>0.12</v>
      </c>
    </row>
    <row r="609" spans="1:7" x14ac:dyDescent="0.3">
      <c r="A609" t="s">
        <v>63</v>
      </c>
      <c r="B609" t="s">
        <v>128</v>
      </c>
      <c r="C609" s="1">
        <v>44362.5</v>
      </c>
      <c r="D609" t="s">
        <v>14</v>
      </c>
      <c r="E609" t="s">
        <v>88</v>
      </c>
      <c r="F609">
        <v>4</v>
      </c>
      <c r="G609">
        <v>0.09</v>
      </c>
    </row>
    <row r="610" spans="1:7" x14ac:dyDescent="0.3">
      <c r="A610" t="s">
        <v>63</v>
      </c>
      <c r="B610" t="s">
        <v>128</v>
      </c>
      <c r="C610" s="1">
        <v>44362.5</v>
      </c>
      <c r="D610" t="s">
        <v>16</v>
      </c>
      <c r="E610" t="s">
        <v>89</v>
      </c>
      <c r="F610">
        <v>5</v>
      </c>
      <c r="G610">
        <v>0.21</v>
      </c>
    </row>
    <row r="611" spans="1:7" x14ac:dyDescent="0.3">
      <c r="A611" t="s">
        <v>63</v>
      </c>
      <c r="B611" t="s">
        <v>128</v>
      </c>
      <c r="C611" s="1">
        <v>44362.5</v>
      </c>
      <c r="D611" t="s">
        <v>18</v>
      </c>
      <c r="E611" t="s">
        <v>90</v>
      </c>
      <c r="F611">
        <v>6</v>
      </c>
      <c r="G611">
        <v>0.26</v>
      </c>
    </row>
    <row r="612" spans="1:7" x14ac:dyDescent="0.3">
      <c r="A612" t="s">
        <v>63</v>
      </c>
      <c r="B612" t="s">
        <v>128</v>
      </c>
      <c r="C612" s="1">
        <v>44362.5</v>
      </c>
      <c r="D612" t="s">
        <v>129</v>
      </c>
      <c r="E612" t="s">
        <v>91</v>
      </c>
      <c r="F612">
        <v>7</v>
      </c>
      <c r="G612">
        <v>0.13</v>
      </c>
    </row>
    <row r="613" spans="1:7" x14ac:dyDescent="0.3">
      <c r="A613" t="s">
        <v>63</v>
      </c>
      <c r="B613" t="s">
        <v>128</v>
      </c>
      <c r="C613" s="1">
        <v>44362.5</v>
      </c>
      <c r="D613" t="s">
        <v>130</v>
      </c>
      <c r="E613" t="s">
        <v>92</v>
      </c>
      <c r="F613">
        <v>8</v>
      </c>
      <c r="G613">
        <v>0.1</v>
      </c>
    </row>
    <row r="614" spans="1:7" x14ac:dyDescent="0.3">
      <c r="A614" t="s">
        <v>63</v>
      </c>
      <c r="B614" t="s">
        <v>128</v>
      </c>
      <c r="C614" s="1">
        <v>44362.5</v>
      </c>
      <c r="D614" t="s">
        <v>131</v>
      </c>
      <c r="E614" t="s">
        <v>93</v>
      </c>
      <c r="F614">
        <v>9</v>
      </c>
      <c r="G614">
        <v>4.9500000000000002E-2</v>
      </c>
    </row>
    <row r="615" spans="1:7" x14ac:dyDescent="0.3">
      <c r="A615" t="s">
        <v>63</v>
      </c>
      <c r="B615" t="s">
        <v>128</v>
      </c>
      <c r="C615" s="1">
        <v>44362.5</v>
      </c>
      <c r="D615" t="s">
        <v>132</v>
      </c>
      <c r="E615" t="s">
        <v>94</v>
      </c>
      <c r="F615">
        <v>10</v>
      </c>
      <c r="G615">
        <v>4.9500000000000002E-2</v>
      </c>
    </row>
    <row r="616" spans="1:7" x14ac:dyDescent="0.3">
      <c r="A616" t="s">
        <v>63</v>
      </c>
      <c r="B616" t="s">
        <v>128</v>
      </c>
      <c r="C616" s="1">
        <v>44362.5</v>
      </c>
      <c r="D616" t="s">
        <v>133</v>
      </c>
      <c r="E616" t="s">
        <v>95</v>
      </c>
      <c r="F616">
        <v>11</v>
      </c>
      <c r="G616">
        <v>4.9500000000000002E-2</v>
      </c>
    </row>
    <row r="617" spans="1:7" x14ac:dyDescent="0.3">
      <c r="A617" t="s">
        <v>63</v>
      </c>
      <c r="B617" t="s">
        <v>128</v>
      </c>
      <c r="C617" s="1">
        <v>44362.5</v>
      </c>
      <c r="D617" t="s">
        <v>11</v>
      </c>
      <c r="E617" t="s">
        <v>96</v>
      </c>
      <c r="F617">
        <v>13</v>
      </c>
      <c r="G617">
        <v>4.9500000000000002E-2</v>
      </c>
    </row>
    <row r="618" spans="1:7" x14ac:dyDescent="0.3">
      <c r="A618" t="s">
        <v>63</v>
      </c>
      <c r="B618" t="s">
        <v>128</v>
      </c>
      <c r="C618" s="1">
        <v>44362.5</v>
      </c>
      <c r="D618" t="s">
        <v>13</v>
      </c>
      <c r="E618" t="s">
        <v>97</v>
      </c>
      <c r="F618">
        <v>14</v>
      </c>
      <c r="G618">
        <v>4.9500000000000002E-2</v>
      </c>
    </row>
    <row r="619" spans="1:7" x14ac:dyDescent="0.3">
      <c r="A619" t="s">
        <v>63</v>
      </c>
      <c r="B619" t="s">
        <v>128</v>
      </c>
      <c r="C619" s="1">
        <v>44362.5</v>
      </c>
      <c r="D619" t="s">
        <v>15</v>
      </c>
      <c r="E619" t="s">
        <v>98</v>
      </c>
      <c r="F619">
        <v>15</v>
      </c>
      <c r="G619">
        <v>0.36</v>
      </c>
    </row>
    <row r="620" spans="1:7" x14ac:dyDescent="0.3">
      <c r="A620" t="s">
        <v>63</v>
      </c>
      <c r="B620" t="s">
        <v>128</v>
      </c>
      <c r="C620" s="1">
        <v>44362.5</v>
      </c>
      <c r="D620" t="s">
        <v>17</v>
      </c>
      <c r="E620" t="s">
        <v>99</v>
      </c>
      <c r="F620">
        <v>16</v>
      </c>
      <c r="G620">
        <v>4.9500000000000002E-2</v>
      </c>
    </row>
    <row r="621" spans="1:7" x14ac:dyDescent="0.3">
      <c r="A621" t="s">
        <v>63</v>
      </c>
      <c r="B621" t="s">
        <v>128</v>
      </c>
      <c r="C621" s="1">
        <v>44362.5</v>
      </c>
      <c r="D621" t="s">
        <v>19</v>
      </c>
      <c r="E621" t="s">
        <v>100</v>
      </c>
      <c r="F621">
        <v>17</v>
      </c>
      <c r="G621">
        <v>7.3</v>
      </c>
    </row>
    <row r="622" spans="1:7" x14ac:dyDescent="0.3">
      <c r="A622" t="s">
        <v>63</v>
      </c>
      <c r="B622" t="s">
        <v>128</v>
      </c>
      <c r="C622" s="1">
        <v>44362.5</v>
      </c>
      <c r="D622" t="s">
        <v>134</v>
      </c>
      <c r="E622" t="s">
        <v>101</v>
      </c>
      <c r="F622">
        <v>18</v>
      </c>
      <c r="G622">
        <v>6.3E-2</v>
      </c>
    </row>
    <row r="623" spans="1:7" x14ac:dyDescent="0.3">
      <c r="A623" t="s">
        <v>63</v>
      </c>
      <c r="B623" t="s">
        <v>128</v>
      </c>
      <c r="C623" s="1">
        <v>44362.5</v>
      </c>
      <c r="D623" t="s">
        <v>135</v>
      </c>
      <c r="E623" t="s">
        <v>102</v>
      </c>
      <c r="F623">
        <v>20</v>
      </c>
      <c r="G623">
        <v>4.9500000000000002E-2</v>
      </c>
    </row>
    <row r="624" spans="1:7" x14ac:dyDescent="0.3">
      <c r="A624" t="s">
        <v>63</v>
      </c>
      <c r="B624" t="s">
        <v>128</v>
      </c>
      <c r="C624" s="1">
        <v>44362.5</v>
      </c>
      <c r="D624" t="s">
        <v>136</v>
      </c>
      <c r="E624" t="s">
        <v>103</v>
      </c>
      <c r="F624">
        <v>21</v>
      </c>
      <c r="G624">
        <v>0.2</v>
      </c>
    </row>
    <row r="625" spans="1:7" x14ac:dyDescent="0.3">
      <c r="A625" t="s">
        <v>63</v>
      </c>
      <c r="B625" t="s">
        <v>128</v>
      </c>
      <c r="C625" s="1">
        <v>44362.5</v>
      </c>
      <c r="D625" t="s">
        <v>60</v>
      </c>
      <c r="E625" t="s">
        <v>104</v>
      </c>
      <c r="F625">
        <v>22</v>
      </c>
      <c r="G625">
        <v>0.39500000000000002</v>
      </c>
    </row>
    <row r="626" spans="1:7" x14ac:dyDescent="0.3">
      <c r="A626" t="s">
        <v>63</v>
      </c>
      <c r="B626" t="s">
        <v>128</v>
      </c>
      <c r="C626" s="1">
        <v>44362.5</v>
      </c>
      <c r="D626" t="s">
        <v>137</v>
      </c>
      <c r="E626" t="s">
        <v>105</v>
      </c>
      <c r="F626">
        <v>23</v>
      </c>
      <c r="G626">
        <v>0.39500000000000002</v>
      </c>
    </row>
    <row r="627" spans="1:7" x14ac:dyDescent="0.3">
      <c r="A627" t="s">
        <v>63</v>
      </c>
      <c r="B627" t="s">
        <v>128</v>
      </c>
      <c r="C627" s="1">
        <v>44362.5</v>
      </c>
      <c r="D627" t="s">
        <v>138</v>
      </c>
      <c r="E627" t="s">
        <v>106</v>
      </c>
      <c r="F627">
        <v>27</v>
      </c>
      <c r="G627">
        <v>0.09</v>
      </c>
    </row>
    <row r="628" spans="1:7" x14ac:dyDescent="0.3">
      <c r="A628" t="s">
        <v>63</v>
      </c>
      <c r="B628" t="s">
        <v>128</v>
      </c>
      <c r="C628" s="1">
        <v>44362.5</v>
      </c>
      <c r="D628" t="s">
        <v>139</v>
      </c>
      <c r="E628" t="s">
        <v>107</v>
      </c>
      <c r="F628">
        <v>29</v>
      </c>
      <c r="G628">
        <v>4.9500000000000002E-2</v>
      </c>
    </row>
    <row r="629" spans="1:7" x14ac:dyDescent="0.3">
      <c r="A629" t="s">
        <v>63</v>
      </c>
      <c r="B629" t="s">
        <v>128</v>
      </c>
      <c r="C629" s="1">
        <v>44362.5</v>
      </c>
      <c r="D629" t="s">
        <v>140</v>
      </c>
      <c r="E629" t="s">
        <v>108</v>
      </c>
      <c r="F629">
        <v>25</v>
      </c>
      <c r="G629">
        <v>4.9500000000000002E-2</v>
      </c>
    </row>
    <row r="630" spans="1:7" x14ac:dyDescent="0.3">
      <c r="A630" t="s">
        <v>63</v>
      </c>
      <c r="B630" t="s">
        <v>128</v>
      </c>
      <c r="C630" s="1">
        <v>44362.5</v>
      </c>
      <c r="D630" t="s">
        <v>141</v>
      </c>
      <c r="E630" t="s">
        <v>109</v>
      </c>
      <c r="F630">
        <v>30</v>
      </c>
      <c r="G630">
        <v>4.9500000000000002E-2</v>
      </c>
    </row>
    <row r="631" spans="1:7" x14ac:dyDescent="0.3">
      <c r="A631" t="s">
        <v>63</v>
      </c>
      <c r="B631" t="s">
        <v>128</v>
      </c>
      <c r="C631" s="1">
        <v>44362.5</v>
      </c>
      <c r="D631" t="s">
        <v>142</v>
      </c>
      <c r="E631" t="s">
        <v>110</v>
      </c>
      <c r="F631">
        <v>26</v>
      </c>
      <c r="G631">
        <v>4.9500000000000002E-2</v>
      </c>
    </row>
    <row r="632" spans="1:7" x14ac:dyDescent="0.3">
      <c r="A632" t="s">
        <v>63</v>
      </c>
      <c r="B632" t="s">
        <v>128</v>
      </c>
      <c r="C632" s="1">
        <v>44362.5</v>
      </c>
      <c r="D632" t="s">
        <v>143</v>
      </c>
      <c r="E632" t="s">
        <v>111</v>
      </c>
      <c r="F632">
        <v>31</v>
      </c>
      <c r="G632">
        <v>0.495</v>
      </c>
    </row>
    <row r="633" spans="1:7" x14ac:dyDescent="0.3">
      <c r="A633" t="s">
        <v>63</v>
      </c>
      <c r="B633" t="s">
        <v>128</v>
      </c>
      <c r="C633" s="1">
        <v>44362.5</v>
      </c>
      <c r="D633" t="s">
        <v>144</v>
      </c>
      <c r="E633" t="s">
        <v>112</v>
      </c>
      <c r="F633">
        <v>32</v>
      </c>
      <c r="G633">
        <v>0.495</v>
      </c>
    </row>
    <row r="634" spans="1:7" x14ac:dyDescent="0.3">
      <c r="A634" t="s">
        <v>63</v>
      </c>
      <c r="B634" t="s">
        <v>128</v>
      </c>
      <c r="C634" s="1">
        <v>44362.5</v>
      </c>
      <c r="D634" t="s">
        <v>145</v>
      </c>
      <c r="E634" t="s">
        <v>113</v>
      </c>
      <c r="F634">
        <v>33</v>
      </c>
      <c r="G634">
        <v>0.3</v>
      </c>
    </row>
    <row r="635" spans="1:7" x14ac:dyDescent="0.3">
      <c r="A635" t="s">
        <v>63</v>
      </c>
      <c r="B635" t="s">
        <v>128</v>
      </c>
      <c r="C635" s="1">
        <v>44362.5</v>
      </c>
      <c r="D635" t="s">
        <v>146</v>
      </c>
      <c r="E635" t="s">
        <v>114</v>
      </c>
      <c r="F635">
        <v>34</v>
      </c>
      <c r="G635">
        <v>0.2</v>
      </c>
    </row>
    <row r="636" spans="1:7" x14ac:dyDescent="0.3">
      <c r="A636" t="s">
        <v>63</v>
      </c>
      <c r="B636" t="s">
        <v>128</v>
      </c>
      <c r="C636" s="1">
        <v>44362.5</v>
      </c>
      <c r="D636" t="s">
        <v>147</v>
      </c>
      <c r="E636" t="s">
        <v>115</v>
      </c>
      <c r="F636">
        <v>47</v>
      </c>
      <c r="G636">
        <v>0.1</v>
      </c>
    </row>
    <row r="637" spans="1:7" x14ac:dyDescent="0.3">
      <c r="A637" t="s">
        <v>63</v>
      </c>
      <c r="B637" t="s">
        <v>128</v>
      </c>
      <c r="C637" s="1">
        <v>44362.5</v>
      </c>
      <c r="D637" t="s">
        <v>148</v>
      </c>
      <c r="E637" t="s">
        <v>116</v>
      </c>
      <c r="F637">
        <v>49</v>
      </c>
      <c r="G637">
        <v>0.1</v>
      </c>
    </row>
    <row r="638" spans="1:7" x14ac:dyDescent="0.3">
      <c r="A638" t="s">
        <v>63</v>
      </c>
      <c r="B638" t="s">
        <v>128</v>
      </c>
      <c r="C638" s="1">
        <v>44362.5</v>
      </c>
      <c r="D638" t="s">
        <v>149</v>
      </c>
      <c r="E638" t="s">
        <v>117</v>
      </c>
      <c r="F638">
        <v>35</v>
      </c>
      <c r="G638">
        <v>0.2</v>
      </c>
    </row>
    <row r="639" spans="1:7" x14ac:dyDescent="0.3">
      <c r="A639" t="s">
        <v>63</v>
      </c>
      <c r="B639" t="s">
        <v>128</v>
      </c>
      <c r="C639" s="1">
        <v>44362.5</v>
      </c>
      <c r="D639" t="s">
        <v>150</v>
      </c>
      <c r="E639" t="s">
        <v>118</v>
      </c>
      <c r="F639">
        <v>36</v>
      </c>
      <c r="G639">
        <v>0.2</v>
      </c>
    </row>
    <row r="640" spans="1:7" x14ac:dyDescent="0.3">
      <c r="A640" t="s">
        <v>63</v>
      </c>
      <c r="B640" t="s">
        <v>128</v>
      </c>
      <c r="C640" s="1">
        <v>44362.5</v>
      </c>
      <c r="D640" t="s">
        <v>151</v>
      </c>
      <c r="E640" t="s">
        <v>119</v>
      </c>
      <c r="F640">
        <v>46</v>
      </c>
      <c r="G640">
        <v>0.1</v>
      </c>
    </row>
    <row r="641" spans="1:7" x14ac:dyDescent="0.3">
      <c r="A641" t="s">
        <v>63</v>
      </c>
      <c r="B641" t="s">
        <v>128</v>
      </c>
      <c r="C641" s="1">
        <v>44362.5</v>
      </c>
      <c r="D641" t="s">
        <v>152</v>
      </c>
      <c r="E641" t="s">
        <v>120</v>
      </c>
      <c r="F641">
        <v>37</v>
      </c>
      <c r="G641">
        <v>0.25</v>
      </c>
    </row>
    <row r="642" spans="1:7" x14ac:dyDescent="0.3">
      <c r="A642" t="s">
        <v>63</v>
      </c>
      <c r="B642" t="s">
        <v>128</v>
      </c>
      <c r="C642" s="1">
        <v>44362.5</v>
      </c>
      <c r="D642" t="s">
        <v>153</v>
      </c>
      <c r="E642" t="s">
        <v>121</v>
      </c>
      <c r="F642">
        <v>38</v>
      </c>
      <c r="G642">
        <v>1.25</v>
      </c>
    </row>
    <row r="643" spans="1:7" x14ac:dyDescent="0.3">
      <c r="A643" t="s">
        <v>63</v>
      </c>
      <c r="B643" t="s">
        <v>128</v>
      </c>
      <c r="C643" s="1">
        <v>44362.5</v>
      </c>
      <c r="D643" t="s">
        <v>154</v>
      </c>
      <c r="E643" t="s">
        <v>122</v>
      </c>
      <c r="F643">
        <v>39</v>
      </c>
      <c r="G643">
        <v>1.25</v>
      </c>
    </row>
    <row r="644" spans="1:7" x14ac:dyDescent="0.3">
      <c r="A644" t="s">
        <v>63</v>
      </c>
      <c r="B644" t="s">
        <v>128</v>
      </c>
      <c r="C644" s="1">
        <v>44362.5</v>
      </c>
      <c r="D644" t="s">
        <v>155</v>
      </c>
      <c r="E644" t="s">
        <v>123</v>
      </c>
      <c r="F644">
        <v>19</v>
      </c>
      <c r="G644">
        <v>5.8999999999999997E-2</v>
      </c>
    </row>
    <row r="645" spans="1:7" x14ac:dyDescent="0.3">
      <c r="A645" t="s">
        <v>63</v>
      </c>
      <c r="B645" t="s">
        <v>128</v>
      </c>
      <c r="C645" s="1">
        <v>44362.5</v>
      </c>
      <c r="D645" t="s">
        <v>156</v>
      </c>
      <c r="E645" t="s">
        <v>124</v>
      </c>
      <c r="F645">
        <v>48</v>
      </c>
      <c r="G645">
        <v>0.1</v>
      </c>
    </row>
    <row r="646" spans="1:7" x14ac:dyDescent="0.3">
      <c r="A646" t="s">
        <v>64</v>
      </c>
      <c r="B646" t="s">
        <v>126</v>
      </c>
      <c r="C646" s="1">
        <v>44362.5</v>
      </c>
      <c r="D646" t="s">
        <v>9</v>
      </c>
      <c r="E646" t="s">
        <v>85</v>
      </c>
      <c r="F646">
        <v>1</v>
      </c>
      <c r="G646">
        <v>0.2</v>
      </c>
    </row>
    <row r="647" spans="1:7" x14ac:dyDescent="0.3">
      <c r="A647" t="s">
        <v>64</v>
      </c>
      <c r="B647" t="s">
        <v>126</v>
      </c>
      <c r="C647" s="1">
        <v>44362.5</v>
      </c>
      <c r="D647" t="s">
        <v>10</v>
      </c>
      <c r="E647" t="s">
        <v>86</v>
      </c>
      <c r="F647">
        <v>2</v>
      </c>
      <c r="G647">
        <v>0.1</v>
      </c>
    </row>
    <row r="648" spans="1:7" x14ac:dyDescent="0.3">
      <c r="A648" t="s">
        <v>64</v>
      </c>
      <c r="B648" t="s">
        <v>126</v>
      </c>
      <c r="C648" s="1">
        <v>44362.5</v>
      </c>
      <c r="D648" t="s">
        <v>12</v>
      </c>
      <c r="E648" t="s">
        <v>87</v>
      </c>
      <c r="F648">
        <v>3</v>
      </c>
      <c r="G648">
        <v>0.28999999999999998</v>
      </c>
    </row>
    <row r="649" spans="1:7" x14ac:dyDescent="0.3">
      <c r="A649" t="s">
        <v>64</v>
      </c>
      <c r="B649" t="s">
        <v>126</v>
      </c>
      <c r="C649" s="1">
        <v>44362.5</v>
      </c>
      <c r="D649" t="s">
        <v>14</v>
      </c>
      <c r="E649" t="s">
        <v>88</v>
      </c>
      <c r="F649">
        <v>4</v>
      </c>
      <c r="G649">
        <v>0.09</v>
      </c>
    </row>
    <row r="650" spans="1:7" x14ac:dyDescent="0.3">
      <c r="A650" t="s">
        <v>64</v>
      </c>
      <c r="B650" t="s">
        <v>126</v>
      </c>
      <c r="C650" s="1">
        <v>44362.5</v>
      </c>
      <c r="D650" t="s">
        <v>16</v>
      </c>
      <c r="E650" t="s">
        <v>89</v>
      </c>
      <c r="F650">
        <v>5</v>
      </c>
      <c r="G650">
        <v>0.33</v>
      </c>
    </row>
    <row r="651" spans="1:7" x14ac:dyDescent="0.3">
      <c r="A651" t="s">
        <v>64</v>
      </c>
      <c r="B651" t="s">
        <v>126</v>
      </c>
      <c r="C651" s="1">
        <v>44362.5</v>
      </c>
      <c r="D651" t="s">
        <v>18</v>
      </c>
      <c r="E651" t="s">
        <v>90</v>
      </c>
      <c r="F651">
        <v>6</v>
      </c>
      <c r="G651">
        <v>9.4E-2</v>
      </c>
    </row>
    <row r="652" spans="1:7" x14ac:dyDescent="0.3">
      <c r="A652" t="s">
        <v>64</v>
      </c>
      <c r="B652" t="s">
        <v>126</v>
      </c>
      <c r="C652" s="1">
        <v>44362.5</v>
      </c>
      <c r="D652" t="s">
        <v>129</v>
      </c>
      <c r="E652" t="s">
        <v>91</v>
      </c>
      <c r="F652">
        <v>7</v>
      </c>
      <c r="G652">
        <v>9.6000000000000002E-2</v>
      </c>
    </row>
    <row r="653" spans="1:7" x14ac:dyDescent="0.3">
      <c r="A653" t="s">
        <v>64</v>
      </c>
      <c r="B653" t="s">
        <v>126</v>
      </c>
      <c r="C653" s="1">
        <v>44362.5</v>
      </c>
      <c r="D653" t="s">
        <v>130</v>
      </c>
      <c r="E653" t="s">
        <v>92</v>
      </c>
      <c r="F653">
        <v>8</v>
      </c>
      <c r="G653">
        <v>0.2</v>
      </c>
    </row>
    <row r="654" spans="1:7" x14ac:dyDescent="0.3">
      <c r="A654" t="s">
        <v>64</v>
      </c>
      <c r="B654" t="s">
        <v>126</v>
      </c>
      <c r="C654" s="1">
        <v>44362.5</v>
      </c>
      <c r="D654" t="s">
        <v>131</v>
      </c>
      <c r="E654" t="s">
        <v>93</v>
      </c>
      <c r="F654">
        <v>9</v>
      </c>
      <c r="G654">
        <v>0.66</v>
      </c>
    </row>
    <row r="655" spans="1:7" x14ac:dyDescent="0.3">
      <c r="A655" t="s">
        <v>64</v>
      </c>
      <c r="B655" t="s">
        <v>126</v>
      </c>
      <c r="C655" s="1">
        <v>44362.5</v>
      </c>
      <c r="D655" t="s">
        <v>132</v>
      </c>
      <c r="E655" t="s">
        <v>94</v>
      </c>
      <c r="F655">
        <v>10</v>
      </c>
      <c r="G655">
        <v>0.64</v>
      </c>
    </row>
    <row r="656" spans="1:7" x14ac:dyDescent="0.3">
      <c r="A656" t="s">
        <v>64</v>
      </c>
      <c r="B656" t="s">
        <v>126</v>
      </c>
      <c r="C656" s="1">
        <v>44362.5</v>
      </c>
      <c r="D656" t="s">
        <v>133</v>
      </c>
      <c r="E656" t="s">
        <v>95</v>
      </c>
      <c r="F656">
        <v>11</v>
      </c>
      <c r="G656">
        <v>0.42</v>
      </c>
    </row>
    <row r="657" spans="1:7" x14ac:dyDescent="0.3">
      <c r="A657" t="s">
        <v>64</v>
      </c>
      <c r="B657" t="s">
        <v>126</v>
      </c>
      <c r="C657" s="1">
        <v>44362.5</v>
      </c>
      <c r="D657" t="s">
        <v>11</v>
      </c>
      <c r="E657" t="s">
        <v>96</v>
      </c>
      <c r="F657">
        <v>13</v>
      </c>
      <c r="G657">
        <v>4.9500000000000002E-2</v>
      </c>
    </row>
    <row r="658" spans="1:7" x14ac:dyDescent="0.3">
      <c r="A658" t="s">
        <v>64</v>
      </c>
      <c r="B658" t="s">
        <v>126</v>
      </c>
      <c r="C658" s="1">
        <v>44362.5</v>
      </c>
      <c r="D658" t="s">
        <v>13</v>
      </c>
      <c r="E658" t="s">
        <v>97</v>
      </c>
      <c r="F658">
        <v>14</v>
      </c>
      <c r="G658">
        <v>0.1</v>
      </c>
    </row>
    <row r="659" spans="1:7" x14ac:dyDescent="0.3">
      <c r="A659" t="s">
        <v>64</v>
      </c>
      <c r="B659" t="s">
        <v>126</v>
      </c>
      <c r="C659" s="1">
        <v>44362.5</v>
      </c>
      <c r="D659" t="s">
        <v>15</v>
      </c>
      <c r="E659" t="s">
        <v>98</v>
      </c>
      <c r="F659">
        <v>15</v>
      </c>
      <c r="G659">
        <v>0.86</v>
      </c>
    </row>
    <row r="660" spans="1:7" x14ac:dyDescent="0.3">
      <c r="A660" t="s">
        <v>64</v>
      </c>
      <c r="B660" t="s">
        <v>126</v>
      </c>
      <c r="C660" s="1">
        <v>44362.5</v>
      </c>
      <c r="D660" t="s">
        <v>17</v>
      </c>
      <c r="E660" t="s">
        <v>99</v>
      </c>
      <c r="F660">
        <v>16</v>
      </c>
      <c r="G660">
        <v>0.09</v>
      </c>
    </row>
    <row r="661" spans="1:7" x14ac:dyDescent="0.3">
      <c r="A661" t="s">
        <v>64</v>
      </c>
      <c r="B661" t="s">
        <v>126</v>
      </c>
      <c r="C661" s="1">
        <v>44362.5</v>
      </c>
      <c r="D661" t="s">
        <v>19</v>
      </c>
      <c r="E661" t="s">
        <v>100</v>
      </c>
      <c r="F661">
        <v>17</v>
      </c>
      <c r="G661">
        <v>13</v>
      </c>
    </row>
    <row r="662" spans="1:7" x14ac:dyDescent="0.3">
      <c r="A662" t="s">
        <v>64</v>
      </c>
      <c r="B662" t="s">
        <v>126</v>
      </c>
      <c r="C662" s="1">
        <v>44362.5</v>
      </c>
      <c r="D662" t="s">
        <v>134</v>
      </c>
      <c r="E662" t="s">
        <v>101</v>
      </c>
      <c r="F662">
        <v>18</v>
      </c>
      <c r="G662">
        <v>5.1999999999999998E-2</v>
      </c>
    </row>
    <row r="663" spans="1:7" x14ac:dyDescent="0.3">
      <c r="A663" t="s">
        <v>64</v>
      </c>
      <c r="B663" t="s">
        <v>126</v>
      </c>
      <c r="C663" s="1">
        <v>44362.5</v>
      </c>
      <c r="D663" t="s">
        <v>135</v>
      </c>
      <c r="E663" t="s">
        <v>102</v>
      </c>
      <c r="F663">
        <v>20</v>
      </c>
      <c r="G663">
        <v>0.4</v>
      </c>
    </row>
    <row r="664" spans="1:7" x14ac:dyDescent="0.3">
      <c r="A664" t="s">
        <v>64</v>
      </c>
      <c r="B664" t="s">
        <v>126</v>
      </c>
      <c r="C664" s="1">
        <v>44362.5</v>
      </c>
      <c r="D664" t="s">
        <v>136</v>
      </c>
      <c r="E664" t="s">
        <v>103</v>
      </c>
      <c r="F664">
        <v>21</v>
      </c>
      <c r="G664">
        <v>0.2</v>
      </c>
    </row>
    <row r="665" spans="1:7" x14ac:dyDescent="0.3">
      <c r="A665" t="s">
        <v>64</v>
      </c>
      <c r="B665" t="s">
        <v>126</v>
      </c>
      <c r="C665" s="1">
        <v>44362.5</v>
      </c>
      <c r="D665" t="s">
        <v>60</v>
      </c>
      <c r="E665" t="s">
        <v>104</v>
      </c>
      <c r="F665">
        <v>22</v>
      </c>
      <c r="G665">
        <v>0.55000000000000004</v>
      </c>
    </row>
    <row r="666" spans="1:7" x14ac:dyDescent="0.3">
      <c r="A666" t="s">
        <v>64</v>
      </c>
      <c r="B666" t="s">
        <v>126</v>
      </c>
      <c r="C666" s="1">
        <v>44362.5</v>
      </c>
      <c r="D666" t="s">
        <v>137</v>
      </c>
      <c r="E666" t="s">
        <v>105</v>
      </c>
      <c r="F666">
        <v>23</v>
      </c>
      <c r="G666">
        <v>0.38</v>
      </c>
    </row>
    <row r="667" spans="1:7" x14ac:dyDescent="0.3">
      <c r="A667" t="s">
        <v>64</v>
      </c>
      <c r="B667" t="s">
        <v>126</v>
      </c>
      <c r="C667" s="1">
        <v>44362.5</v>
      </c>
      <c r="D667" t="s">
        <v>138</v>
      </c>
      <c r="E667" t="s">
        <v>106</v>
      </c>
      <c r="F667">
        <v>27</v>
      </c>
      <c r="G667">
        <v>0.3</v>
      </c>
    </row>
    <row r="668" spans="1:7" x14ac:dyDescent="0.3">
      <c r="A668" t="s">
        <v>64</v>
      </c>
      <c r="B668" t="s">
        <v>126</v>
      </c>
      <c r="C668" s="1">
        <v>44362.5</v>
      </c>
      <c r="D668" t="s">
        <v>139</v>
      </c>
      <c r="E668" t="s">
        <v>107</v>
      </c>
      <c r="F668">
        <v>29</v>
      </c>
      <c r="G668">
        <v>4.9500000000000002E-2</v>
      </c>
    </row>
    <row r="669" spans="1:7" x14ac:dyDescent="0.3">
      <c r="A669" t="s">
        <v>64</v>
      </c>
      <c r="B669" t="s">
        <v>126</v>
      </c>
      <c r="C669" s="1">
        <v>44362.5</v>
      </c>
      <c r="D669" t="s">
        <v>140</v>
      </c>
      <c r="E669" t="s">
        <v>108</v>
      </c>
      <c r="F669">
        <v>25</v>
      </c>
      <c r="G669">
        <v>4.9500000000000002E-2</v>
      </c>
    </row>
    <row r="670" spans="1:7" x14ac:dyDescent="0.3">
      <c r="A670" t="s">
        <v>64</v>
      </c>
      <c r="B670" t="s">
        <v>126</v>
      </c>
      <c r="C670" s="1">
        <v>44362.5</v>
      </c>
      <c r="D670" t="s">
        <v>141</v>
      </c>
      <c r="E670" t="s">
        <v>109</v>
      </c>
      <c r="F670">
        <v>30</v>
      </c>
      <c r="G670">
        <v>4.9500000000000002E-2</v>
      </c>
    </row>
    <row r="671" spans="1:7" x14ac:dyDescent="0.3">
      <c r="A671" t="s">
        <v>64</v>
      </c>
      <c r="B671" t="s">
        <v>126</v>
      </c>
      <c r="C671" s="1">
        <v>44362.5</v>
      </c>
      <c r="D671" t="s">
        <v>142</v>
      </c>
      <c r="E671" t="s">
        <v>110</v>
      </c>
      <c r="F671">
        <v>26</v>
      </c>
      <c r="G671">
        <v>4.9500000000000002E-2</v>
      </c>
    </row>
    <row r="672" spans="1:7" x14ac:dyDescent="0.3">
      <c r="A672" t="s">
        <v>64</v>
      </c>
      <c r="B672" t="s">
        <v>126</v>
      </c>
      <c r="C672" s="1">
        <v>44362.5</v>
      </c>
      <c r="D672" t="s">
        <v>143</v>
      </c>
      <c r="E672" t="s">
        <v>111</v>
      </c>
      <c r="F672">
        <v>31</v>
      </c>
      <c r="G672">
        <v>0.495</v>
      </c>
    </row>
    <row r="673" spans="1:7" x14ac:dyDescent="0.3">
      <c r="A673" t="s">
        <v>64</v>
      </c>
      <c r="B673" t="s">
        <v>126</v>
      </c>
      <c r="C673" s="1">
        <v>44362.5</v>
      </c>
      <c r="D673" t="s">
        <v>144</v>
      </c>
      <c r="E673" t="s">
        <v>112</v>
      </c>
      <c r="F673">
        <v>32</v>
      </c>
      <c r="G673">
        <v>0.495</v>
      </c>
    </row>
    <row r="674" spans="1:7" x14ac:dyDescent="0.3">
      <c r="A674" t="s">
        <v>64</v>
      </c>
      <c r="B674" t="s">
        <v>126</v>
      </c>
      <c r="C674" s="1">
        <v>44362.5</v>
      </c>
      <c r="D674" t="s">
        <v>145</v>
      </c>
      <c r="E674" t="s">
        <v>113</v>
      </c>
      <c r="F674">
        <v>33</v>
      </c>
      <c r="G674">
        <v>0.3</v>
      </c>
    </row>
    <row r="675" spans="1:7" x14ac:dyDescent="0.3">
      <c r="A675" t="s">
        <v>64</v>
      </c>
      <c r="B675" t="s">
        <v>126</v>
      </c>
      <c r="C675" s="1">
        <v>44362.5</v>
      </c>
      <c r="D675" t="s">
        <v>146</v>
      </c>
      <c r="E675" t="s">
        <v>114</v>
      </c>
      <c r="F675">
        <v>34</v>
      </c>
      <c r="G675">
        <v>0.2</v>
      </c>
    </row>
    <row r="676" spans="1:7" x14ac:dyDescent="0.3">
      <c r="A676" t="s">
        <v>64</v>
      </c>
      <c r="B676" t="s">
        <v>126</v>
      </c>
      <c r="C676" s="1">
        <v>44362.5</v>
      </c>
      <c r="D676" t="s">
        <v>147</v>
      </c>
      <c r="E676" t="s">
        <v>115</v>
      </c>
      <c r="F676">
        <v>47</v>
      </c>
      <c r="G676">
        <v>0.1</v>
      </c>
    </row>
    <row r="677" spans="1:7" x14ac:dyDescent="0.3">
      <c r="A677" t="s">
        <v>64</v>
      </c>
      <c r="B677" t="s">
        <v>126</v>
      </c>
      <c r="C677" s="1">
        <v>44362.5</v>
      </c>
      <c r="D677" t="s">
        <v>148</v>
      </c>
      <c r="E677" t="s">
        <v>116</v>
      </c>
      <c r="F677">
        <v>49</v>
      </c>
      <c r="G677">
        <v>0.1</v>
      </c>
    </row>
    <row r="678" spans="1:7" x14ac:dyDescent="0.3">
      <c r="A678" t="s">
        <v>64</v>
      </c>
      <c r="B678" t="s">
        <v>126</v>
      </c>
      <c r="C678" s="1">
        <v>44362.5</v>
      </c>
      <c r="D678" t="s">
        <v>149</v>
      </c>
      <c r="E678" t="s">
        <v>117</v>
      </c>
      <c r="F678">
        <v>35</v>
      </c>
      <c r="G678">
        <v>0.2</v>
      </c>
    </row>
    <row r="679" spans="1:7" x14ac:dyDescent="0.3">
      <c r="A679" t="s">
        <v>64</v>
      </c>
      <c r="B679" t="s">
        <v>126</v>
      </c>
      <c r="C679" s="1">
        <v>44362.5</v>
      </c>
      <c r="D679" t="s">
        <v>150</v>
      </c>
      <c r="E679" t="s">
        <v>118</v>
      </c>
      <c r="F679">
        <v>36</v>
      </c>
      <c r="G679">
        <v>0.2</v>
      </c>
    </row>
    <row r="680" spans="1:7" x14ac:dyDescent="0.3">
      <c r="A680" t="s">
        <v>64</v>
      </c>
      <c r="B680" t="s">
        <v>126</v>
      </c>
      <c r="C680" s="1">
        <v>44362.5</v>
      </c>
      <c r="D680" t="s">
        <v>151</v>
      </c>
      <c r="E680" t="s">
        <v>119</v>
      </c>
      <c r="F680">
        <v>46</v>
      </c>
      <c r="G680">
        <v>0.1</v>
      </c>
    </row>
    <row r="681" spans="1:7" x14ac:dyDescent="0.3">
      <c r="A681" t="s">
        <v>64</v>
      </c>
      <c r="B681" t="s">
        <v>126</v>
      </c>
      <c r="C681" s="1">
        <v>44362.5</v>
      </c>
      <c r="D681" t="s">
        <v>152</v>
      </c>
      <c r="E681" t="s">
        <v>120</v>
      </c>
      <c r="F681">
        <v>37</v>
      </c>
      <c r="G681">
        <v>0.25</v>
      </c>
    </row>
    <row r="682" spans="1:7" x14ac:dyDescent="0.3">
      <c r="A682" t="s">
        <v>64</v>
      </c>
      <c r="B682" t="s">
        <v>126</v>
      </c>
      <c r="C682" s="1">
        <v>44362.5</v>
      </c>
      <c r="D682" t="s">
        <v>153</v>
      </c>
      <c r="E682" t="s">
        <v>121</v>
      </c>
      <c r="F682">
        <v>38</v>
      </c>
      <c r="G682">
        <v>1.25</v>
      </c>
    </row>
    <row r="683" spans="1:7" x14ac:dyDescent="0.3">
      <c r="A683" t="s">
        <v>64</v>
      </c>
      <c r="B683" t="s">
        <v>126</v>
      </c>
      <c r="C683" s="1">
        <v>44362.5</v>
      </c>
      <c r="D683" t="s">
        <v>154</v>
      </c>
      <c r="E683" t="s">
        <v>122</v>
      </c>
      <c r="F683">
        <v>39</v>
      </c>
      <c r="G683">
        <v>1.5</v>
      </c>
    </row>
    <row r="684" spans="1:7" x14ac:dyDescent="0.3">
      <c r="A684" t="s">
        <v>64</v>
      </c>
      <c r="B684" t="s">
        <v>126</v>
      </c>
      <c r="C684" s="1">
        <v>44362.5</v>
      </c>
      <c r="D684" t="s">
        <v>155</v>
      </c>
      <c r="E684" t="s">
        <v>123</v>
      </c>
      <c r="F684">
        <v>19</v>
      </c>
      <c r="G684">
        <v>0.25</v>
      </c>
    </row>
    <row r="685" spans="1:7" x14ac:dyDescent="0.3">
      <c r="A685" t="s">
        <v>64</v>
      </c>
      <c r="B685" t="s">
        <v>126</v>
      </c>
      <c r="C685" s="1">
        <v>44362.5</v>
      </c>
      <c r="D685" t="s">
        <v>156</v>
      </c>
      <c r="E685" t="s">
        <v>124</v>
      </c>
      <c r="F685">
        <v>48</v>
      </c>
      <c r="G685">
        <v>0.1</v>
      </c>
    </row>
    <row r="686" spans="1:7" x14ac:dyDescent="0.3">
      <c r="A686" t="s">
        <v>65</v>
      </c>
      <c r="B686" t="s">
        <v>127</v>
      </c>
      <c r="C686" s="1">
        <v>44362.5</v>
      </c>
      <c r="D686" t="s">
        <v>9</v>
      </c>
      <c r="E686" t="s">
        <v>85</v>
      </c>
      <c r="F686">
        <v>1</v>
      </c>
      <c r="G686">
        <v>0.2</v>
      </c>
    </row>
    <row r="687" spans="1:7" x14ac:dyDescent="0.3">
      <c r="A687" t="s">
        <v>65</v>
      </c>
      <c r="B687" t="s">
        <v>127</v>
      </c>
      <c r="C687" s="1">
        <v>44362.5</v>
      </c>
      <c r="D687" t="s">
        <v>10</v>
      </c>
      <c r="E687" t="s">
        <v>86</v>
      </c>
      <c r="F687">
        <v>2</v>
      </c>
      <c r="G687">
        <v>0.1</v>
      </c>
    </row>
    <row r="688" spans="1:7" x14ac:dyDescent="0.3">
      <c r="A688" t="s">
        <v>65</v>
      </c>
      <c r="B688" t="s">
        <v>127</v>
      </c>
      <c r="C688" s="1">
        <v>44362.5</v>
      </c>
      <c r="D688" t="s">
        <v>12</v>
      </c>
      <c r="E688" t="s">
        <v>87</v>
      </c>
      <c r="F688">
        <v>3</v>
      </c>
      <c r="G688">
        <v>0.09</v>
      </c>
    </row>
    <row r="689" spans="1:7" x14ac:dyDescent="0.3">
      <c r="A689" t="s">
        <v>65</v>
      </c>
      <c r="B689" t="s">
        <v>127</v>
      </c>
      <c r="C689" s="1">
        <v>44362.5</v>
      </c>
      <c r="D689" t="s">
        <v>14</v>
      </c>
      <c r="E689" t="s">
        <v>88</v>
      </c>
      <c r="F689">
        <v>4</v>
      </c>
      <c r="G689">
        <v>0.09</v>
      </c>
    </row>
    <row r="690" spans="1:7" x14ac:dyDescent="0.3">
      <c r="A690" t="s">
        <v>65</v>
      </c>
      <c r="B690" t="s">
        <v>127</v>
      </c>
      <c r="C690" s="1">
        <v>44362.5</v>
      </c>
      <c r="D690" t="s">
        <v>16</v>
      </c>
      <c r="E690" t="s">
        <v>89</v>
      </c>
      <c r="F690">
        <v>5</v>
      </c>
      <c r="G690">
        <v>0.15</v>
      </c>
    </row>
    <row r="691" spans="1:7" x14ac:dyDescent="0.3">
      <c r="A691" t="s">
        <v>65</v>
      </c>
      <c r="B691" t="s">
        <v>127</v>
      </c>
      <c r="C691" s="1">
        <v>44362.5</v>
      </c>
      <c r="D691" t="s">
        <v>18</v>
      </c>
      <c r="E691" t="s">
        <v>90</v>
      </c>
      <c r="F691">
        <v>6</v>
      </c>
      <c r="G691">
        <v>4.9500000000000002E-2</v>
      </c>
    </row>
    <row r="692" spans="1:7" x14ac:dyDescent="0.3">
      <c r="A692" t="s">
        <v>65</v>
      </c>
      <c r="B692" t="s">
        <v>127</v>
      </c>
      <c r="C692" s="1">
        <v>44362.5</v>
      </c>
      <c r="D692" t="s">
        <v>129</v>
      </c>
      <c r="E692" t="s">
        <v>91</v>
      </c>
      <c r="F692">
        <v>7</v>
      </c>
      <c r="G692">
        <v>0.11</v>
      </c>
    </row>
    <row r="693" spans="1:7" x14ac:dyDescent="0.3">
      <c r="A693" t="s">
        <v>65</v>
      </c>
      <c r="B693" t="s">
        <v>127</v>
      </c>
      <c r="C693" s="1">
        <v>44362.5</v>
      </c>
      <c r="D693" t="s">
        <v>130</v>
      </c>
      <c r="E693" t="s">
        <v>92</v>
      </c>
      <c r="F693">
        <v>8</v>
      </c>
      <c r="G693">
        <v>0.39</v>
      </c>
    </row>
    <row r="694" spans="1:7" x14ac:dyDescent="0.3">
      <c r="A694" t="s">
        <v>65</v>
      </c>
      <c r="B694" t="s">
        <v>127</v>
      </c>
      <c r="C694" s="1">
        <v>44362.5</v>
      </c>
      <c r="D694" t="s">
        <v>131</v>
      </c>
      <c r="E694" t="s">
        <v>93</v>
      </c>
      <c r="F694">
        <v>9</v>
      </c>
      <c r="G694">
        <v>0.12</v>
      </c>
    </row>
    <row r="695" spans="1:7" x14ac:dyDescent="0.3">
      <c r="A695" t="s">
        <v>65</v>
      </c>
      <c r="B695" t="s">
        <v>127</v>
      </c>
      <c r="C695" s="1">
        <v>44362.5</v>
      </c>
      <c r="D695" t="s">
        <v>132</v>
      </c>
      <c r="E695" t="s">
        <v>94</v>
      </c>
      <c r="F695">
        <v>10</v>
      </c>
      <c r="G695">
        <v>4.9500000000000002E-2</v>
      </c>
    </row>
    <row r="696" spans="1:7" x14ac:dyDescent="0.3">
      <c r="A696" t="s">
        <v>65</v>
      </c>
      <c r="B696" t="s">
        <v>127</v>
      </c>
      <c r="C696" s="1">
        <v>44362.5</v>
      </c>
      <c r="D696" t="s">
        <v>133</v>
      </c>
      <c r="E696" t="s">
        <v>95</v>
      </c>
      <c r="F696">
        <v>11</v>
      </c>
      <c r="G696">
        <v>4.9500000000000002E-2</v>
      </c>
    </row>
    <row r="697" spans="1:7" x14ac:dyDescent="0.3">
      <c r="A697" t="s">
        <v>65</v>
      </c>
      <c r="B697" t="s">
        <v>127</v>
      </c>
      <c r="C697" s="1">
        <v>44362.5</v>
      </c>
      <c r="D697" t="s">
        <v>11</v>
      </c>
      <c r="E697" t="s">
        <v>96</v>
      </c>
      <c r="F697">
        <v>13</v>
      </c>
      <c r="G697">
        <v>4.9500000000000002E-2</v>
      </c>
    </row>
    <row r="698" spans="1:7" x14ac:dyDescent="0.3">
      <c r="A698" t="s">
        <v>65</v>
      </c>
      <c r="B698" t="s">
        <v>127</v>
      </c>
      <c r="C698" s="1">
        <v>44362.5</v>
      </c>
      <c r="D698" t="s">
        <v>13</v>
      </c>
      <c r="E698" t="s">
        <v>97</v>
      </c>
      <c r="F698">
        <v>14</v>
      </c>
      <c r="G698">
        <v>4.9500000000000002E-2</v>
      </c>
    </row>
    <row r="699" spans="1:7" x14ac:dyDescent="0.3">
      <c r="A699" t="s">
        <v>65</v>
      </c>
      <c r="B699" t="s">
        <v>127</v>
      </c>
      <c r="C699" s="1">
        <v>44362.5</v>
      </c>
      <c r="D699" t="s">
        <v>15</v>
      </c>
      <c r="E699" t="s">
        <v>98</v>
      </c>
      <c r="F699">
        <v>15</v>
      </c>
      <c r="G699">
        <v>0.47</v>
      </c>
    </row>
    <row r="700" spans="1:7" x14ac:dyDescent="0.3">
      <c r="A700" t="s">
        <v>65</v>
      </c>
      <c r="B700" t="s">
        <v>127</v>
      </c>
      <c r="C700" s="1">
        <v>44362.5</v>
      </c>
      <c r="D700" t="s">
        <v>17</v>
      </c>
      <c r="E700" t="s">
        <v>99</v>
      </c>
      <c r="F700">
        <v>16</v>
      </c>
      <c r="G700">
        <v>4.9500000000000002E-2</v>
      </c>
    </row>
    <row r="701" spans="1:7" x14ac:dyDescent="0.3">
      <c r="A701" t="s">
        <v>65</v>
      </c>
      <c r="B701" t="s">
        <v>127</v>
      </c>
      <c r="C701" s="1">
        <v>44362.5</v>
      </c>
      <c r="D701" t="s">
        <v>19</v>
      </c>
      <c r="E701" t="s">
        <v>100</v>
      </c>
      <c r="F701">
        <v>17</v>
      </c>
      <c r="G701">
        <v>7.1</v>
      </c>
    </row>
    <row r="702" spans="1:7" x14ac:dyDescent="0.3">
      <c r="A702" t="s">
        <v>65</v>
      </c>
      <c r="B702" t="s">
        <v>127</v>
      </c>
      <c r="C702" s="1">
        <v>44362.5</v>
      </c>
      <c r="D702" t="s">
        <v>134</v>
      </c>
      <c r="E702" t="s">
        <v>101</v>
      </c>
      <c r="F702">
        <v>18</v>
      </c>
      <c r="G702">
        <v>0.17</v>
      </c>
    </row>
    <row r="703" spans="1:7" x14ac:dyDescent="0.3">
      <c r="A703" t="s">
        <v>65</v>
      </c>
      <c r="B703" t="s">
        <v>127</v>
      </c>
      <c r="C703" s="1">
        <v>44362.5</v>
      </c>
      <c r="D703" t="s">
        <v>135</v>
      </c>
      <c r="E703" t="s">
        <v>102</v>
      </c>
      <c r="F703">
        <v>20</v>
      </c>
      <c r="G703">
        <v>4.9500000000000002E-2</v>
      </c>
    </row>
    <row r="704" spans="1:7" x14ac:dyDescent="0.3">
      <c r="A704" t="s">
        <v>65</v>
      </c>
      <c r="B704" t="s">
        <v>127</v>
      </c>
      <c r="C704" s="1">
        <v>44362.5</v>
      </c>
      <c r="D704" t="s">
        <v>136</v>
      </c>
      <c r="E704" t="s">
        <v>103</v>
      </c>
      <c r="F704">
        <v>21</v>
      </c>
      <c r="G704">
        <v>0.2</v>
      </c>
    </row>
    <row r="705" spans="1:7" x14ac:dyDescent="0.3">
      <c r="A705" t="s">
        <v>65</v>
      </c>
      <c r="B705" t="s">
        <v>127</v>
      </c>
      <c r="C705" s="1">
        <v>44362.5</v>
      </c>
      <c r="D705" t="s">
        <v>60</v>
      </c>
      <c r="E705" t="s">
        <v>104</v>
      </c>
      <c r="F705">
        <v>22</v>
      </c>
      <c r="G705">
        <v>0.39500000000000002</v>
      </c>
    </row>
    <row r="706" spans="1:7" x14ac:dyDescent="0.3">
      <c r="A706" t="s">
        <v>65</v>
      </c>
      <c r="B706" t="s">
        <v>127</v>
      </c>
      <c r="C706" s="1">
        <v>44362.5</v>
      </c>
      <c r="D706" t="s">
        <v>137</v>
      </c>
      <c r="E706" t="s">
        <v>105</v>
      </c>
      <c r="F706">
        <v>23</v>
      </c>
      <c r="G706">
        <v>0.61</v>
      </c>
    </row>
    <row r="707" spans="1:7" x14ac:dyDescent="0.3">
      <c r="A707" t="s">
        <v>65</v>
      </c>
      <c r="B707" t="s">
        <v>127</v>
      </c>
      <c r="C707" s="1">
        <v>44362.5</v>
      </c>
      <c r="D707" t="s">
        <v>138</v>
      </c>
      <c r="E707" t="s">
        <v>106</v>
      </c>
      <c r="F707">
        <v>27</v>
      </c>
      <c r="G707">
        <v>0.95</v>
      </c>
    </row>
    <row r="708" spans="1:7" x14ac:dyDescent="0.3">
      <c r="A708" t="s">
        <v>65</v>
      </c>
      <c r="B708" t="s">
        <v>127</v>
      </c>
      <c r="C708" s="1">
        <v>44362.5</v>
      </c>
      <c r="D708" t="s">
        <v>139</v>
      </c>
      <c r="E708" t="s">
        <v>107</v>
      </c>
      <c r="F708">
        <v>29</v>
      </c>
      <c r="G708">
        <v>4.9500000000000002E-2</v>
      </c>
    </row>
    <row r="709" spans="1:7" x14ac:dyDescent="0.3">
      <c r="A709" t="s">
        <v>65</v>
      </c>
      <c r="B709" t="s">
        <v>127</v>
      </c>
      <c r="C709" s="1">
        <v>44362.5</v>
      </c>
      <c r="D709" t="s">
        <v>140</v>
      </c>
      <c r="E709" t="s">
        <v>108</v>
      </c>
      <c r="F709">
        <v>25</v>
      </c>
      <c r="G709">
        <v>4.9500000000000002E-2</v>
      </c>
    </row>
    <row r="710" spans="1:7" x14ac:dyDescent="0.3">
      <c r="A710" t="s">
        <v>65</v>
      </c>
      <c r="B710" t="s">
        <v>127</v>
      </c>
      <c r="C710" s="1">
        <v>44362.5</v>
      </c>
      <c r="D710" t="s">
        <v>141</v>
      </c>
      <c r="E710" t="s">
        <v>109</v>
      </c>
      <c r="F710">
        <v>30</v>
      </c>
      <c r="G710">
        <v>4.9500000000000002E-2</v>
      </c>
    </row>
    <row r="711" spans="1:7" x14ac:dyDescent="0.3">
      <c r="A711" t="s">
        <v>65</v>
      </c>
      <c r="B711" t="s">
        <v>127</v>
      </c>
      <c r="C711" s="1">
        <v>44362.5</v>
      </c>
      <c r="D711" t="s">
        <v>142</v>
      </c>
      <c r="E711" t="s">
        <v>110</v>
      </c>
      <c r="F711">
        <v>26</v>
      </c>
      <c r="G711">
        <v>4.9500000000000002E-2</v>
      </c>
    </row>
    <row r="712" spans="1:7" x14ac:dyDescent="0.3">
      <c r="A712" t="s">
        <v>65</v>
      </c>
      <c r="B712" t="s">
        <v>127</v>
      </c>
      <c r="C712" s="1">
        <v>44362.5</v>
      </c>
      <c r="D712" t="s">
        <v>143</v>
      </c>
      <c r="E712" t="s">
        <v>111</v>
      </c>
      <c r="F712">
        <v>31</v>
      </c>
      <c r="G712">
        <v>0.495</v>
      </c>
    </row>
    <row r="713" spans="1:7" x14ac:dyDescent="0.3">
      <c r="A713" t="s">
        <v>65</v>
      </c>
      <c r="B713" t="s">
        <v>127</v>
      </c>
      <c r="C713" s="1">
        <v>44362.5</v>
      </c>
      <c r="D713" t="s">
        <v>144</v>
      </c>
      <c r="E713" t="s">
        <v>112</v>
      </c>
      <c r="F713">
        <v>32</v>
      </c>
      <c r="G713">
        <v>0.495</v>
      </c>
    </row>
    <row r="714" spans="1:7" x14ac:dyDescent="0.3">
      <c r="A714" t="s">
        <v>65</v>
      </c>
      <c r="B714" t="s">
        <v>127</v>
      </c>
      <c r="C714" s="1">
        <v>44362.5</v>
      </c>
      <c r="D714" t="s">
        <v>145</v>
      </c>
      <c r="E714" t="s">
        <v>113</v>
      </c>
      <c r="F714">
        <v>33</v>
      </c>
      <c r="G714">
        <v>0.3</v>
      </c>
    </row>
    <row r="715" spans="1:7" x14ac:dyDescent="0.3">
      <c r="A715" t="s">
        <v>65</v>
      </c>
      <c r="B715" t="s">
        <v>127</v>
      </c>
      <c r="C715" s="1">
        <v>44362.5</v>
      </c>
      <c r="D715" t="s">
        <v>146</v>
      </c>
      <c r="E715" t="s">
        <v>114</v>
      </c>
      <c r="F715">
        <v>34</v>
      </c>
      <c r="G715">
        <v>0.2</v>
      </c>
    </row>
    <row r="716" spans="1:7" x14ac:dyDescent="0.3">
      <c r="A716" t="s">
        <v>65</v>
      </c>
      <c r="B716" t="s">
        <v>127</v>
      </c>
      <c r="C716" s="1">
        <v>44362.5</v>
      </c>
      <c r="D716" t="s">
        <v>147</v>
      </c>
      <c r="E716" t="s">
        <v>115</v>
      </c>
      <c r="F716">
        <v>47</v>
      </c>
      <c r="G716">
        <v>0.1</v>
      </c>
    </row>
    <row r="717" spans="1:7" x14ac:dyDescent="0.3">
      <c r="A717" t="s">
        <v>65</v>
      </c>
      <c r="B717" t="s">
        <v>127</v>
      </c>
      <c r="C717" s="1">
        <v>44362.5</v>
      </c>
      <c r="D717" t="s">
        <v>148</v>
      </c>
      <c r="E717" t="s">
        <v>116</v>
      </c>
      <c r="F717">
        <v>49</v>
      </c>
      <c r="G717">
        <v>0.1</v>
      </c>
    </row>
    <row r="718" spans="1:7" x14ac:dyDescent="0.3">
      <c r="A718" t="s">
        <v>65</v>
      </c>
      <c r="B718" t="s">
        <v>127</v>
      </c>
      <c r="C718" s="1">
        <v>44362.5</v>
      </c>
      <c r="D718" t="s">
        <v>149</v>
      </c>
      <c r="E718" t="s">
        <v>117</v>
      </c>
      <c r="F718">
        <v>35</v>
      </c>
      <c r="G718">
        <v>0.2</v>
      </c>
    </row>
    <row r="719" spans="1:7" x14ac:dyDescent="0.3">
      <c r="A719" t="s">
        <v>65</v>
      </c>
      <c r="B719" t="s">
        <v>127</v>
      </c>
      <c r="C719" s="1">
        <v>44362.5</v>
      </c>
      <c r="D719" t="s">
        <v>150</v>
      </c>
      <c r="E719" t="s">
        <v>118</v>
      </c>
      <c r="F719">
        <v>36</v>
      </c>
      <c r="G719">
        <v>0.2</v>
      </c>
    </row>
    <row r="720" spans="1:7" x14ac:dyDescent="0.3">
      <c r="A720" t="s">
        <v>65</v>
      </c>
      <c r="B720" t="s">
        <v>127</v>
      </c>
      <c r="C720" s="1">
        <v>44362.5</v>
      </c>
      <c r="D720" t="s">
        <v>151</v>
      </c>
      <c r="E720" t="s">
        <v>119</v>
      </c>
      <c r="F720">
        <v>46</v>
      </c>
      <c r="G720">
        <v>0.1</v>
      </c>
    </row>
    <row r="721" spans="1:7" x14ac:dyDescent="0.3">
      <c r="A721" t="s">
        <v>65</v>
      </c>
      <c r="B721" t="s">
        <v>127</v>
      </c>
      <c r="C721" s="1">
        <v>44362.5</v>
      </c>
      <c r="D721" t="s">
        <v>152</v>
      </c>
      <c r="E721" t="s">
        <v>120</v>
      </c>
      <c r="F721">
        <v>37</v>
      </c>
      <c r="G721">
        <v>0.25</v>
      </c>
    </row>
    <row r="722" spans="1:7" x14ac:dyDescent="0.3">
      <c r="A722" t="s">
        <v>65</v>
      </c>
      <c r="B722" t="s">
        <v>127</v>
      </c>
      <c r="C722" s="1">
        <v>44362.5</v>
      </c>
      <c r="D722" t="s">
        <v>153</v>
      </c>
      <c r="E722" t="s">
        <v>121</v>
      </c>
      <c r="F722">
        <v>38</v>
      </c>
      <c r="G722">
        <v>1.25</v>
      </c>
    </row>
    <row r="723" spans="1:7" x14ac:dyDescent="0.3">
      <c r="A723" t="s">
        <v>65</v>
      </c>
      <c r="B723" t="s">
        <v>127</v>
      </c>
      <c r="C723" s="1">
        <v>44362.5</v>
      </c>
      <c r="D723" t="s">
        <v>154</v>
      </c>
      <c r="E723" t="s">
        <v>122</v>
      </c>
      <c r="F723">
        <v>39</v>
      </c>
      <c r="G723">
        <v>1.25</v>
      </c>
    </row>
    <row r="724" spans="1:7" x14ac:dyDescent="0.3">
      <c r="A724" t="s">
        <v>65</v>
      </c>
      <c r="B724" t="s">
        <v>127</v>
      </c>
      <c r="C724" s="1">
        <v>44362.5</v>
      </c>
      <c r="D724" t="s">
        <v>155</v>
      </c>
      <c r="E724" t="s">
        <v>123</v>
      </c>
      <c r="F724">
        <v>19</v>
      </c>
      <c r="G724">
        <v>0.38</v>
      </c>
    </row>
    <row r="725" spans="1:7" x14ac:dyDescent="0.3">
      <c r="A725" t="s">
        <v>65</v>
      </c>
      <c r="B725" t="s">
        <v>127</v>
      </c>
      <c r="C725" s="1">
        <v>44362.5</v>
      </c>
      <c r="D725" t="s">
        <v>156</v>
      </c>
      <c r="E725" t="s">
        <v>124</v>
      </c>
      <c r="F725">
        <v>48</v>
      </c>
      <c r="G725">
        <v>0.1</v>
      </c>
    </row>
    <row r="726" spans="1:7" x14ac:dyDescent="0.3">
      <c r="A726" t="s">
        <v>66</v>
      </c>
      <c r="B726" t="s">
        <v>125</v>
      </c>
      <c r="C726" s="1">
        <v>44362.5</v>
      </c>
      <c r="D726" t="s">
        <v>9</v>
      </c>
      <c r="E726" t="s">
        <v>85</v>
      </c>
      <c r="F726">
        <v>1</v>
      </c>
      <c r="G726">
        <v>0.215</v>
      </c>
    </row>
    <row r="727" spans="1:7" x14ac:dyDescent="0.3">
      <c r="A727" t="s">
        <v>66</v>
      </c>
      <c r="B727" t="s">
        <v>125</v>
      </c>
      <c r="C727" s="1">
        <v>44362.5</v>
      </c>
      <c r="D727" t="s">
        <v>10</v>
      </c>
      <c r="E727" t="s">
        <v>86</v>
      </c>
      <c r="F727">
        <v>2</v>
      </c>
      <c r="G727">
        <v>0.15</v>
      </c>
    </row>
    <row r="728" spans="1:7" x14ac:dyDescent="0.3">
      <c r="A728" t="s">
        <v>66</v>
      </c>
      <c r="B728" t="s">
        <v>125</v>
      </c>
      <c r="C728" s="1">
        <v>44362.5</v>
      </c>
      <c r="D728" t="s">
        <v>12</v>
      </c>
      <c r="E728" t="s">
        <v>87</v>
      </c>
      <c r="F728">
        <v>3</v>
      </c>
      <c r="G728">
        <v>0.2</v>
      </c>
    </row>
    <row r="729" spans="1:7" x14ac:dyDescent="0.3">
      <c r="A729" t="s">
        <v>66</v>
      </c>
      <c r="B729" t="s">
        <v>125</v>
      </c>
      <c r="C729" s="1">
        <v>44362.5</v>
      </c>
      <c r="D729" t="s">
        <v>14</v>
      </c>
      <c r="E729" t="s">
        <v>88</v>
      </c>
      <c r="F729">
        <v>4</v>
      </c>
      <c r="G729">
        <v>0.1</v>
      </c>
    </row>
    <row r="730" spans="1:7" x14ac:dyDescent="0.3">
      <c r="A730" t="s">
        <v>66</v>
      </c>
      <c r="B730" t="s">
        <v>125</v>
      </c>
      <c r="C730" s="1">
        <v>44362.5</v>
      </c>
      <c r="D730" t="s">
        <v>16</v>
      </c>
      <c r="E730" t="s">
        <v>89</v>
      </c>
      <c r="F730">
        <v>5</v>
      </c>
      <c r="G730">
        <v>0.61</v>
      </c>
    </row>
    <row r="731" spans="1:7" x14ac:dyDescent="0.3">
      <c r="A731" t="s">
        <v>66</v>
      </c>
      <c r="B731" t="s">
        <v>125</v>
      </c>
      <c r="C731" s="1">
        <v>44362.5</v>
      </c>
      <c r="D731" t="s">
        <v>18</v>
      </c>
      <c r="E731" t="s">
        <v>90</v>
      </c>
      <c r="F731">
        <v>6</v>
      </c>
      <c r="G731">
        <v>0.34</v>
      </c>
    </row>
    <row r="732" spans="1:7" x14ac:dyDescent="0.3">
      <c r="A732" t="s">
        <v>66</v>
      </c>
      <c r="B732" t="s">
        <v>125</v>
      </c>
      <c r="C732" s="1">
        <v>44362.5</v>
      </c>
      <c r="D732" t="s">
        <v>129</v>
      </c>
      <c r="E732" t="s">
        <v>91</v>
      </c>
      <c r="F732">
        <v>7</v>
      </c>
      <c r="G732">
        <v>0.28999999999999998</v>
      </c>
    </row>
    <row r="733" spans="1:7" x14ac:dyDescent="0.3">
      <c r="A733" t="s">
        <v>66</v>
      </c>
      <c r="B733" t="s">
        <v>125</v>
      </c>
      <c r="C733" s="1">
        <v>44362.5</v>
      </c>
      <c r="D733" t="s">
        <v>130</v>
      </c>
      <c r="E733" t="s">
        <v>92</v>
      </c>
      <c r="F733">
        <v>8</v>
      </c>
      <c r="G733">
        <v>0.84</v>
      </c>
    </row>
    <row r="734" spans="1:7" x14ac:dyDescent="0.3">
      <c r="A734" t="s">
        <v>66</v>
      </c>
      <c r="B734" t="s">
        <v>125</v>
      </c>
      <c r="C734" s="1">
        <v>44362.5</v>
      </c>
      <c r="D734" t="s">
        <v>131</v>
      </c>
      <c r="E734" t="s">
        <v>93</v>
      </c>
      <c r="F734">
        <v>9</v>
      </c>
      <c r="G734">
        <v>1.3</v>
      </c>
    </row>
    <row r="735" spans="1:7" x14ac:dyDescent="0.3">
      <c r="A735" t="s">
        <v>66</v>
      </c>
      <c r="B735" t="s">
        <v>125</v>
      </c>
      <c r="C735" s="1">
        <v>44362.5</v>
      </c>
      <c r="D735" t="s">
        <v>132</v>
      </c>
      <c r="E735" t="s">
        <v>94</v>
      </c>
      <c r="F735">
        <v>10</v>
      </c>
      <c r="G735">
        <v>1.1000000000000001</v>
      </c>
    </row>
    <row r="736" spans="1:7" x14ac:dyDescent="0.3">
      <c r="A736" t="s">
        <v>66</v>
      </c>
      <c r="B736" t="s">
        <v>125</v>
      </c>
      <c r="C736" s="1">
        <v>44362.5</v>
      </c>
      <c r="D736" t="s">
        <v>133</v>
      </c>
      <c r="E736" t="s">
        <v>95</v>
      </c>
      <c r="F736">
        <v>11</v>
      </c>
      <c r="G736">
        <v>0.91</v>
      </c>
    </row>
    <row r="737" spans="1:7" x14ac:dyDescent="0.3">
      <c r="A737" t="s">
        <v>66</v>
      </c>
      <c r="B737" t="s">
        <v>125</v>
      </c>
      <c r="C737" s="1">
        <v>44362.5</v>
      </c>
      <c r="D737" t="s">
        <v>11</v>
      </c>
      <c r="E737" t="s">
        <v>96</v>
      </c>
      <c r="F737">
        <v>13</v>
      </c>
      <c r="G737">
        <v>0.1</v>
      </c>
    </row>
    <row r="738" spans="1:7" x14ac:dyDescent="0.3">
      <c r="A738" t="s">
        <v>66</v>
      </c>
      <c r="B738" t="s">
        <v>125</v>
      </c>
      <c r="C738" s="1">
        <v>44362.5</v>
      </c>
      <c r="D738" t="s">
        <v>13</v>
      </c>
      <c r="E738" t="s">
        <v>97</v>
      </c>
      <c r="F738">
        <v>14</v>
      </c>
      <c r="G738">
        <v>0.17</v>
      </c>
    </row>
    <row r="739" spans="1:7" x14ac:dyDescent="0.3">
      <c r="A739" t="s">
        <v>66</v>
      </c>
      <c r="B739" t="s">
        <v>125</v>
      </c>
      <c r="C739" s="1">
        <v>44362.5</v>
      </c>
      <c r="D739" t="s">
        <v>15</v>
      </c>
      <c r="E739" t="s">
        <v>98</v>
      </c>
      <c r="F739">
        <v>15</v>
      </c>
      <c r="G739">
        <v>2.2000000000000002</v>
      </c>
    </row>
    <row r="740" spans="1:7" x14ac:dyDescent="0.3">
      <c r="A740" t="s">
        <v>66</v>
      </c>
      <c r="B740" t="s">
        <v>125</v>
      </c>
      <c r="C740" s="1">
        <v>44362.5</v>
      </c>
      <c r="D740" t="s">
        <v>17</v>
      </c>
      <c r="E740" t="s">
        <v>99</v>
      </c>
      <c r="F740">
        <v>16</v>
      </c>
      <c r="G740">
        <v>0.32</v>
      </c>
    </row>
    <row r="741" spans="1:7" x14ac:dyDescent="0.3">
      <c r="A741" t="s">
        <v>66</v>
      </c>
      <c r="B741" t="s">
        <v>125</v>
      </c>
      <c r="C741" s="1">
        <v>44362.5</v>
      </c>
      <c r="D741" t="s">
        <v>19</v>
      </c>
      <c r="E741" t="s">
        <v>100</v>
      </c>
      <c r="F741">
        <v>17</v>
      </c>
      <c r="G741">
        <v>55</v>
      </c>
    </row>
    <row r="742" spans="1:7" x14ac:dyDescent="0.3">
      <c r="A742" t="s">
        <v>66</v>
      </c>
      <c r="B742" t="s">
        <v>125</v>
      </c>
      <c r="C742" s="1">
        <v>44362.5</v>
      </c>
      <c r="D742" t="s">
        <v>134</v>
      </c>
      <c r="E742" t="s">
        <v>101</v>
      </c>
      <c r="F742">
        <v>18</v>
      </c>
      <c r="G742">
        <v>0.31</v>
      </c>
    </row>
    <row r="743" spans="1:7" x14ac:dyDescent="0.3">
      <c r="A743" t="s">
        <v>66</v>
      </c>
      <c r="B743" t="s">
        <v>125</v>
      </c>
      <c r="C743" s="1">
        <v>44362.5</v>
      </c>
      <c r="D743" t="s">
        <v>135</v>
      </c>
      <c r="E743" t="s">
        <v>102</v>
      </c>
      <c r="F743">
        <v>20</v>
      </c>
      <c r="G743">
        <v>0.55000000000000004</v>
      </c>
    </row>
    <row r="744" spans="1:7" x14ac:dyDescent="0.3">
      <c r="A744" t="s">
        <v>66</v>
      </c>
      <c r="B744" t="s">
        <v>125</v>
      </c>
      <c r="C744" s="1">
        <v>44362.5</v>
      </c>
      <c r="D744" t="s">
        <v>136</v>
      </c>
      <c r="E744" t="s">
        <v>103</v>
      </c>
      <c r="F744">
        <v>21</v>
      </c>
      <c r="G744">
        <v>0.215</v>
      </c>
    </row>
    <row r="745" spans="1:7" x14ac:dyDescent="0.3">
      <c r="A745" t="s">
        <v>66</v>
      </c>
      <c r="B745" t="s">
        <v>125</v>
      </c>
      <c r="C745" s="1">
        <v>44362.5</v>
      </c>
      <c r="D745" t="s">
        <v>60</v>
      </c>
      <c r="E745" t="s">
        <v>104</v>
      </c>
      <c r="F745">
        <v>22</v>
      </c>
      <c r="G745">
        <v>0.57999999999999996</v>
      </c>
    </row>
    <row r="746" spans="1:7" x14ac:dyDescent="0.3">
      <c r="A746" t="s">
        <v>66</v>
      </c>
      <c r="B746" t="s">
        <v>125</v>
      </c>
      <c r="C746" s="1">
        <v>44362.5</v>
      </c>
      <c r="D746" t="s">
        <v>137</v>
      </c>
      <c r="E746" t="s">
        <v>105</v>
      </c>
      <c r="F746">
        <v>23</v>
      </c>
      <c r="G746">
        <v>0.95</v>
      </c>
    </row>
    <row r="747" spans="1:7" x14ac:dyDescent="0.3">
      <c r="A747" t="s">
        <v>66</v>
      </c>
      <c r="B747" t="s">
        <v>125</v>
      </c>
      <c r="C747" s="1">
        <v>44362.5</v>
      </c>
      <c r="D747" t="s">
        <v>138</v>
      </c>
      <c r="E747" t="s">
        <v>106</v>
      </c>
      <c r="F747">
        <v>27</v>
      </c>
      <c r="G747">
        <v>0.68</v>
      </c>
    </row>
    <row r="748" spans="1:7" x14ac:dyDescent="0.3">
      <c r="A748" t="s">
        <v>66</v>
      </c>
      <c r="B748" t="s">
        <v>125</v>
      </c>
      <c r="C748" s="1">
        <v>44362.5</v>
      </c>
      <c r="D748" t="s">
        <v>139</v>
      </c>
      <c r="E748" t="s">
        <v>107</v>
      </c>
      <c r="F748">
        <v>29</v>
      </c>
      <c r="G748">
        <v>5.5E-2</v>
      </c>
    </row>
    <row r="749" spans="1:7" x14ac:dyDescent="0.3">
      <c r="A749" t="s">
        <v>66</v>
      </c>
      <c r="B749" t="s">
        <v>125</v>
      </c>
      <c r="C749" s="1">
        <v>44362.5</v>
      </c>
      <c r="D749" t="s">
        <v>140</v>
      </c>
      <c r="E749" t="s">
        <v>108</v>
      </c>
      <c r="F749">
        <v>25</v>
      </c>
      <c r="G749">
        <v>5.5E-2</v>
      </c>
    </row>
    <row r="750" spans="1:7" x14ac:dyDescent="0.3">
      <c r="A750" t="s">
        <v>66</v>
      </c>
      <c r="B750" t="s">
        <v>125</v>
      </c>
      <c r="C750" s="1">
        <v>44362.5</v>
      </c>
      <c r="D750" t="s">
        <v>141</v>
      </c>
      <c r="E750" t="s">
        <v>109</v>
      </c>
      <c r="F750">
        <v>30</v>
      </c>
      <c r="G750">
        <v>5.5E-2</v>
      </c>
    </row>
    <row r="751" spans="1:7" x14ac:dyDescent="0.3">
      <c r="A751" t="s">
        <v>66</v>
      </c>
      <c r="B751" t="s">
        <v>125</v>
      </c>
      <c r="C751" s="1">
        <v>44362.5</v>
      </c>
      <c r="D751" t="s">
        <v>142</v>
      </c>
      <c r="E751" t="s">
        <v>110</v>
      </c>
      <c r="F751">
        <v>26</v>
      </c>
      <c r="G751">
        <v>5.5E-2</v>
      </c>
    </row>
    <row r="752" spans="1:7" x14ac:dyDescent="0.3">
      <c r="A752" t="s">
        <v>66</v>
      </c>
      <c r="B752" t="s">
        <v>125</v>
      </c>
      <c r="C752" s="1">
        <v>44362.5</v>
      </c>
      <c r="D752" t="s">
        <v>143</v>
      </c>
      <c r="E752" t="s">
        <v>111</v>
      </c>
      <c r="F752">
        <v>31</v>
      </c>
      <c r="G752">
        <v>1.8</v>
      </c>
    </row>
    <row r="753" spans="1:7" x14ac:dyDescent="0.3">
      <c r="A753" t="s">
        <v>66</v>
      </c>
      <c r="B753" t="s">
        <v>125</v>
      </c>
      <c r="C753" s="1">
        <v>44362.5</v>
      </c>
      <c r="D753" t="s">
        <v>144</v>
      </c>
      <c r="E753" t="s">
        <v>112</v>
      </c>
      <c r="F753">
        <v>32</v>
      </c>
      <c r="G753">
        <v>0.55000000000000004</v>
      </c>
    </row>
    <row r="754" spans="1:7" x14ac:dyDescent="0.3">
      <c r="A754" t="s">
        <v>66</v>
      </c>
      <c r="B754" t="s">
        <v>125</v>
      </c>
      <c r="C754" s="1">
        <v>44362.5</v>
      </c>
      <c r="D754" t="s">
        <v>145</v>
      </c>
      <c r="E754" t="s">
        <v>113</v>
      </c>
      <c r="F754">
        <v>33</v>
      </c>
      <c r="G754">
        <v>0.32</v>
      </c>
    </row>
    <row r="755" spans="1:7" x14ac:dyDescent="0.3">
      <c r="A755" t="s">
        <v>66</v>
      </c>
      <c r="B755" t="s">
        <v>125</v>
      </c>
      <c r="C755" s="1">
        <v>44362.5</v>
      </c>
      <c r="D755" t="s">
        <v>146</v>
      </c>
      <c r="E755" t="s">
        <v>114</v>
      </c>
      <c r="F755">
        <v>34</v>
      </c>
      <c r="G755">
        <v>0.215</v>
      </c>
    </row>
    <row r="756" spans="1:7" x14ac:dyDescent="0.3">
      <c r="A756" t="s">
        <v>66</v>
      </c>
      <c r="B756" t="s">
        <v>125</v>
      </c>
      <c r="C756" s="1">
        <v>44362.5</v>
      </c>
      <c r="D756" t="s">
        <v>147</v>
      </c>
      <c r="E756" t="s">
        <v>115</v>
      </c>
      <c r="F756">
        <v>47</v>
      </c>
      <c r="G756">
        <v>0.105</v>
      </c>
    </row>
    <row r="757" spans="1:7" x14ac:dyDescent="0.3">
      <c r="A757" t="s">
        <v>66</v>
      </c>
      <c r="B757" t="s">
        <v>125</v>
      </c>
      <c r="C757" s="1">
        <v>44362.5</v>
      </c>
      <c r="D757" t="s">
        <v>148</v>
      </c>
      <c r="E757" t="s">
        <v>116</v>
      </c>
      <c r="F757">
        <v>49</v>
      </c>
      <c r="G757">
        <v>0.105</v>
      </c>
    </row>
    <row r="758" spans="1:7" x14ac:dyDescent="0.3">
      <c r="A758" t="s">
        <v>66</v>
      </c>
      <c r="B758" t="s">
        <v>125</v>
      </c>
      <c r="C758" s="1">
        <v>44362.5</v>
      </c>
      <c r="D758" t="s">
        <v>149</v>
      </c>
      <c r="E758" t="s">
        <v>117</v>
      </c>
      <c r="F758">
        <v>35</v>
      </c>
      <c r="G758">
        <v>0.215</v>
      </c>
    </row>
    <row r="759" spans="1:7" x14ac:dyDescent="0.3">
      <c r="A759" t="s">
        <v>66</v>
      </c>
      <c r="B759" t="s">
        <v>125</v>
      </c>
      <c r="C759" s="1">
        <v>44362.5</v>
      </c>
      <c r="D759" t="s">
        <v>150</v>
      </c>
      <c r="E759" t="s">
        <v>118</v>
      </c>
      <c r="F759">
        <v>36</v>
      </c>
      <c r="G759">
        <v>0.215</v>
      </c>
    </row>
    <row r="760" spans="1:7" x14ac:dyDescent="0.3">
      <c r="A760" t="s">
        <v>66</v>
      </c>
      <c r="B760" t="s">
        <v>125</v>
      </c>
      <c r="C760" s="1">
        <v>44362.5</v>
      </c>
      <c r="D760" t="s">
        <v>151</v>
      </c>
      <c r="E760" t="s">
        <v>119</v>
      </c>
      <c r="F760">
        <v>46</v>
      </c>
      <c r="G760">
        <v>0.105</v>
      </c>
    </row>
    <row r="761" spans="1:7" x14ac:dyDescent="0.3">
      <c r="A761" t="s">
        <v>66</v>
      </c>
      <c r="B761" t="s">
        <v>125</v>
      </c>
      <c r="C761" s="1">
        <v>44362.5</v>
      </c>
      <c r="D761" t="s">
        <v>152</v>
      </c>
      <c r="E761" t="s">
        <v>120</v>
      </c>
      <c r="F761">
        <v>37</v>
      </c>
      <c r="G761">
        <v>0.26500000000000001</v>
      </c>
    </row>
    <row r="762" spans="1:7" x14ac:dyDescent="0.3">
      <c r="A762" t="s">
        <v>66</v>
      </c>
      <c r="B762" t="s">
        <v>125</v>
      </c>
      <c r="C762" s="1">
        <v>44362.5</v>
      </c>
      <c r="D762" t="s">
        <v>153</v>
      </c>
      <c r="E762" t="s">
        <v>121</v>
      </c>
      <c r="F762">
        <v>38</v>
      </c>
      <c r="G762">
        <v>1.35</v>
      </c>
    </row>
    <row r="763" spans="1:7" x14ac:dyDescent="0.3">
      <c r="A763" t="s">
        <v>66</v>
      </c>
      <c r="B763" t="s">
        <v>125</v>
      </c>
      <c r="C763" s="1">
        <v>44362.5</v>
      </c>
      <c r="D763" t="s">
        <v>154</v>
      </c>
      <c r="E763" t="s">
        <v>122</v>
      </c>
      <c r="F763">
        <v>39</v>
      </c>
      <c r="G763">
        <v>1.9</v>
      </c>
    </row>
    <row r="764" spans="1:7" x14ac:dyDescent="0.3">
      <c r="A764" t="s">
        <v>66</v>
      </c>
      <c r="B764" t="s">
        <v>125</v>
      </c>
      <c r="C764" s="1">
        <v>44362.5</v>
      </c>
      <c r="D764" t="s">
        <v>155</v>
      </c>
      <c r="E764" t="s">
        <v>123</v>
      </c>
      <c r="F764">
        <v>19</v>
      </c>
      <c r="G764">
        <v>0.81</v>
      </c>
    </row>
    <row r="765" spans="1:7" x14ac:dyDescent="0.3">
      <c r="A765" t="s">
        <v>66</v>
      </c>
      <c r="B765" t="s">
        <v>125</v>
      </c>
      <c r="C765" s="1">
        <v>44362.5</v>
      </c>
      <c r="D765" t="s">
        <v>156</v>
      </c>
      <c r="E765" t="s">
        <v>124</v>
      </c>
      <c r="F765">
        <v>48</v>
      </c>
      <c r="G765">
        <v>0.11</v>
      </c>
    </row>
    <row r="766" spans="1:7" x14ac:dyDescent="0.3">
      <c r="A766" t="s">
        <v>67</v>
      </c>
      <c r="B766" t="s">
        <v>128</v>
      </c>
      <c r="C766" s="1">
        <v>44377.5</v>
      </c>
      <c r="D766" t="s">
        <v>9</v>
      </c>
      <c r="E766" t="s">
        <v>85</v>
      </c>
      <c r="F766">
        <v>1</v>
      </c>
      <c r="G766">
        <v>0.2</v>
      </c>
    </row>
    <row r="767" spans="1:7" x14ac:dyDescent="0.3">
      <c r="A767" t="s">
        <v>67</v>
      </c>
      <c r="B767" t="s">
        <v>128</v>
      </c>
      <c r="C767" s="1">
        <v>44377.5</v>
      </c>
      <c r="D767" t="s">
        <v>10</v>
      </c>
      <c r="E767" t="s">
        <v>86</v>
      </c>
      <c r="F767">
        <v>2</v>
      </c>
      <c r="G767">
        <v>0.1</v>
      </c>
    </row>
    <row r="768" spans="1:7" x14ac:dyDescent="0.3">
      <c r="A768" t="s">
        <v>67</v>
      </c>
      <c r="B768" t="s">
        <v>128</v>
      </c>
      <c r="C768" s="1">
        <v>44377.5</v>
      </c>
      <c r="D768" t="s">
        <v>12</v>
      </c>
      <c r="E768" t="s">
        <v>87</v>
      </c>
      <c r="F768">
        <v>3</v>
      </c>
      <c r="G768">
        <v>0.09</v>
      </c>
    </row>
    <row r="769" spans="1:7" x14ac:dyDescent="0.3">
      <c r="A769" t="s">
        <v>67</v>
      </c>
      <c r="B769" t="s">
        <v>128</v>
      </c>
      <c r="C769" s="1">
        <v>44377.5</v>
      </c>
      <c r="D769" t="s">
        <v>14</v>
      </c>
      <c r="E769" t="s">
        <v>88</v>
      </c>
      <c r="F769">
        <v>4</v>
      </c>
      <c r="G769">
        <v>0.09</v>
      </c>
    </row>
    <row r="770" spans="1:7" x14ac:dyDescent="0.3">
      <c r="A770" t="s">
        <v>67</v>
      </c>
      <c r="B770" t="s">
        <v>128</v>
      </c>
      <c r="C770" s="1">
        <v>44377.5</v>
      </c>
      <c r="D770" t="s">
        <v>16</v>
      </c>
      <c r="E770" t="s">
        <v>89</v>
      </c>
      <c r="F770">
        <v>5</v>
      </c>
      <c r="G770">
        <v>0.1</v>
      </c>
    </row>
    <row r="771" spans="1:7" x14ac:dyDescent="0.3">
      <c r="A771" t="s">
        <v>67</v>
      </c>
      <c r="B771" t="s">
        <v>128</v>
      </c>
      <c r="C771" s="1">
        <v>44377.5</v>
      </c>
      <c r="D771" t="s">
        <v>18</v>
      </c>
      <c r="E771" t="s">
        <v>90</v>
      </c>
      <c r="F771">
        <v>6</v>
      </c>
      <c r="G771">
        <v>0.05</v>
      </c>
    </row>
    <row r="772" spans="1:7" x14ac:dyDescent="0.3">
      <c r="A772" t="s">
        <v>67</v>
      </c>
      <c r="B772" t="s">
        <v>128</v>
      </c>
      <c r="C772" s="1">
        <v>44377.5</v>
      </c>
      <c r="D772" t="s">
        <v>129</v>
      </c>
      <c r="E772" t="s">
        <v>91</v>
      </c>
      <c r="F772">
        <v>7</v>
      </c>
      <c r="G772">
        <v>0.05</v>
      </c>
    </row>
    <row r="773" spans="1:7" x14ac:dyDescent="0.3">
      <c r="A773" t="s">
        <v>67</v>
      </c>
      <c r="B773" t="s">
        <v>128</v>
      </c>
      <c r="C773" s="1">
        <v>44377.5</v>
      </c>
      <c r="D773" t="s">
        <v>130</v>
      </c>
      <c r="E773" t="s">
        <v>92</v>
      </c>
      <c r="F773">
        <v>8</v>
      </c>
      <c r="G773">
        <v>7.2999999999999995E-2</v>
      </c>
    </row>
    <row r="774" spans="1:7" x14ac:dyDescent="0.3">
      <c r="A774" t="s">
        <v>67</v>
      </c>
      <c r="B774" t="s">
        <v>128</v>
      </c>
      <c r="C774" s="1">
        <v>44377.5</v>
      </c>
      <c r="D774" t="s">
        <v>131</v>
      </c>
      <c r="E774" t="s">
        <v>93</v>
      </c>
      <c r="F774">
        <v>9</v>
      </c>
      <c r="G774">
        <v>5.5E-2</v>
      </c>
    </row>
    <row r="775" spans="1:7" x14ac:dyDescent="0.3">
      <c r="A775" t="s">
        <v>67</v>
      </c>
      <c r="B775" t="s">
        <v>128</v>
      </c>
      <c r="C775" s="1">
        <v>44377.5</v>
      </c>
      <c r="D775" t="s">
        <v>132</v>
      </c>
      <c r="E775" t="s">
        <v>94</v>
      </c>
      <c r="F775">
        <v>10</v>
      </c>
      <c r="G775">
        <v>0.05</v>
      </c>
    </row>
    <row r="776" spans="1:7" x14ac:dyDescent="0.3">
      <c r="A776" t="s">
        <v>67</v>
      </c>
      <c r="B776" t="s">
        <v>128</v>
      </c>
      <c r="C776" s="1">
        <v>44377.5</v>
      </c>
      <c r="D776" t="s">
        <v>133</v>
      </c>
      <c r="E776" t="s">
        <v>95</v>
      </c>
      <c r="F776">
        <v>11</v>
      </c>
      <c r="G776">
        <v>0.05</v>
      </c>
    </row>
    <row r="777" spans="1:7" x14ac:dyDescent="0.3">
      <c r="A777" t="s">
        <v>67</v>
      </c>
      <c r="B777" t="s">
        <v>128</v>
      </c>
      <c r="C777" s="1">
        <v>44377.5</v>
      </c>
      <c r="D777" t="s">
        <v>11</v>
      </c>
      <c r="E777" t="s">
        <v>96</v>
      </c>
      <c r="F777">
        <v>13</v>
      </c>
      <c r="G777">
        <v>0.05</v>
      </c>
    </row>
    <row r="778" spans="1:7" x14ac:dyDescent="0.3">
      <c r="A778" t="s">
        <v>67</v>
      </c>
      <c r="B778" t="s">
        <v>128</v>
      </c>
      <c r="C778" s="1">
        <v>44377.5</v>
      </c>
      <c r="D778" t="s">
        <v>13</v>
      </c>
      <c r="E778" t="s">
        <v>97</v>
      </c>
      <c r="F778">
        <v>14</v>
      </c>
      <c r="G778">
        <v>0.05</v>
      </c>
    </row>
    <row r="779" spans="1:7" x14ac:dyDescent="0.3">
      <c r="A779" t="s">
        <v>67</v>
      </c>
      <c r="B779" t="s">
        <v>128</v>
      </c>
      <c r="C779" s="1">
        <v>44377.5</v>
      </c>
      <c r="D779" t="s">
        <v>15</v>
      </c>
      <c r="E779" t="s">
        <v>98</v>
      </c>
      <c r="F779">
        <v>15</v>
      </c>
      <c r="G779">
        <v>0.3</v>
      </c>
    </row>
    <row r="780" spans="1:7" x14ac:dyDescent="0.3">
      <c r="A780" t="s">
        <v>67</v>
      </c>
      <c r="B780" t="s">
        <v>128</v>
      </c>
      <c r="C780" s="1">
        <v>44377.5</v>
      </c>
      <c r="D780" t="s">
        <v>17</v>
      </c>
      <c r="E780" t="s">
        <v>99</v>
      </c>
      <c r="F780">
        <v>16</v>
      </c>
      <c r="G780">
        <v>0.05</v>
      </c>
    </row>
    <row r="781" spans="1:7" x14ac:dyDescent="0.3">
      <c r="A781" t="s">
        <v>67</v>
      </c>
      <c r="B781" t="s">
        <v>128</v>
      </c>
      <c r="C781" s="1">
        <v>44377.5</v>
      </c>
      <c r="D781" t="s">
        <v>19</v>
      </c>
      <c r="E781" t="s">
        <v>100</v>
      </c>
      <c r="F781">
        <v>17</v>
      </c>
      <c r="G781">
        <v>4</v>
      </c>
    </row>
    <row r="782" spans="1:7" x14ac:dyDescent="0.3">
      <c r="A782" t="s">
        <v>67</v>
      </c>
      <c r="B782" t="s">
        <v>128</v>
      </c>
      <c r="C782" s="1">
        <v>44377.5</v>
      </c>
      <c r="D782" t="s">
        <v>134</v>
      </c>
      <c r="E782" t="s">
        <v>101</v>
      </c>
      <c r="F782">
        <v>18</v>
      </c>
      <c r="G782">
        <v>0.05</v>
      </c>
    </row>
    <row r="783" spans="1:7" x14ac:dyDescent="0.3">
      <c r="A783" t="s">
        <v>67</v>
      </c>
      <c r="B783" t="s">
        <v>128</v>
      </c>
      <c r="C783" s="1">
        <v>44377.5</v>
      </c>
      <c r="D783" t="s">
        <v>135</v>
      </c>
      <c r="E783" t="s">
        <v>102</v>
      </c>
      <c r="F783">
        <v>20</v>
      </c>
      <c r="G783">
        <v>0.05</v>
      </c>
    </row>
    <row r="784" spans="1:7" x14ac:dyDescent="0.3">
      <c r="A784" t="s">
        <v>67</v>
      </c>
      <c r="B784" t="s">
        <v>128</v>
      </c>
      <c r="C784" s="1">
        <v>44377.5</v>
      </c>
      <c r="D784" t="s">
        <v>136</v>
      </c>
      <c r="E784" t="s">
        <v>103</v>
      </c>
      <c r="F784">
        <v>21</v>
      </c>
      <c r="G784">
        <v>0.2</v>
      </c>
    </row>
    <row r="785" spans="1:7" x14ac:dyDescent="0.3">
      <c r="A785" t="s">
        <v>67</v>
      </c>
      <c r="B785" t="s">
        <v>128</v>
      </c>
      <c r="C785" s="1">
        <v>44377.5</v>
      </c>
      <c r="D785" t="s">
        <v>60</v>
      </c>
      <c r="E785" t="s">
        <v>104</v>
      </c>
      <c r="F785">
        <v>22</v>
      </c>
      <c r="G785">
        <v>0.4</v>
      </c>
    </row>
    <row r="786" spans="1:7" x14ac:dyDescent="0.3">
      <c r="A786" t="s">
        <v>67</v>
      </c>
      <c r="B786" t="s">
        <v>128</v>
      </c>
      <c r="C786" s="1">
        <v>44377.5</v>
      </c>
      <c r="D786" t="s">
        <v>137</v>
      </c>
      <c r="E786" t="s">
        <v>105</v>
      </c>
      <c r="F786">
        <v>23</v>
      </c>
      <c r="G786">
        <v>0.4</v>
      </c>
    </row>
    <row r="787" spans="1:7" x14ac:dyDescent="0.3">
      <c r="A787" t="s">
        <v>67</v>
      </c>
      <c r="B787" t="s">
        <v>128</v>
      </c>
      <c r="C787" s="1">
        <v>44377.5</v>
      </c>
      <c r="D787" t="s">
        <v>138</v>
      </c>
      <c r="E787" t="s">
        <v>106</v>
      </c>
      <c r="F787">
        <v>27</v>
      </c>
      <c r="G787">
        <v>0.09</v>
      </c>
    </row>
    <row r="788" spans="1:7" x14ac:dyDescent="0.3">
      <c r="A788" t="s">
        <v>67</v>
      </c>
      <c r="B788" t="s">
        <v>128</v>
      </c>
      <c r="C788" s="1">
        <v>44377.5</v>
      </c>
      <c r="D788" t="s">
        <v>139</v>
      </c>
      <c r="E788" t="s">
        <v>107</v>
      </c>
      <c r="F788">
        <v>29</v>
      </c>
      <c r="G788">
        <v>0.05</v>
      </c>
    </row>
    <row r="789" spans="1:7" x14ac:dyDescent="0.3">
      <c r="A789" t="s">
        <v>67</v>
      </c>
      <c r="B789" t="s">
        <v>128</v>
      </c>
      <c r="C789" s="1">
        <v>44377.5</v>
      </c>
      <c r="D789" t="s">
        <v>140</v>
      </c>
      <c r="E789" t="s">
        <v>108</v>
      </c>
      <c r="F789">
        <v>25</v>
      </c>
      <c r="G789">
        <v>0.05</v>
      </c>
    </row>
    <row r="790" spans="1:7" x14ac:dyDescent="0.3">
      <c r="A790" t="s">
        <v>67</v>
      </c>
      <c r="B790" t="s">
        <v>128</v>
      </c>
      <c r="C790" s="1">
        <v>44377.5</v>
      </c>
      <c r="D790" t="s">
        <v>141</v>
      </c>
      <c r="E790" t="s">
        <v>109</v>
      </c>
      <c r="F790">
        <v>30</v>
      </c>
      <c r="G790">
        <v>0.05</v>
      </c>
    </row>
    <row r="791" spans="1:7" x14ac:dyDescent="0.3">
      <c r="A791" t="s">
        <v>67</v>
      </c>
      <c r="B791" t="s">
        <v>128</v>
      </c>
      <c r="C791" s="1">
        <v>44377.5</v>
      </c>
      <c r="D791" t="s">
        <v>142</v>
      </c>
      <c r="E791" t="s">
        <v>110</v>
      </c>
      <c r="F791">
        <v>26</v>
      </c>
      <c r="G791">
        <v>0.05</v>
      </c>
    </row>
    <row r="792" spans="1:7" x14ac:dyDescent="0.3">
      <c r="A792" t="s">
        <v>67</v>
      </c>
      <c r="B792" t="s">
        <v>128</v>
      </c>
      <c r="C792" s="1">
        <v>44377.5</v>
      </c>
      <c r="D792" t="s">
        <v>143</v>
      </c>
      <c r="E792" t="s">
        <v>111</v>
      </c>
      <c r="F792">
        <v>31</v>
      </c>
      <c r="G792">
        <v>0.5</v>
      </c>
    </row>
    <row r="793" spans="1:7" x14ac:dyDescent="0.3">
      <c r="A793" t="s">
        <v>67</v>
      </c>
      <c r="B793" t="s">
        <v>128</v>
      </c>
      <c r="C793" s="1">
        <v>44377.5</v>
      </c>
      <c r="D793" t="s">
        <v>144</v>
      </c>
      <c r="E793" t="s">
        <v>112</v>
      </c>
      <c r="F793">
        <v>32</v>
      </c>
      <c r="G793">
        <v>0.5</v>
      </c>
    </row>
    <row r="794" spans="1:7" x14ac:dyDescent="0.3">
      <c r="A794" t="s">
        <v>67</v>
      </c>
      <c r="B794" t="s">
        <v>128</v>
      </c>
      <c r="C794" s="1">
        <v>44377.5</v>
      </c>
      <c r="D794" t="s">
        <v>145</v>
      </c>
      <c r="E794" t="s">
        <v>113</v>
      </c>
      <c r="F794">
        <v>33</v>
      </c>
      <c r="G794">
        <v>0.3</v>
      </c>
    </row>
    <row r="795" spans="1:7" x14ac:dyDescent="0.3">
      <c r="A795" t="s">
        <v>67</v>
      </c>
      <c r="B795" t="s">
        <v>128</v>
      </c>
      <c r="C795" s="1">
        <v>44377.5</v>
      </c>
      <c r="D795" t="s">
        <v>146</v>
      </c>
      <c r="E795" t="s">
        <v>114</v>
      </c>
      <c r="F795">
        <v>34</v>
      </c>
      <c r="G795">
        <v>0.2</v>
      </c>
    </row>
    <row r="796" spans="1:7" x14ac:dyDescent="0.3">
      <c r="A796" t="s">
        <v>67</v>
      </c>
      <c r="B796" t="s">
        <v>128</v>
      </c>
      <c r="C796" s="1">
        <v>44377.5</v>
      </c>
      <c r="D796" t="s">
        <v>147</v>
      </c>
      <c r="E796" t="s">
        <v>115</v>
      </c>
      <c r="F796">
        <v>47</v>
      </c>
      <c r="G796">
        <v>0.1</v>
      </c>
    </row>
    <row r="797" spans="1:7" x14ac:dyDescent="0.3">
      <c r="A797" t="s">
        <v>67</v>
      </c>
      <c r="B797" t="s">
        <v>128</v>
      </c>
      <c r="C797" s="1">
        <v>44377.5</v>
      </c>
      <c r="D797" t="s">
        <v>148</v>
      </c>
      <c r="E797" t="s">
        <v>116</v>
      </c>
      <c r="F797">
        <v>49</v>
      </c>
      <c r="G797">
        <v>0.1</v>
      </c>
    </row>
    <row r="798" spans="1:7" x14ac:dyDescent="0.3">
      <c r="A798" t="s">
        <v>67</v>
      </c>
      <c r="B798" t="s">
        <v>128</v>
      </c>
      <c r="C798" s="1">
        <v>44377.5</v>
      </c>
      <c r="D798" t="s">
        <v>149</v>
      </c>
      <c r="E798" t="s">
        <v>117</v>
      </c>
      <c r="F798">
        <v>35</v>
      </c>
      <c r="G798">
        <v>0.2</v>
      </c>
    </row>
    <row r="799" spans="1:7" x14ac:dyDescent="0.3">
      <c r="A799" t="s">
        <v>67</v>
      </c>
      <c r="B799" t="s">
        <v>128</v>
      </c>
      <c r="C799" s="1">
        <v>44377.5</v>
      </c>
      <c r="D799" t="s">
        <v>150</v>
      </c>
      <c r="E799" t="s">
        <v>118</v>
      </c>
      <c r="F799">
        <v>36</v>
      </c>
      <c r="G799">
        <v>0.2</v>
      </c>
    </row>
    <row r="800" spans="1:7" x14ac:dyDescent="0.3">
      <c r="A800" t="s">
        <v>67</v>
      </c>
      <c r="B800" t="s">
        <v>128</v>
      </c>
      <c r="C800" s="1">
        <v>44377.5</v>
      </c>
      <c r="D800" t="s">
        <v>151</v>
      </c>
      <c r="E800" t="s">
        <v>119</v>
      </c>
      <c r="F800">
        <v>46</v>
      </c>
      <c r="G800">
        <v>0.1</v>
      </c>
    </row>
    <row r="801" spans="1:7" x14ac:dyDescent="0.3">
      <c r="A801" t="s">
        <v>67</v>
      </c>
      <c r="B801" t="s">
        <v>128</v>
      </c>
      <c r="C801" s="1">
        <v>44377.5</v>
      </c>
      <c r="D801" t="s">
        <v>152</v>
      </c>
      <c r="E801" t="s">
        <v>120</v>
      </c>
      <c r="F801">
        <v>37</v>
      </c>
      <c r="G801">
        <v>0.25</v>
      </c>
    </row>
    <row r="802" spans="1:7" x14ac:dyDescent="0.3">
      <c r="A802" t="s">
        <v>67</v>
      </c>
      <c r="B802" t="s">
        <v>128</v>
      </c>
      <c r="C802" s="1">
        <v>44377.5</v>
      </c>
      <c r="D802" t="s">
        <v>153</v>
      </c>
      <c r="E802" t="s">
        <v>121</v>
      </c>
      <c r="F802">
        <v>38</v>
      </c>
      <c r="G802">
        <v>1.25</v>
      </c>
    </row>
    <row r="803" spans="1:7" x14ac:dyDescent="0.3">
      <c r="A803" t="s">
        <v>67</v>
      </c>
      <c r="B803" t="s">
        <v>128</v>
      </c>
      <c r="C803" s="1">
        <v>44377.5</v>
      </c>
      <c r="D803" t="s">
        <v>154</v>
      </c>
      <c r="E803" t="s">
        <v>122</v>
      </c>
      <c r="F803">
        <v>39</v>
      </c>
      <c r="G803">
        <v>1.25</v>
      </c>
    </row>
    <row r="804" spans="1:7" x14ac:dyDescent="0.3">
      <c r="A804" t="s">
        <v>67</v>
      </c>
      <c r="B804" t="s">
        <v>128</v>
      </c>
      <c r="C804" s="1">
        <v>44377.5</v>
      </c>
      <c r="D804" t="s">
        <v>155</v>
      </c>
      <c r="E804" t="s">
        <v>123</v>
      </c>
      <c r="F804">
        <v>19</v>
      </c>
      <c r="G804">
        <v>0.05</v>
      </c>
    </row>
    <row r="805" spans="1:7" x14ac:dyDescent="0.3">
      <c r="A805" t="s">
        <v>67</v>
      </c>
      <c r="B805" t="s">
        <v>128</v>
      </c>
      <c r="C805" s="1">
        <v>44377.5</v>
      </c>
      <c r="D805" t="s">
        <v>156</v>
      </c>
      <c r="E805" t="s">
        <v>124</v>
      </c>
      <c r="F805">
        <v>48</v>
      </c>
      <c r="G805">
        <v>0.1</v>
      </c>
    </row>
    <row r="806" spans="1:7" x14ac:dyDescent="0.3">
      <c r="A806" t="s">
        <v>68</v>
      </c>
      <c r="B806" t="s">
        <v>126</v>
      </c>
      <c r="C806" s="1">
        <v>44377.5</v>
      </c>
      <c r="D806" t="s">
        <v>9</v>
      </c>
      <c r="E806" t="s">
        <v>85</v>
      </c>
      <c r="F806">
        <v>1</v>
      </c>
      <c r="G806">
        <v>0.2</v>
      </c>
    </row>
    <row r="807" spans="1:7" x14ac:dyDescent="0.3">
      <c r="A807" t="s">
        <v>68</v>
      </c>
      <c r="B807" t="s">
        <v>126</v>
      </c>
      <c r="C807" s="1">
        <v>44377.5</v>
      </c>
      <c r="D807" t="s">
        <v>10</v>
      </c>
      <c r="E807" t="s">
        <v>86</v>
      </c>
      <c r="F807">
        <v>2</v>
      </c>
      <c r="G807">
        <v>0.1</v>
      </c>
    </row>
    <row r="808" spans="1:7" x14ac:dyDescent="0.3">
      <c r="A808" t="s">
        <v>68</v>
      </c>
      <c r="B808" t="s">
        <v>126</v>
      </c>
      <c r="C808" s="1">
        <v>44377.5</v>
      </c>
      <c r="D808" t="s">
        <v>12</v>
      </c>
      <c r="E808" t="s">
        <v>87</v>
      </c>
      <c r="F808">
        <v>3</v>
      </c>
      <c r="G808">
        <v>0.28000000000000003</v>
      </c>
    </row>
    <row r="809" spans="1:7" x14ac:dyDescent="0.3">
      <c r="A809" t="s">
        <v>68</v>
      </c>
      <c r="B809" t="s">
        <v>126</v>
      </c>
      <c r="C809" s="1">
        <v>44377.5</v>
      </c>
      <c r="D809" t="s">
        <v>14</v>
      </c>
      <c r="E809" t="s">
        <v>88</v>
      </c>
      <c r="F809">
        <v>4</v>
      </c>
      <c r="G809">
        <v>0.09</v>
      </c>
    </row>
    <row r="810" spans="1:7" x14ac:dyDescent="0.3">
      <c r="A810" t="s">
        <v>68</v>
      </c>
      <c r="B810" t="s">
        <v>126</v>
      </c>
      <c r="C810" s="1">
        <v>44377.5</v>
      </c>
      <c r="D810" t="s">
        <v>16</v>
      </c>
      <c r="E810" t="s">
        <v>89</v>
      </c>
      <c r="F810">
        <v>5</v>
      </c>
      <c r="G810">
        <v>0.39</v>
      </c>
    </row>
    <row r="811" spans="1:7" x14ac:dyDescent="0.3">
      <c r="A811" t="s">
        <v>68</v>
      </c>
      <c r="B811" t="s">
        <v>126</v>
      </c>
      <c r="C811" s="1">
        <v>44377.5</v>
      </c>
      <c r="D811" t="s">
        <v>18</v>
      </c>
      <c r="E811" t="s">
        <v>90</v>
      </c>
      <c r="F811">
        <v>6</v>
      </c>
      <c r="G811">
        <v>0.14000000000000001</v>
      </c>
    </row>
    <row r="812" spans="1:7" x14ac:dyDescent="0.3">
      <c r="A812" t="s">
        <v>68</v>
      </c>
      <c r="B812" t="s">
        <v>126</v>
      </c>
      <c r="C812" s="1">
        <v>44377.5</v>
      </c>
      <c r="D812" t="s">
        <v>129</v>
      </c>
      <c r="E812" t="s">
        <v>91</v>
      </c>
      <c r="F812">
        <v>7</v>
      </c>
      <c r="G812">
        <v>9.9000000000000005E-2</v>
      </c>
    </row>
    <row r="813" spans="1:7" x14ac:dyDescent="0.3">
      <c r="A813" t="s">
        <v>68</v>
      </c>
      <c r="B813" t="s">
        <v>126</v>
      </c>
      <c r="C813" s="1">
        <v>44377.5</v>
      </c>
      <c r="D813" t="s">
        <v>130</v>
      </c>
      <c r="E813" t="s">
        <v>92</v>
      </c>
      <c r="F813">
        <v>8</v>
      </c>
      <c r="G813">
        <v>0.19</v>
      </c>
    </row>
    <row r="814" spans="1:7" x14ac:dyDescent="0.3">
      <c r="A814" t="s">
        <v>68</v>
      </c>
      <c r="B814" t="s">
        <v>126</v>
      </c>
      <c r="C814" s="1">
        <v>44377.5</v>
      </c>
      <c r="D814" t="s">
        <v>131</v>
      </c>
      <c r="E814" t="s">
        <v>93</v>
      </c>
      <c r="F814">
        <v>9</v>
      </c>
      <c r="G814">
        <v>0.57999999999999996</v>
      </c>
    </row>
    <row r="815" spans="1:7" x14ac:dyDescent="0.3">
      <c r="A815" t="s">
        <v>68</v>
      </c>
      <c r="B815" t="s">
        <v>126</v>
      </c>
      <c r="C815" s="1">
        <v>44377.5</v>
      </c>
      <c r="D815" t="s">
        <v>132</v>
      </c>
      <c r="E815" t="s">
        <v>94</v>
      </c>
      <c r="F815">
        <v>10</v>
      </c>
      <c r="G815">
        <v>0.68</v>
      </c>
    </row>
    <row r="816" spans="1:7" x14ac:dyDescent="0.3">
      <c r="A816" t="s">
        <v>68</v>
      </c>
      <c r="B816" t="s">
        <v>126</v>
      </c>
      <c r="C816" s="1">
        <v>44377.5</v>
      </c>
      <c r="D816" t="s">
        <v>133</v>
      </c>
      <c r="E816" t="s">
        <v>95</v>
      </c>
      <c r="F816">
        <v>11</v>
      </c>
      <c r="G816">
        <v>0.48</v>
      </c>
    </row>
    <row r="817" spans="1:7" x14ac:dyDescent="0.3">
      <c r="A817" t="s">
        <v>68</v>
      </c>
      <c r="B817" t="s">
        <v>126</v>
      </c>
      <c r="C817" s="1">
        <v>44377.5</v>
      </c>
      <c r="D817" t="s">
        <v>11</v>
      </c>
      <c r="E817" t="s">
        <v>96</v>
      </c>
      <c r="F817">
        <v>13</v>
      </c>
      <c r="G817">
        <v>6.9000000000000006E-2</v>
      </c>
    </row>
    <row r="818" spans="1:7" x14ac:dyDescent="0.3">
      <c r="A818" t="s">
        <v>68</v>
      </c>
      <c r="B818" t="s">
        <v>126</v>
      </c>
      <c r="C818" s="1">
        <v>44377.5</v>
      </c>
      <c r="D818" t="s">
        <v>13</v>
      </c>
      <c r="E818" t="s">
        <v>97</v>
      </c>
      <c r="F818">
        <v>14</v>
      </c>
      <c r="G818">
        <v>7.9000000000000001E-2</v>
      </c>
    </row>
    <row r="819" spans="1:7" x14ac:dyDescent="0.3">
      <c r="A819" t="s">
        <v>68</v>
      </c>
      <c r="B819" t="s">
        <v>126</v>
      </c>
      <c r="C819" s="1">
        <v>44377.5</v>
      </c>
      <c r="D819" t="s">
        <v>15</v>
      </c>
      <c r="E819" t="s">
        <v>98</v>
      </c>
      <c r="F819">
        <v>15</v>
      </c>
      <c r="G819">
        <v>1</v>
      </c>
    </row>
    <row r="820" spans="1:7" x14ac:dyDescent="0.3">
      <c r="A820" t="s">
        <v>68</v>
      </c>
      <c r="B820" t="s">
        <v>126</v>
      </c>
      <c r="C820" s="1">
        <v>44377.5</v>
      </c>
      <c r="D820" t="s">
        <v>17</v>
      </c>
      <c r="E820" t="s">
        <v>99</v>
      </c>
      <c r="F820">
        <v>16</v>
      </c>
      <c r="G820">
        <v>0.12</v>
      </c>
    </row>
    <row r="821" spans="1:7" x14ac:dyDescent="0.3">
      <c r="A821" t="s">
        <v>68</v>
      </c>
      <c r="B821" t="s">
        <v>126</v>
      </c>
      <c r="C821" s="1">
        <v>44377.5</v>
      </c>
      <c r="D821" t="s">
        <v>19</v>
      </c>
      <c r="E821" t="s">
        <v>100</v>
      </c>
      <c r="F821">
        <v>17</v>
      </c>
      <c r="G821">
        <v>20</v>
      </c>
    </row>
    <row r="822" spans="1:7" x14ac:dyDescent="0.3">
      <c r="A822" t="s">
        <v>68</v>
      </c>
      <c r="B822" t="s">
        <v>126</v>
      </c>
      <c r="C822" s="1">
        <v>44377.5</v>
      </c>
      <c r="D822" t="s">
        <v>134</v>
      </c>
      <c r="E822" t="s">
        <v>101</v>
      </c>
      <c r="F822">
        <v>18</v>
      </c>
      <c r="G822">
        <v>8.5000000000000006E-2</v>
      </c>
    </row>
    <row r="823" spans="1:7" x14ac:dyDescent="0.3">
      <c r="A823" t="s">
        <v>68</v>
      </c>
      <c r="B823" t="s">
        <v>126</v>
      </c>
      <c r="C823" s="1">
        <v>44377.5</v>
      </c>
      <c r="D823" t="s">
        <v>135</v>
      </c>
      <c r="E823" t="s">
        <v>102</v>
      </c>
      <c r="F823">
        <v>20</v>
      </c>
      <c r="G823">
        <v>0.47</v>
      </c>
    </row>
    <row r="824" spans="1:7" x14ac:dyDescent="0.3">
      <c r="A824" t="s">
        <v>68</v>
      </c>
      <c r="B824" t="s">
        <v>126</v>
      </c>
      <c r="C824" s="1">
        <v>44377.5</v>
      </c>
      <c r="D824" t="s">
        <v>136</v>
      </c>
      <c r="E824" t="s">
        <v>103</v>
      </c>
      <c r="F824">
        <v>21</v>
      </c>
      <c r="G824">
        <v>0.2</v>
      </c>
    </row>
    <row r="825" spans="1:7" x14ac:dyDescent="0.3">
      <c r="A825" t="s">
        <v>68</v>
      </c>
      <c r="B825" t="s">
        <v>126</v>
      </c>
      <c r="C825" s="1">
        <v>44377.5</v>
      </c>
      <c r="D825" t="s">
        <v>60</v>
      </c>
      <c r="E825" t="s">
        <v>104</v>
      </c>
      <c r="F825">
        <v>22</v>
      </c>
      <c r="G825">
        <v>0.87</v>
      </c>
    </row>
    <row r="826" spans="1:7" x14ac:dyDescent="0.3">
      <c r="A826" t="s">
        <v>68</v>
      </c>
      <c r="B826" t="s">
        <v>126</v>
      </c>
      <c r="C826" s="1">
        <v>44377.5</v>
      </c>
      <c r="D826" t="s">
        <v>137</v>
      </c>
      <c r="E826" t="s">
        <v>105</v>
      </c>
      <c r="F826">
        <v>23</v>
      </c>
      <c r="G826">
        <v>0.62</v>
      </c>
    </row>
    <row r="827" spans="1:7" x14ac:dyDescent="0.3">
      <c r="A827" t="s">
        <v>68</v>
      </c>
      <c r="B827" t="s">
        <v>126</v>
      </c>
      <c r="C827" s="1">
        <v>44377.5</v>
      </c>
      <c r="D827" t="s">
        <v>138</v>
      </c>
      <c r="E827" t="s">
        <v>106</v>
      </c>
      <c r="F827">
        <v>27</v>
      </c>
      <c r="G827">
        <v>0.43</v>
      </c>
    </row>
    <row r="828" spans="1:7" x14ac:dyDescent="0.3">
      <c r="A828" t="s">
        <v>68</v>
      </c>
      <c r="B828" t="s">
        <v>126</v>
      </c>
      <c r="C828" s="1">
        <v>44377.5</v>
      </c>
      <c r="D828" t="s">
        <v>139</v>
      </c>
      <c r="E828" t="s">
        <v>107</v>
      </c>
      <c r="F828">
        <v>29</v>
      </c>
      <c r="G828">
        <v>0.05</v>
      </c>
    </row>
    <row r="829" spans="1:7" x14ac:dyDescent="0.3">
      <c r="A829" t="s">
        <v>68</v>
      </c>
      <c r="B829" t="s">
        <v>126</v>
      </c>
      <c r="C829" s="1">
        <v>44377.5</v>
      </c>
      <c r="D829" t="s">
        <v>140</v>
      </c>
      <c r="E829" t="s">
        <v>108</v>
      </c>
      <c r="F829">
        <v>25</v>
      </c>
      <c r="G829">
        <v>0.05</v>
      </c>
    </row>
    <row r="830" spans="1:7" x14ac:dyDescent="0.3">
      <c r="A830" t="s">
        <v>68</v>
      </c>
      <c r="B830" t="s">
        <v>126</v>
      </c>
      <c r="C830" s="1">
        <v>44377.5</v>
      </c>
      <c r="D830" t="s">
        <v>141</v>
      </c>
      <c r="E830" t="s">
        <v>109</v>
      </c>
      <c r="F830">
        <v>30</v>
      </c>
      <c r="G830">
        <v>0.05</v>
      </c>
    </row>
    <row r="831" spans="1:7" x14ac:dyDescent="0.3">
      <c r="A831" t="s">
        <v>68</v>
      </c>
      <c r="B831" t="s">
        <v>126</v>
      </c>
      <c r="C831" s="1">
        <v>44377.5</v>
      </c>
      <c r="D831" t="s">
        <v>142</v>
      </c>
      <c r="E831" t="s">
        <v>110</v>
      </c>
      <c r="F831">
        <v>26</v>
      </c>
      <c r="G831">
        <v>0.05</v>
      </c>
    </row>
    <row r="832" spans="1:7" x14ac:dyDescent="0.3">
      <c r="A832" t="s">
        <v>68</v>
      </c>
      <c r="B832" t="s">
        <v>126</v>
      </c>
      <c r="C832" s="1">
        <v>44377.5</v>
      </c>
      <c r="D832" t="s">
        <v>143</v>
      </c>
      <c r="E832" t="s">
        <v>111</v>
      </c>
      <c r="F832">
        <v>31</v>
      </c>
      <c r="G832">
        <v>0.5</v>
      </c>
    </row>
    <row r="833" spans="1:7" x14ac:dyDescent="0.3">
      <c r="A833" t="s">
        <v>68</v>
      </c>
      <c r="B833" t="s">
        <v>126</v>
      </c>
      <c r="C833" s="1">
        <v>44377.5</v>
      </c>
      <c r="D833" t="s">
        <v>144</v>
      </c>
      <c r="E833" t="s">
        <v>112</v>
      </c>
      <c r="F833">
        <v>32</v>
      </c>
      <c r="G833">
        <v>0.5</v>
      </c>
    </row>
    <row r="834" spans="1:7" x14ac:dyDescent="0.3">
      <c r="A834" t="s">
        <v>68</v>
      </c>
      <c r="B834" t="s">
        <v>126</v>
      </c>
      <c r="C834" s="1">
        <v>44377.5</v>
      </c>
      <c r="D834" t="s">
        <v>145</v>
      </c>
      <c r="E834" t="s">
        <v>113</v>
      </c>
      <c r="F834">
        <v>33</v>
      </c>
      <c r="G834">
        <v>0.3</v>
      </c>
    </row>
    <row r="835" spans="1:7" x14ac:dyDescent="0.3">
      <c r="A835" t="s">
        <v>68</v>
      </c>
      <c r="B835" t="s">
        <v>126</v>
      </c>
      <c r="C835" s="1">
        <v>44377.5</v>
      </c>
      <c r="D835" t="s">
        <v>146</v>
      </c>
      <c r="E835" t="s">
        <v>114</v>
      </c>
      <c r="F835">
        <v>34</v>
      </c>
      <c r="G835">
        <v>0.2</v>
      </c>
    </row>
    <row r="836" spans="1:7" x14ac:dyDescent="0.3">
      <c r="A836" t="s">
        <v>68</v>
      </c>
      <c r="B836" t="s">
        <v>126</v>
      </c>
      <c r="C836" s="1">
        <v>44377.5</v>
      </c>
      <c r="D836" t="s">
        <v>147</v>
      </c>
      <c r="E836" t="s">
        <v>115</v>
      </c>
      <c r="F836">
        <v>47</v>
      </c>
      <c r="G836">
        <v>0.1</v>
      </c>
    </row>
    <row r="837" spans="1:7" x14ac:dyDescent="0.3">
      <c r="A837" t="s">
        <v>68</v>
      </c>
      <c r="B837" t="s">
        <v>126</v>
      </c>
      <c r="C837" s="1">
        <v>44377.5</v>
      </c>
      <c r="D837" t="s">
        <v>148</v>
      </c>
      <c r="E837" t="s">
        <v>116</v>
      </c>
      <c r="F837">
        <v>49</v>
      </c>
      <c r="G837">
        <v>0.1</v>
      </c>
    </row>
    <row r="838" spans="1:7" x14ac:dyDescent="0.3">
      <c r="A838" t="s">
        <v>68</v>
      </c>
      <c r="B838" t="s">
        <v>126</v>
      </c>
      <c r="C838" s="1">
        <v>44377.5</v>
      </c>
      <c r="D838" t="s">
        <v>149</v>
      </c>
      <c r="E838" t="s">
        <v>117</v>
      </c>
      <c r="F838">
        <v>35</v>
      </c>
      <c r="G838">
        <v>0.2</v>
      </c>
    </row>
    <row r="839" spans="1:7" x14ac:dyDescent="0.3">
      <c r="A839" t="s">
        <v>68</v>
      </c>
      <c r="B839" t="s">
        <v>126</v>
      </c>
      <c r="C839" s="1">
        <v>44377.5</v>
      </c>
      <c r="D839" t="s">
        <v>150</v>
      </c>
      <c r="E839" t="s">
        <v>118</v>
      </c>
      <c r="F839">
        <v>36</v>
      </c>
      <c r="G839">
        <v>0.2</v>
      </c>
    </row>
    <row r="840" spans="1:7" x14ac:dyDescent="0.3">
      <c r="A840" t="s">
        <v>68</v>
      </c>
      <c r="B840" t="s">
        <v>126</v>
      </c>
      <c r="C840" s="1">
        <v>44377.5</v>
      </c>
      <c r="D840" t="s">
        <v>151</v>
      </c>
      <c r="E840" t="s">
        <v>119</v>
      </c>
      <c r="F840">
        <v>46</v>
      </c>
      <c r="G840">
        <v>0.1</v>
      </c>
    </row>
    <row r="841" spans="1:7" x14ac:dyDescent="0.3">
      <c r="A841" t="s">
        <v>68</v>
      </c>
      <c r="B841" t="s">
        <v>126</v>
      </c>
      <c r="C841" s="1">
        <v>44377.5</v>
      </c>
      <c r="D841" t="s">
        <v>152</v>
      </c>
      <c r="E841" t="s">
        <v>120</v>
      </c>
      <c r="F841">
        <v>37</v>
      </c>
      <c r="G841">
        <v>0.25</v>
      </c>
    </row>
    <row r="842" spans="1:7" x14ac:dyDescent="0.3">
      <c r="A842" t="s">
        <v>68</v>
      </c>
      <c r="B842" t="s">
        <v>126</v>
      </c>
      <c r="C842" s="1">
        <v>44377.5</v>
      </c>
      <c r="D842" t="s">
        <v>153</v>
      </c>
      <c r="E842" t="s">
        <v>121</v>
      </c>
      <c r="F842">
        <v>38</v>
      </c>
      <c r="G842">
        <v>1.1000000000000001</v>
      </c>
    </row>
    <row r="843" spans="1:7" x14ac:dyDescent="0.3">
      <c r="A843" t="s">
        <v>68</v>
      </c>
      <c r="B843" t="s">
        <v>126</v>
      </c>
      <c r="C843" s="1">
        <v>44377.5</v>
      </c>
      <c r="D843" t="s">
        <v>154</v>
      </c>
      <c r="E843" t="s">
        <v>122</v>
      </c>
      <c r="F843">
        <v>39</v>
      </c>
      <c r="G843">
        <v>1.3</v>
      </c>
    </row>
    <row r="844" spans="1:7" x14ac:dyDescent="0.3">
      <c r="A844" t="s">
        <v>68</v>
      </c>
      <c r="B844" t="s">
        <v>126</v>
      </c>
      <c r="C844" s="1">
        <v>44377.5</v>
      </c>
      <c r="D844" t="s">
        <v>155</v>
      </c>
      <c r="E844" t="s">
        <v>123</v>
      </c>
      <c r="F844">
        <v>19</v>
      </c>
      <c r="G844">
        <v>0.37</v>
      </c>
    </row>
    <row r="845" spans="1:7" x14ac:dyDescent="0.3">
      <c r="A845" t="s">
        <v>68</v>
      </c>
      <c r="B845" t="s">
        <v>126</v>
      </c>
      <c r="C845" s="1">
        <v>44377.5</v>
      </c>
      <c r="D845" t="s">
        <v>156</v>
      </c>
      <c r="E845" t="s">
        <v>124</v>
      </c>
      <c r="F845">
        <v>48</v>
      </c>
      <c r="G845">
        <v>0.1</v>
      </c>
    </row>
    <row r="846" spans="1:7" x14ac:dyDescent="0.3">
      <c r="A846" t="s">
        <v>69</v>
      </c>
      <c r="B846" t="s">
        <v>127</v>
      </c>
      <c r="C846" s="1">
        <v>44377.5</v>
      </c>
      <c r="D846" t="s">
        <v>9</v>
      </c>
      <c r="E846" t="s">
        <v>85</v>
      </c>
      <c r="F846">
        <v>1</v>
      </c>
      <c r="G846">
        <v>0.2</v>
      </c>
    </row>
    <row r="847" spans="1:7" x14ac:dyDescent="0.3">
      <c r="A847" t="s">
        <v>69</v>
      </c>
      <c r="B847" t="s">
        <v>127</v>
      </c>
      <c r="C847" s="1">
        <v>44377.5</v>
      </c>
      <c r="D847" t="s">
        <v>10</v>
      </c>
      <c r="E847" t="s">
        <v>86</v>
      </c>
      <c r="F847">
        <v>2</v>
      </c>
      <c r="G847">
        <v>0.1</v>
      </c>
    </row>
    <row r="848" spans="1:7" x14ac:dyDescent="0.3">
      <c r="A848" t="s">
        <v>69</v>
      </c>
      <c r="B848" t="s">
        <v>127</v>
      </c>
      <c r="C848" s="1">
        <v>44377.5</v>
      </c>
      <c r="D848" t="s">
        <v>12</v>
      </c>
      <c r="E848" t="s">
        <v>87</v>
      </c>
      <c r="F848">
        <v>3</v>
      </c>
      <c r="G848">
        <v>0.09</v>
      </c>
    </row>
    <row r="849" spans="1:7" x14ac:dyDescent="0.3">
      <c r="A849" t="s">
        <v>69</v>
      </c>
      <c r="B849" t="s">
        <v>127</v>
      </c>
      <c r="C849" s="1">
        <v>44377.5</v>
      </c>
      <c r="D849" t="s">
        <v>14</v>
      </c>
      <c r="E849" t="s">
        <v>88</v>
      </c>
      <c r="F849">
        <v>4</v>
      </c>
      <c r="G849">
        <v>0.09</v>
      </c>
    </row>
    <row r="850" spans="1:7" x14ac:dyDescent="0.3">
      <c r="A850" t="s">
        <v>69</v>
      </c>
      <c r="B850" t="s">
        <v>127</v>
      </c>
      <c r="C850" s="1">
        <v>44377.5</v>
      </c>
      <c r="D850" t="s">
        <v>16</v>
      </c>
      <c r="E850" t="s">
        <v>89</v>
      </c>
      <c r="F850">
        <v>5</v>
      </c>
      <c r="G850">
        <v>0.2</v>
      </c>
    </row>
    <row r="851" spans="1:7" x14ac:dyDescent="0.3">
      <c r="A851" t="s">
        <v>69</v>
      </c>
      <c r="B851" t="s">
        <v>127</v>
      </c>
      <c r="C851" s="1">
        <v>44377.5</v>
      </c>
      <c r="D851" t="s">
        <v>18</v>
      </c>
      <c r="E851" t="s">
        <v>90</v>
      </c>
      <c r="F851">
        <v>6</v>
      </c>
      <c r="G851">
        <v>5.8000000000000003E-2</v>
      </c>
    </row>
    <row r="852" spans="1:7" x14ac:dyDescent="0.3">
      <c r="A852" t="s">
        <v>69</v>
      </c>
      <c r="B852" t="s">
        <v>127</v>
      </c>
      <c r="C852" s="1">
        <v>44377.5</v>
      </c>
      <c r="D852" t="s">
        <v>129</v>
      </c>
      <c r="E852" t="s">
        <v>91</v>
      </c>
      <c r="F852">
        <v>7</v>
      </c>
      <c r="G852">
        <v>9.0999999999999998E-2</v>
      </c>
    </row>
    <row r="853" spans="1:7" x14ac:dyDescent="0.3">
      <c r="A853" t="s">
        <v>69</v>
      </c>
      <c r="B853" t="s">
        <v>127</v>
      </c>
      <c r="C853" s="1">
        <v>44377.5</v>
      </c>
      <c r="D853" t="s">
        <v>130</v>
      </c>
      <c r="E853" t="s">
        <v>92</v>
      </c>
      <c r="F853">
        <v>8</v>
      </c>
      <c r="G853">
        <v>0.38</v>
      </c>
    </row>
    <row r="854" spans="1:7" x14ac:dyDescent="0.3">
      <c r="A854" t="s">
        <v>69</v>
      </c>
      <c r="B854" t="s">
        <v>127</v>
      </c>
      <c r="C854" s="1">
        <v>44377.5</v>
      </c>
      <c r="D854" t="s">
        <v>131</v>
      </c>
      <c r="E854" t="s">
        <v>93</v>
      </c>
      <c r="F854">
        <v>9</v>
      </c>
      <c r="G854">
        <v>0.11</v>
      </c>
    </row>
    <row r="855" spans="1:7" x14ac:dyDescent="0.3">
      <c r="A855" t="s">
        <v>69</v>
      </c>
      <c r="B855" t="s">
        <v>127</v>
      </c>
      <c r="C855" s="1">
        <v>44377.5</v>
      </c>
      <c r="D855" t="s">
        <v>132</v>
      </c>
      <c r="E855" t="s">
        <v>94</v>
      </c>
      <c r="F855">
        <v>10</v>
      </c>
      <c r="G855">
        <v>0.05</v>
      </c>
    </row>
    <row r="856" spans="1:7" x14ac:dyDescent="0.3">
      <c r="A856" t="s">
        <v>69</v>
      </c>
      <c r="B856" t="s">
        <v>127</v>
      </c>
      <c r="C856" s="1">
        <v>44377.5</v>
      </c>
      <c r="D856" t="s">
        <v>133</v>
      </c>
      <c r="E856" t="s">
        <v>95</v>
      </c>
      <c r="F856">
        <v>11</v>
      </c>
      <c r="G856">
        <v>0.05</v>
      </c>
    </row>
    <row r="857" spans="1:7" x14ac:dyDescent="0.3">
      <c r="A857" t="s">
        <v>69</v>
      </c>
      <c r="B857" t="s">
        <v>127</v>
      </c>
      <c r="C857" s="1">
        <v>44377.5</v>
      </c>
      <c r="D857" t="s">
        <v>11</v>
      </c>
      <c r="E857" t="s">
        <v>96</v>
      </c>
      <c r="F857">
        <v>13</v>
      </c>
      <c r="G857">
        <v>0.05</v>
      </c>
    </row>
    <row r="858" spans="1:7" x14ac:dyDescent="0.3">
      <c r="A858" t="s">
        <v>69</v>
      </c>
      <c r="B858" t="s">
        <v>127</v>
      </c>
      <c r="C858" s="1">
        <v>44377.5</v>
      </c>
      <c r="D858" t="s">
        <v>13</v>
      </c>
      <c r="E858" t="s">
        <v>97</v>
      </c>
      <c r="F858">
        <v>14</v>
      </c>
      <c r="G858">
        <v>0.05</v>
      </c>
    </row>
    <row r="859" spans="1:7" x14ac:dyDescent="0.3">
      <c r="A859" t="s">
        <v>69</v>
      </c>
      <c r="B859" t="s">
        <v>127</v>
      </c>
      <c r="C859" s="1">
        <v>44377.5</v>
      </c>
      <c r="D859" t="s">
        <v>15</v>
      </c>
      <c r="E859" t="s">
        <v>98</v>
      </c>
      <c r="F859">
        <v>15</v>
      </c>
      <c r="G859">
        <v>0.41</v>
      </c>
    </row>
    <row r="860" spans="1:7" x14ac:dyDescent="0.3">
      <c r="A860" t="s">
        <v>69</v>
      </c>
      <c r="B860" t="s">
        <v>127</v>
      </c>
      <c r="C860" s="1">
        <v>44377.5</v>
      </c>
      <c r="D860" t="s">
        <v>17</v>
      </c>
      <c r="E860" t="s">
        <v>99</v>
      </c>
      <c r="F860">
        <v>16</v>
      </c>
      <c r="G860">
        <v>0.05</v>
      </c>
    </row>
    <row r="861" spans="1:7" x14ac:dyDescent="0.3">
      <c r="A861" t="s">
        <v>69</v>
      </c>
      <c r="B861" t="s">
        <v>127</v>
      </c>
      <c r="C861" s="1">
        <v>44377.5</v>
      </c>
      <c r="D861" t="s">
        <v>19</v>
      </c>
      <c r="E861" t="s">
        <v>100</v>
      </c>
      <c r="F861">
        <v>17</v>
      </c>
      <c r="G861">
        <v>6.8</v>
      </c>
    </row>
    <row r="862" spans="1:7" x14ac:dyDescent="0.3">
      <c r="A862" t="s">
        <v>69</v>
      </c>
      <c r="B862" t="s">
        <v>127</v>
      </c>
      <c r="C862" s="1">
        <v>44377.5</v>
      </c>
      <c r="D862" t="s">
        <v>134</v>
      </c>
      <c r="E862" t="s">
        <v>101</v>
      </c>
      <c r="F862">
        <v>18</v>
      </c>
      <c r="G862">
        <v>0.18</v>
      </c>
    </row>
    <row r="863" spans="1:7" x14ac:dyDescent="0.3">
      <c r="A863" t="s">
        <v>69</v>
      </c>
      <c r="B863" t="s">
        <v>127</v>
      </c>
      <c r="C863" s="1">
        <v>44377.5</v>
      </c>
      <c r="D863" t="s">
        <v>135</v>
      </c>
      <c r="E863" t="s">
        <v>102</v>
      </c>
      <c r="F863">
        <v>20</v>
      </c>
      <c r="G863">
        <v>0.05</v>
      </c>
    </row>
    <row r="864" spans="1:7" x14ac:dyDescent="0.3">
      <c r="A864" t="s">
        <v>69</v>
      </c>
      <c r="B864" t="s">
        <v>127</v>
      </c>
      <c r="C864" s="1">
        <v>44377.5</v>
      </c>
      <c r="D864" t="s">
        <v>136</v>
      </c>
      <c r="E864" t="s">
        <v>103</v>
      </c>
      <c r="F864">
        <v>21</v>
      </c>
      <c r="G864">
        <v>0.2</v>
      </c>
    </row>
    <row r="865" spans="1:7" x14ac:dyDescent="0.3">
      <c r="A865" t="s">
        <v>69</v>
      </c>
      <c r="B865" t="s">
        <v>127</v>
      </c>
      <c r="C865" s="1">
        <v>44377.5</v>
      </c>
      <c r="D865" t="s">
        <v>60</v>
      </c>
      <c r="E865" t="s">
        <v>104</v>
      </c>
      <c r="F865">
        <v>22</v>
      </c>
      <c r="G865">
        <v>0.4</v>
      </c>
    </row>
    <row r="866" spans="1:7" x14ac:dyDescent="0.3">
      <c r="A866" t="s">
        <v>69</v>
      </c>
      <c r="B866" t="s">
        <v>127</v>
      </c>
      <c r="C866" s="1">
        <v>44377.5</v>
      </c>
      <c r="D866" t="s">
        <v>137</v>
      </c>
      <c r="E866" t="s">
        <v>105</v>
      </c>
      <c r="F866">
        <v>23</v>
      </c>
      <c r="G866">
        <v>0.49</v>
      </c>
    </row>
    <row r="867" spans="1:7" x14ac:dyDescent="0.3">
      <c r="A867" t="s">
        <v>69</v>
      </c>
      <c r="B867" t="s">
        <v>127</v>
      </c>
      <c r="C867" s="1">
        <v>44377.5</v>
      </c>
      <c r="D867" t="s">
        <v>138</v>
      </c>
      <c r="E867" t="s">
        <v>106</v>
      </c>
      <c r="F867">
        <v>27</v>
      </c>
      <c r="G867">
        <v>0.92</v>
      </c>
    </row>
    <row r="868" spans="1:7" x14ac:dyDescent="0.3">
      <c r="A868" t="s">
        <v>69</v>
      </c>
      <c r="B868" t="s">
        <v>127</v>
      </c>
      <c r="C868" s="1">
        <v>44377.5</v>
      </c>
      <c r="D868" t="s">
        <v>139</v>
      </c>
      <c r="E868" t="s">
        <v>107</v>
      </c>
      <c r="F868">
        <v>29</v>
      </c>
      <c r="G868">
        <v>5.8999999999999997E-2</v>
      </c>
    </row>
    <row r="869" spans="1:7" x14ac:dyDescent="0.3">
      <c r="A869" t="s">
        <v>69</v>
      </c>
      <c r="B869" t="s">
        <v>127</v>
      </c>
      <c r="C869" s="1">
        <v>44377.5</v>
      </c>
      <c r="D869" t="s">
        <v>140</v>
      </c>
      <c r="E869" t="s">
        <v>108</v>
      </c>
      <c r="F869">
        <v>25</v>
      </c>
      <c r="G869">
        <v>0.05</v>
      </c>
    </row>
    <row r="870" spans="1:7" x14ac:dyDescent="0.3">
      <c r="A870" t="s">
        <v>69</v>
      </c>
      <c r="B870" t="s">
        <v>127</v>
      </c>
      <c r="C870" s="1">
        <v>44377.5</v>
      </c>
      <c r="D870" t="s">
        <v>141</v>
      </c>
      <c r="E870" t="s">
        <v>109</v>
      </c>
      <c r="F870">
        <v>30</v>
      </c>
      <c r="G870">
        <v>0.05</v>
      </c>
    </row>
    <row r="871" spans="1:7" x14ac:dyDescent="0.3">
      <c r="A871" t="s">
        <v>69</v>
      </c>
      <c r="B871" t="s">
        <v>127</v>
      </c>
      <c r="C871" s="1">
        <v>44377.5</v>
      </c>
      <c r="D871" t="s">
        <v>142</v>
      </c>
      <c r="E871" t="s">
        <v>110</v>
      </c>
      <c r="F871">
        <v>26</v>
      </c>
      <c r="G871">
        <v>0.05</v>
      </c>
    </row>
    <row r="872" spans="1:7" x14ac:dyDescent="0.3">
      <c r="A872" t="s">
        <v>69</v>
      </c>
      <c r="B872" t="s">
        <v>127</v>
      </c>
      <c r="C872" s="1">
        <v>44377.5</v>
      </c>
      <c r="D872" t="s">
        <v>143</v>
      </c>
      <c r="E872" t="s">
        <v>111</v>
      </c>
      <c r="F872">
        <v>31</v>
      </c>
      <c r="G872">
        <v>0.5</v>
      </c>
    </row>
    <row r="873" spans="1:7" x14ac:dyDescent="0.3">
      <c r="A873" t="s">
        <v>69</v>
      </c>
      <c r="B873" t="s">
        <v>127</v>
      </c>
      <c r="C873" s="1">
        <v>44377.5</v>
      </c>
      <c r="D873" t="s">
        <v>144</v>
      </c>
      <c r="E873" t="s">
        <v>112</v>
      </c>
      <c r="F873">
        <v>32</v>
      </c>
      <c r="G873">
        <v>0.5</v>
      </c>
    </row>
    <row r="874" spans="1:7" x14ac:dyDescent="0.3">
      <c r="A874" t="s">
        <v>69</v>
      </c>
      <c r="B874" t="s">
        <v>127</v>
      </c>
      <c r="C874" s="1">
        <v>44377.5</v>
      </c>
      <c r="D874" t="s">
        <v>145</v>
      </c>
      <c r="E874" t="s">
        <v>113</v>
      </c>
      <c r="F874">
        <v>33</v>
      </c>
      <c r="G874">
        <v>0.3</v>
      </c>
    </row>
    <row r="875" spans="1:7" x14ac:dyDescent="0.3">
      <c r="A875" t="s">
        <v>69</v>
      </c>
      <c r="B875" t="s">
        <v>127</v>
      </c>
      <c r="C875" s="1">
        <v>44377.5</v>
      </c>
      <c r="D875" t="s">
        <v>146</v>
      </c>
      <c r="E875" t="s">
        <v>114</v>
      </c>
      <c r="F875">
        <v>34</v>
      </c>
      <c r="G875">
        <v>0.2</v>
      </c>
    </row>
    <row r="876" spans="1:7" x14ac:dyDescent="0.3">
      <c r="A876" t="s">
        <v>69</v>
      </c>
      <c r="B876" t="s">
        <v>127</v>
      </c>
      <c r="C876" s="1">
        <v>44377.5</v>
      </c>
      <c r="D876" t="s">
        <v>147</v>
      </c>
      <c r="E876" t="s">
        <v>115</v>
      </c>
      <c r="F876">
        <v>47</v>
      </c>
      <c r="G876">
        <v>0.1</v>
      </c>
    </row>
    <row r="877" spans="1:7" x14ac:dyDescent="0.3">
      <c r="A877" t="s">
        <v>69</v>
      </c>
      <c r="B877" t="s">
        <v>127</v>
      </c>
      <c r="C877" s="1">
        <v>44377.5</v>
      </c>
      <c r="D877" t="s">
        <v>148</v>
      </c>
      <c r="E877" t="s">
        <v>116</v>
      </c>
      <c r="F877">
        <v>49</v>
      </c>
      <c r="G877">
        <v>0.1</v>
      </c>
    </row>
    <row r="878" spans="1:7" x14ac:dyDescent="0.3">
      <c r="A878" t="s">
        <v>69</v>
      </c>
      <c r="B878" t="s">
        <v>127</v>
      </c>
      <c r="C878" s="1">
        <v>44377.5</v>
      </c>
      <c r="D878" t="s">
        <v>149</v>
      </c>
      <c r="E878" t="s">
        <v>117</v>
      </c>
      <c r="F878">
        <v>35</v>
      </c>
      <c r="G878">
        <v>0.2</v>
      </c>
    </row>
    <row r="879" spans="1:7" x14ac:dyDescent="0.3">
      <c r="A879" t="s">
        <v>69</v>
      </c>
      <c r="B879" t="s">
        <v>127</v>
      </c>
      <c r="C879" s="1">
        <v>44377.5</v>
      </c>
      <c r="D879" t="s">
        <v>150</v>
      </c>
      <c r="E879" t="s">
        <v>118</v>
      </c>
      <c r="F879">
        <v>36</v>
      </c>
      <c r="G879">
        <v>0.2</v>
      </c>
    </row>
    <row r="880" spans="1:7" x14ac:dyDescent="0.3">
      <c r="A880" t="s">
        <v>69</v>
      </c>
      <c r="B880" t="s">
        <v>127</v>
      </c>
      <c r="C880" s="1">
        <v>44377.5</v>
      </c>
      <c r="D880" t="s">
        <v>151</v>
      </c>
      <c r="E880" t="s">
        <v>119</v>
      </c>
      <c r="F880">
        <v>46</v>
      </c>
      <c r="G880">
        <v>0.1</v>
      </c>
    </row>
    <row r="881" spans="1:7" x14ac:dyDescent="0.3">
      <c r="A881" t="s">
        <v>69</v>
      </c>
      <c r="B881" t="s">
        <v>127</v>
      </c>
      <c r="C881" s="1">
        <v>44377.5</v>
      </c>
      <c r="D881" t="s">
        <v>152</v>
      </c>
      <c r="E881" t="s">
        <v>120</v>
      </c>
      <c r="F881">
        <v>37</v>
      </c>
      <c r="G881">
        <v>0.25</v>
      </c>
    </row>
    <row r="882" spans="1:7" x14ac:dyDescent="0.3">
      <c r="A882" t="s">
        <v>69</v>
      </c>
      <c r="B882" t="s">
        <v>127</v>
      </c>
      <c r="C882" s="1">
        <v>44377.5</v>
      </c>
      <c r="D882" t="s">
        <v>153</v>
      </c>
      <c r="E882" t="s">
        <v>121</v>
      </c>
      <c r="F882">
        <v>38</v>
      </c>
      <c r="G882">
        <v>1.25</v>
      </c>
    </row>
    <row r="883" spans="1:7" x14ac:dyDescent="0.3">
      <c r="A883" t="s">
        <v>69</v>
      </c>
      <c r="B883" t="s">
        <v>127</v>
      </c>
      <c r="C883" s="1">
        <v>44377.5</v>
      </c>
      <c r="D883" t="s">
        <v>154</v>
      </c>
      <c r="E883" t="s">
        <v>122</v>
      </c>
      <c r="F883">
        <v>39</v>
      </c>
      <c r="G883">
        <v>1.25</v>
      </c>
    </row>
    <row r="884" spans="1:7" x14ac:dyDescent="0.3">
      <c r="A884" t="s">
        <v>69</v>
      </c>
      <c r="B884" t="s">
        <v>127</v>
      </c>
      <c r="C884" s="1">
        <v>44377.5</v>
      </c>
      <c r="D884" t="s">
        <v>155</v>
      </c>
      <c r="E884" t="s">
        <v>123</v>
      </c>
      <c r="F884">
        <v>19</v>
      </c>
      <c r="G884">
        <v>0.47</v>
      </c>
    </row>
    <row r="885" spans="1:7" x14ac:dyDescent="0.3">
      <c r="A885" t="s">
        <v>69</v>
      </c>
      <c r="B885" t="s">
        <v>127</v>
      </c>
      <c r="C885" s="1">
        <v>44377.5</v>
      </c>
      <c r="D885" t="s">
        <v>156</v>
      </c>
      <c r="E885" t="s">
        <v>124</v>
      </c>
      <c r="F885">
        <v>48</v>
      </c>
      <c r="G885">
        <v>0.1</v>
      </c>
    </row>
    <row r="886" spans="1:7" x14ac:dyDescent="0.3">
      <c r="A886" t="s">
        <v>70</v>
      </c>
      <c r="B886" t="s">
        <v>125</v>
      </c>
      <c r="C886" s="1">
        <v>44377.5</v>
      </c>
      <c r="D886" t="s">
        <v>9</v>
      </c>
      <c r="E886" t="s">
        <v>85</v>
      </c>
      <c r="F886">
        <v>1</v>
      </c>
      <c r="G886">
        <v>0.2</v>
      </c>
    </row>
    <row r="887" spans="1:7" x14ac:dyDescent="0.3">
      <c r="A887" t="s">
        <v>70</v>
      </c>
      <c r="B887" t="s">
        <v>125</v>
      </c>
      <c r="C887" s="1">
        <v>44377.5</v>
      </c>
      <c r="D887" t="s">
        <v>10</v>
      </c>
      <c r="E887" t="s">
        <v>86</v>
      </c>
      <c r="F887">
        <v>2</v>
      </c>
      <c r="G887">
        <v>0.1</v>
      </c>
    </row>
    <row r="888" spans="1:7" x14ac:dyDescent="0.3">
      <c r="A888" t="s">
        <v>70</v>
      </c>
      <c r="B888" t="s">
        <v>125</v>
      </c>
      <c r="C888" s="1">
        <v>44377.5</v>
      </c>
      <c r="D888" t="s">
        <v>12</v>
      </c>
      <c r="E888" t="s">
        <v>87</v>
      </c>
      <c r="F888">
        <v>3</v>
      </c>
      <c r="G888">
        <v>0.14000000000000001</v>
      </c>
    </row>
    <row r="889" spans="1:7" x14ac:dyDescent="0.3">
      <c r="A889" t="s">
        <v>70</v>
      </c>
      <c r="B889" t="s">
        <v>125</v>
      </c>
      <c r="C889" s="1">
        <v>44377.5</v>
      </c>
      <c r="D889" t="s">
        <v>14</v>
      </c>
      <c r="E889" t="s">
        <v>88</v>
      </c>
      <c r="F889">
        <v>4</v>
      </c>
      <c r="G889">
        <v>9.0999999999999998E-2</v>
      </c>
    </row>
    <row r="890" spans="1:7" x14ac:dyDescent="0.3">
      <c r="A890" t="s">
        <v>70</v>
      </c>
      <c r="B890" t="s">
        <v>125</v>
      </c>
      <c r="C890" s="1">
        <v>44377.5</v>
      </c>
      <c r="D890" t="s">
        <v>16</v>
      </c>
      <c r="E890" t="s">
        <v>89</v>
      </c>
      <c r="F890">
        <v>5</v>
      </c>
      <c r="G890">
        <v>0.48</v>
      </c>
    </row>
    <row r="891" spans="1:7" x14ac:dyDescent="0.3">
      <c r="A891" t="s">
        <v>70</v>
      </c>
      <c r="B891" t="s">
        <v>125</v>
      </c>
      <c r="C891" s="1">
        <v>44377.5</v>
      </c>
      <c r="D891" t="s">
        <v>18</v>
      </c>
      <c r="E891" t="s">
        <v>90</v>
      </c>
      <c r="F891">
        <v>6</v>
      </c>
      <c r="G891">
        <v>0.19</v>
      </c>
    </row>
    <row r="892" spans="1:7" x14ac:dyDescent="0.3">
      <c r="A892" t="s">
        <v>70</v>
      </c>
      <c r="B892" t="s">
        <v>125</v>
      </c>
      <c r="C892" s="1">
        <v>44377.5</v>
      </c>
      <c r="D892" t="s">
        <v>129</v>
      </c>
      <c r="E892" t="s">
        <v>91</v>
      </c>
      <c r="F892">
        <v>7</v>
      </c>
      <c r="G892">
        <v>0.23</v>
      </c>
    </row>
    <row r="893" spans="1:7" x14ac:dyDescent="0.3">
      <c r="A893" t="s">
        <v>70</v>
      </c>
      <c r="B893" t="s">
        <v>125</v>
      </c>
      <c r="C893" s="1">
        <v>44377.5</v>
      </c>
      <c r="D893" t="s">
        <v>130</v>
      </c>
      <c r="E893" t="s">
        <v>92</v>
      </c>
      <c r="F893">
        <v>8</v>
      </c>
      <c r="G893">
        <v>0.64</v>
      </c>
    </row>
    <row r="894" spans="1:7" x14ac:dyDescent="0.3">
      <c r="A894" t="s">
        <v>70</v>
      </c>
      <c r="B894" t="s">
        <v>125</v>
      </c>
      <c r="C894" s="1">
        <v>44377.5</v>
      </c>
      <c r="D894" t="s">
        <v>131</v>
      </c>
      <c r="E894" t="s">
        <v>93</v>
      </c>
      <c r="F894">
        <v>9</v>
      </c>
      <c r="G894">
        <v>0.78</v>
      </c>
    </row>
    <row r="895" spans="1:7" x14ac:dyDescent="0.3">
      <c r="A895" t="s">
        <v>70</v>
      </c>
      <c r="B895" t="s">
        <v>125</v>
      </c>
      <c r="C895" s="1">
        <v>44377.5</v>
      </c>
      <c r="D895" t="s">
        <v>132</v>
      </c>
      <c r="E895" t="s">
        <v>94</v>
      </c>
      <c r="F895">
        <v>10</v>
      </c>
      <c r="G895">
        <v>0.63</v>
      </c>
    </row>
    <row r="896" spans="1:7" x14ac:dyDescent="0.3">
      <c r="A896" t="s">
        <v>70</v>
      </c>
      <c r="B896" t="s">
        <v>125</v>
      </c>
      <c r="C896" s="1">
        <v>44377.5</v>
      </c>
      <c r="D896" t="s">
        <v>133</v>
      </c>
      <c r="E896" t="s">
        <v>95</v>
      </c>
      <c r="F896">
        <v>11</v>
      </c>
      <c r="G896">
        <v>0.51</v>
      </c>
    </row>
    <row r="897" spans="1:7" x14ac:dyDescent="0.3">
      <c r="A897" t="s">
        <v>70</v>
      </c>
      <c r="B897" t="s">
        <v>125</v>
      </c>
      <c r="C897" s="1">
        <v>44377.5</v>
      </c>
      <c r="D897" t="s">
        <v>11</v>
      </c>
      <c r="E897" t="s">
        <v>96</v>
      </c>
      <c r="F897">
        <v>13</v>
      </c>
      <c r="G897">
        <v>4.9000000000000002E-2</v>
      </c>
    </row>
    <row r="898" spans="1:7" x14ac:dyDescent="0.3">
      <c r="A898" t="s">
        <v>70</v>
      </c>
      <c r="B898" t="s">
        <v>125</v>
      </c>
      <c r="C898" s="1">
        <v>44377.5</v>
      </c>
      <c r="D898" t="s">
        <v>13</v>
      </c>
      <c r="E898" t="s">
        <v>97</v>
      </c>
      <c r="F898">
        <v>14</v>
      </c>
      <c r="G898">
        <v>6.9000000000000006E-2</v>
      </c>
    </row>
    <row r="899" spans="1:7" x14ac:dyDescent="0.3">
      <c r="A899" t="s">
        <v>70</v>
      </c>
      <c r="B899" t="s">
        <v>125</v>
      </c>
      <c r="C899" s="1">
        <v>44377.5</v>
      </c>
      <c r="D899" t="s">
        <v>15</v>
      </c>
      <c r="E899" t="s">
        <v>98</v>
      </c>
      <c r="F899">
        <v>15</v>
      </c>
      <c r="G899">
        <v>1.2</v>
      </c>
    </row>
    <row r="900" spans="1:7" x14ac:dyDescent="0.3">
      <c r="A900" t="s">
        <v>70</v>
      </c>
      <c r="B900" t="s">
        <v>125</v>
      </c>
      <c r="C900" s="1">
        <v>44377.5</v>
      </c>
      <c r="D900" t="s">
        <v>17</v>
      </c>
      <c r="E900" t="s">
        <v>99</v>
      </c>
      <c r="F900">
        <v>16</v>
      </c>
      <c r="G900">
        <v>0.16</v>
      </c>
    </row>
    <row r="901" spans="1:7" x14ac:dyDescent="0.3">
      <c r="A901" t="s">
        <v>70</v>
      </c>
      <c r="B901" t="s">
        <v>125</v>
      </c>
      <c r="C901" s="1">
        <v>44377.5</v>
      </c>
      <c r="D901" t="s">
        <v>19</v>
      </c>
      <c r="E901" t="s">
        <v>100</v>
      </c>
      <c r="F901">
        <v>17</v>
      </c>
      <c r="G901">
        <v>30</v>
      </c>
    </row>
    <row r="902" spans="1:7" x14ac:dyDescent="0.3">
      <c r="A902" t="s">
        <v>70</v>
      </c>
      <c r="B902" t="s">
        <v>125</v>
      </c>
      <c r="C902" s="1">
        <v>44377.5</v>
      </c>
      <c r="D902" t="s">
        <v>134</v>
      </c>
      <c r="E902" t="s">
        <v>101</v>
      </c>
      <c r="F902">
        <v>18</v>
      </c>
      <c r="G902">
        <v>0.19</v>
      </c>
    </row>
    <row r="903" spans="1:7" x14ac:dyDescent="0.3">
      <c r="A903" t="s">
        <v>70</v>
      </c>
      <c r="B903" t="s">
        <v>125</v>
      </c>
      <c r="C903" s="1">
        <v>44377.5</v>
      </c>
      <c r="D903" t="s">
        <v>135</v>
      </c>
      <c r="E903" t="s">
        <v>102</v>
      </c>
      <c r="F903">
        <v>20</v>
      </c>
      <c r="G903">
        <v>0.32</v>
      </c>
    </row>
    <row r="904" spans="1:7" x14ac:dyDescent="0.3">
      <c r="A904" t="s">
        <v>70</v>
      </c>
      <c r="B904" t="s">
        <v>125</v>
      </c>
      <c r="C904" s="1">
        <v>44377.5</v>
      </c>
      <c r="D904" t="s">
        <v>136</v>
      </c>
      <c r="E904" t="s">
        <v>103</v>
      </c>
      <c r="F904">
        <v>21</v>
      </c>
      <c r="G904">
        <v>0.2</v>
      </c>
    </row>
    <row r="905" spans="1:7" x14ac:dyDescent="0.3">
      <c r="A905" t="s">
        <v>70</v>
      </c>
      <c r="B905" t="s">
        <v>125</v>
      </c>
      <c r="C905" s="1">
        <v>44377.5</v>
      </c>
      <c r="D905" t="s">
        <v>60</v>
      </c>
      <c r="E905" t="s">
        <v>104</v>
      </c>
      <c r="F905">
        <v>22</v>
      </c>
      <c r="G905">
        <v>0.36</v>
      </c>
    </row>
    <row r="906" spans="1:7" x14ac:dyDescent="0.3">
      <c r="A906" t="s">
        <v>70</v>
      </c>
      <c r="B906" t="s">
        <v>125</v>
      </c>
      <c r="C906" s="1">
        <v>44377.5</v>
      </c>
      <c r="D906" t="s">
        <v>137</v>
      </c>
      <c r="E906" t="s">
        <v>105</v>
      </c>
      <c r="F906">
        <v>23</v>
      </c>
      <c r="G906">
        <v>0.5</v>
      </c>
    </row>
    <row r="907" spans="1:7" x14ac:dyDescent="0.3">
      <c r="A907" t="s">
        <v>70</v>
      </c>
      <c r="B907" t="s">
        <v>125</v>
      </c>
      <c r="C907" s="1">
        <v>44377.5</v>
      </c>
      <c r="D907" t="s">
        <v>138</v>
      </c>
      <c r="E907" t="s">
        <v>106</v>
      </c>
      <c r="F907">
        <v>27</v>
      </c>
      <c r="G907">
        <v>0.4</v>
      </c>
    </row>
    <row r="908" spans="1:7" x14ac:dyDescent="0.3">
      <c r="A908" t="s">
        <v>70</v>
      </c>
      <c r="B908" t="s">
        <v>125</v>
      </c>
      <c r="C908" s="1">
        <v>44377.5</v>
      </c>
      <c r="D908" t="s">
        <v>139</v>
      </c>
      <c r="E908" t="s">
        <v>107</v>
      </c>
      <c r="F908">
        <v>29</v>
      </c>
      <c r="G908">
        <v>4.9500000000000002E-2</v>
      </c>
    </row>
    <row r="909" spans="1:7" x14ac:dyDescent="0.3">
      <c r="A909" t="s">
        <v>70</v>
      </c>
      <c r="B909" t="s">
        <v>125</v>
      </c>
      <c r="C909" s="1">
        <v>44377.5</v>
      </c>
      <c r="D909" t="s">
        <v>140</v>
      </c>
      <c r="E909" t="s">
        <v>108</v>
      </c>
      <c r="F909">
        <v>25</v>
      </c>
      <c r="G909">
        <v>4.9500000000000002E-2</v>
      </c>
    </row>
    <row r="910" spans="1:7" x14ac:dyDescent="0.3">
      <c r="A910" t="s">
        <v>70</v>
      </c>
      <c r="B910" t="s">
        <v>125</v>
      </c>
      <c r="C910" s="1">
        <v>44377.5</v>
      </c>
      <c r="D910" t="s">
        <v>141</v>
      </c>
      <c r="E910" t="s">
        <v>109</v>
      </c>
      <c r="F910">
        <v>30</v>
      </c>
      <c r="G910">
        <v>4.9500000000000002E-2</v>
      </c>
    </row>
    <row r="911" spans="1:7" x14ac:dyDescent="0.3">
      <c r="A911" t="s">
        <v>70</v>
      </c>
      <c r="B911" t="s">
        <v>125</v>
      </c>
      <c r="C911" s="1">
        <v>44377.5</v>
      </c>
      <c r="D911" t="s">
        <v>142</v>
      </c>
      <c r="E911" t="s">
        <v>110</v>
      </c>
      <c r="F911">
        <v>26</v>
      </c>
      <c r="G911">
        <v>4.9500000000000002E-2</v>
      </c>
    </row>
    <row r="912" spans="1:7" x14ac:dyDescent="0.3">
      <c r="A912" t="s">
        <v>70</v>
      </c>
      <c r="B912" t="s">
        <v>125</v>
      </c>
      <c r="C912" s="1">
        <v>44377.5</v>
      </c>
      <c r="D912" t="s">
        <v>143</v>
      </c>
      <c r="E912" t="s">
        <v>111</v>
      </c>
      <c r="F912">
        <v>31</v>
      </c>
      <c r="G912">
        <v>1.1000000000000001</v>
      </c>
    </row>
    <row r="913" spans="1:7" x14ac:dyDescent="0.3">
      <c r="A913" t="s">
        <v>70</v>
      </c>
      <c r="B913" t="s">
        <v>125</v>
      </c>
      <c r="C913" s="1">
        <v>44377.5</v>
      </c>
      <c r="D913" t="s">
        <v>144</v>
      </c>
      <c r="E913" t="s">
        <v>112</v>
      </c>
      <c r="F913">
        <v>32</v>
      </c>
      <c r="G913">
        <v>0.495</v>
      </c>
    </row>
    <row r="914" spans="1:7" x14ac:dyDescent="0.3">
      <c r="A914" t="s">
        <v>70</v>
      </c>
      <c r="B914" t="s">
        <v>125</v>
      </c>
      <c r="C914" s="1">
        <v>44377.5</v>
      </c>
      <c r="D914" t="s">
        <v>145</v>
      </c>
      <c r="E914" t="s">
        <v>113</v>
      </c>
      <c r="F914">
        <v>33</v>
      </c>
      <c r="G914">
        <v>0.29499999999999998</v>
      </c>
    </row>
    <row r="915" spans="1:7" x14ac:dyDescent="0.3">
      <c r="A915" t="s">
        <v>70</v>
      </c>
      <c r="B915" t="s">
        <v>125</v>
      </c>
      <c r="C915" s="1">
        <v>44377.5</v>
      </c>
      <c r="D915" t="s">
        <v>146</v>
      </c>
      <c r="E915" t="s">
        <v>114</v>
      </c>
      <c r="F915">
        <v>34</v>
      </c>
      <c r="G915">
        <v>0.2</v>
      </c>
    </row>
    <row r="916" spans="1:7" x14ac:dyDescent="0.3">
      <c r="A916" t="s">
        <v>70</v>
      </c>
      <c r="B916" t="s">
        <v>125</v>
      </c>
      <c r="C916" s="1">
        <v>44377.5</v>
      </c>
      <c r="D916" t="s">
        <v>147</v>
      </c>
      <c r="E916" t="s">
        <v>115</v>
      </c>
      <c r="F916">
        <v>47</v>
      </c>
      <c r="G916">
        <v>0.1</v>
      </c>
    </row>
    <row r="917" spans="1:7" x14ac:dyDescent="0.3">
      <c r="A917" t="s">
        <v>70</v>
      </c>
      <c r="B917" t="s">
        <v>125</v>
      </c>
      <c r="C917" s="1">
        <v>44377.5</v>
      </c>
      <c r="D917" t="s">
        <v>148</v>
      </c>
      <c r="E917" t="s">
        <v>116</v>
      </c>
      <c r="F917">
        <v>49</v>
      </c>
      <c r="G917">
        <v>0.1</v>
      </c>
    </row>
    <row r="918" spans="1:7" x14ac:dyDescent="0.3">
      <c r="A918" t="s">
        <v>70</v>
      </c>
      <c r="B918" t="s">
        <v>125</v>
      </c>
      <c r="C918" s="1">
        <v>44377.5</v>
      </c>
      <c r="D918" t="s">
        <v>149</v>
      </c>
      <c r="E918" t="s">
        <v>117</v>
      </c>
      <c r="F918">
        <v>35</v>
      </c>
      <c r="G918">
        <v>0.2</v>
      </c>
    </row>
    <row r="919" spans="1:7" x14ac:dyDescent="0.3">
      <c r="A919" t="s">
        <v>70</v>
      </c>
      <c r="B919" t="s">
        <v>125</v>
      </c>
      <c r="C919" s="1">
        <v>44377.5</v>
      </c>
      <c r="D919" t="s">
        <v>150</v>
      </c>
      <c r="E919" t="s">
        <v>118</v>
      </c>
      <c r="F919">
        <v>36</v>
      </c>
      <c r="G919">
        <v>0.2</v>
      </c>
    </row>
    <row r="920" spans="1:7" x14ac:dyDescent="0.3">
      <c r="A920" t="s">
        <v>70</v>
      </c>
      <c r="B920" t="s">
        <v>125</v>
      </c>
      <c r="C920" s="1">
        <v>44377.5</v>
      </c>
      <c r="D920" t="s">
        <v>151</v>
      </c>
      <c r="E920" t="s">
        <v>119</v>
      </c>
      <c r="F920">
        <v>46</v>
      </c>
      <c r="G920">
        <v>0.1</v>
      </c>
    </row>
    <row r="921" spans="1:7" x14ac:dyDescent="0.3">
      <c r="A921" t="s">
        <v>70</v>
      </c>
      <c r="B921" t="s">
        <v>125</v>
      </c>
      <c r="C921" s="1">
        <v>44377.5</v>
      </c>
      <c r="D921" t="s">
        <v>152</v>
      </c>
      <c r="E921" t="s">
        <v>120</v>
      </c>
      <c r="F921">
        <v>37</v>
      </c>
      <c r="G921">
        <v>0.245</v>
      </c>
    </row>
    <row r="922" spans="1:7" x14ac:dyDescent="0.3">
      <c r="A922" t="s">
        <v>70</v>
      </c>
      <c r="B922" t="s">
        <v>125</v>
      </c>
      <c r="C922" s="1">
        <v>44377.5</v>
      </c>
      <c r="D922" t="s">
        <v>153</v>
      </c>
      <c r="E922" t="s">
        <v>121</v>
      </c>
      <c r="F922">
        <v>38</v>
      </c>
      <c r="G922">
        <v>1.25</v>
      </c>
    </row>
    <row r="923" spans="1:7" x14ac:dyDescent="0.3">
      <c r="A923" t="s">
        <v>70</v>
      </c>
      <c r="B923" t="s">
        <v>125</v>
      </c>
      <c r="C923" s="1">
        <v>44377.5</v>
      </c>
      <c r="D923" t="s">
        <v>154</v>
      </c>
      <c r="E923" t="s">
        <v>122</v>
      </c>
      <c r="F923">
        <v>39</v>
      </c>
      <c r="G923">
        <v>1.2</v>
      </c>
    </row>
    <row r="924" spans="1:7" x14ac:dyDescent="0.3">
      <c r="A924" t="s">
        <v>70</v>
      </c>
      <c r="B924" t="s">
        <v>125</v>
      </c>
      <c r="C924" s="1">
        <v>44377.5</v>
      </c>
      <c r="D924" t="s">
        <v>155</v>
      </c>
      <c r="E924" t="s">
        <v>123</v>
      </c>
      <c r="F924">
        <v>19</v>
      </c>
      <c r="G924">
        <v>0.47</v>
      </c>
    </row>
    <row r="925" spans="1:7" x14ac:dyDescent="0.3">
      <c r="A925" t="s">
        <v>70</v>
      </c>
      <c r="B925" t="s">
        <v>125</v>
      </c>
      <c r="C925" s="1">
        <v>44377.5</v>
      </c>
      <c r="D925" t="s">
        <v>156</v>
      </c>
      <c r="E925" t="s">
        <v>124</v>
      </c>
      <c r="F925">
        <v>48</v>
      </c>
      <c r="G925">
        <v>0.1</v>
      </c>
    </row>
    <row r="926" spans="1:7" x14ac:dyDescent="0.3">
      <c r="A926" t="s">
        <v>71</v>
      </c>
      <c r="B926" t="s">
        <v>128</v>
      </c>
      <c r="C926" s="1">
        <v>44379.5</v>
      </c>
      <c r="D926" t="s">
        <v>9</v>
      </c>
      <c r="E926" t="s">
        <v>85</v>
      </c>
      <c r="F926">
        <v>1</v>
      </c>
      <c r="G926">
        <v>0.19500000000000001</v>
      </c>
    </row>
    <row r="927" spans="1:7" x14ac:dyDescent="0.3">
      <c r="A927" t="s">
        <v>71</v>
      </c>
      <c r="B927" t="s">
        <v>128</v>
      </c>
      <c r="C927" s="1">
        <v>44379.5</v>
      </c>
      <c r="D927" t="s">
        <v>10</v>
      </c>
      <c r="E927" t="s">
        <v>86</v>
      </c>
      <c r="F927">
        <v>2</v>
      </c>
      <c r="G927">
        <v>0.1</v>
      </c>
    </row>
    <row r="928" spans="1:7" x14ac:dyDescent="0.3">
      <c r="A928" t="s">
        <v>71</v>
      </c>
      <c r="B928" t="s">
        <v>128</v>
      </c>
      <c r="C928" s="1">
        <v>44379.5</v>
      </c>
      <c r="D928" t="s">
        <v>12</v>
      </c>
      <c r="E928" t="s">
        <v>87</v>
      </c>
      <c r="F928">
        <v>3</v>
      </c>
      <c r="G928">
        <v>0.09</v>
      </c>
    </row>
    <row r="929" spans="1:7" x14ac:dyDescent="0.3">
      <c r="A929" t="s">
        <v>71</v>
      </c>
      <c r="B929" t="s">
        <v>128</v>
      </c>
      <c r="C929" s="1">
        <v>44379.5</v>
      </c>
      <c r="D929" t="s">
        <v>14</v>
      </c>
      <c r="E929" t="s">
        <v>88</v>
      </c>
      <c r="F929">
        <v>4</v>
      </c>
      <c r="G929">
        <v>0.09</v>
      </c>
    </row>
    <row r="930" spans="1:7" x14ac:dyDescent="0.3">
      <c r="A930" t="s">
        <v>71</v>
      </c>
      <c r="B930" t="s">
        <v>128</v>
      </c>
      <c r="C930" s="1">
        <v>44379.5</v>
      </c>
      <c r="D930" t="s">
        <v>16</v>
      </c>
      <c r="E930" t="s">
        <v>89</v>
      </c>
      <c r="F930">
        <v>5</v>
      </c>
      <c r="G930">
        <v>0.12</v>
      </c>
    </row>
    <row r="931" spans="1:7" x14ac:dyDescent="0.3">
      <c r="A931" t="s">
        <v>71</v>
      </c>
      <c r="B931" t="s">
        <v>128</v>
      </c>
      <c r="C931" s="1">
        <v>44379.5</v>
      </c>
      <c r="D931" t="s">
        <v>18</v>
      </c>
      <c r="E931" t="s">
        <v>90</v>
      </c>
      <c r="F931">
        <v>6</v>
      </c>
      <c r="G931">
        <v>0.08</v>
      </c>
    </row>
    <row r="932" spans="1:7" x14ac:dyDescent="0.3">
      <c r="A932" t="s">
        <v>71</v>
      </c>
      <c r="B932" t="s">
        <v>128</v>
      </c>
      <c r="C932" s="1">
        <v>44379.5</v>
      </c>
      <c r="D932" t="s">
        <v>129</v>
      </c>
      <c r="E932" t="s">
        <v>91</v>
      </c>
      <c r="F932">
        <v>7</v>
      </c>
      <c r="G932">
        <v>7.8E-2</v>
      </c>
    </row>
    <row r="933" spans="1:7" x14ac:dyDescent="0.3">
      <c r="A933" t="s">
        <v>71</v>
      </c>
      <c r="B933" t="s">
        <v>128</v>
      </c>
      <c r="C933" s="1">
        <v>44379.5</v>
      </c>
      <c r="D933" t="s">
        <v>130</v>
      </c>
      <c r="E933" t="s">
        <v>92</v>
      </c>
      <c r="F933">
        <v>8</v>
      </c>
      <c r="G933">
        <v>0.14000000000000001</v>
      </c>
    </row>
    <row r="934" spans="1:7" x14ac:dyDescent="0.3">
      <c r="A934" t="s">
        <v>71</v>
      </c>
      <c r="B934" t="s">
        <v>128</v>
      </c>
      <c r="C934" s="1">
        <v>44379.5</v>
      </c>
      <c r="D934" t="s">
        <v>131</v>
      </c>
      <c r="E934" t="s">
        <v>93</v>
      </c>
      <c r="F934">
        <v>9</v>
      </c>
      <c r="G934">
        <v>5.8000000000000003E-2</v>
      </c>
    </row>
    <row r="935" spans="1:7" x14ac:dyDescent="0.3">
      <c r="A935" t="s">
        <v>71</v>
      </c>
      <c r="B935" t="s">
        <v>128</v>
      </c>
      <c r="C935" s="1">
        <v>44379.5</v>
      </c>
      <c r="D935" t="s">
        <v>132</v>
      </c>
      <c r="E935" t="s">
        <v>94</v>
      </c>
      <c r="F935">
        <v>10</v>
      </c>
      <c r="G935">
        <v>4.9500000000000002E-2</v>
      </c>
    </row>
    <row r="936" spans="1:7" x14ac:dyDescent="0.3">
      <c r="A936" t="s">
        <v>71</v>
      </c>
      <c r="B936" t="s">
        <v>128</v>
      </c>
      <c r="C936" s="1">
        <v>44379.5</v>
      </c>
      <c r="D936" t="s">
        <v>133</v>
      </c>
      <c r="E936" t="s">
        <v>95</v>
      </c>
      <c r="F936">
        <v>11</v>
      </c>
      <c r="G936">
        <v>4.9500000000000002E-2</v>
      </c>
    </row>
    <row r="937" spans="1:7" x14ac:dyDescent="0.3">
      <c r="A937" t="s">
        <v>71</v>
      </c>
      <c r="B937" t="s">
        <v>128</v>
      </c>
      <c r="C937" s="1">
        <v>44379.5</v>
      </c>
      <c r="D937" t="s">
        <v>11</v>
      </c>
      <c r="E937" t="s">
        <v>96</v>
      </c>
      <c r="F937">
        <v>13</v>
      </c>
      <c r="G937">
        <v>4.9500000000000002E-2</v>
      </c>
    </row>
    <row r="938" spans="1:7" x14ac:dyDescent="0.3">
      <c r="A938" t="s">
        <v>71</v>
      </c>
      <c r="B938" t="s">
        <v>128</v>
      </c>
      <c r="C938" s="1">
        <v>44379.5</v>
      </c>
      <c r="D938" t="s">
        <v>13</v>
      </c>
      <c r="E938" t="s">
        <v>97</v>
      </c>
      <c r="F938">
        <v>14</v>
      </c>
      <c r="G938">
        <v>4.9500000000000002E-2</v>
      </c>
    </row>
    <row r="939" spans="1:7" x14ac:dyDescent="0.3">
      <c r="A939" t="s">
        <v>71</v>
      </c>
      <c r="B939" t="s">
        <v>128</v>
      </c>
      <c r="C939" s="1">
        <v>44379.5</v>
      </c>
      <c r="D939" t="s">
        <v>15</v>
      </c>
      <c r="E939" t="s">
        <v>98</v>
      </c>
      <c r="F939">
        <v>15</v>
      </c>
      <c r="G939">
        <v>0.28000000000000003</v>
      </c>
    </row>
    <row r="940" spans="1:7" x14ac:dyDescent="0.3">
      <c r="A940" t="s">
        <v>71</v>
      </c>
      <c r="B940" t="s">
        <v>128</v>
      </c>
      <c r="C940" s="1">
        <v>44379.5</v>
      </c>
      <c r="D940" t="s">
        <v>17</v>
      </c>
      <c r="E940" t="s">
        <v>99</v>
      </c>
      <c r="F940">
        <v>16</v>
      </c>
      <c r="G940">
        <v>4.9500000000000002E-2</v>
      </c>
    </row>
    <row r="941" spans="1:7" x14ac:dyDescent="0.3">
      <c r="A941" t="s">
        <v>71</v>
      </c>
      <c r="B941" t="s">
        <v>128</v>
      </c>
      <c r="C941" s="1">
        <v>44379.5</v>
      </c>
      <c r="D941" t="s">
        <v>19</v>
      </c>
      <c r="E941" t="s">
        <v>100</v>
      </c>
      <c r="F941">
        <v>17</v>
      </c>
      <c r="G941">
        <v>7.6</v>
      </c>
    </row>
    <row r="942" spans="1:7" x14ac:dyDescent="0.3">
      <c r="A942" t="s">
        <v>71</v>
      </c>
      <c r="B942" t="s">
        <v>128</v>
      </c>
      <c r="C942" s="1">
        <v>44379.5</v>
      </c>
      <c r="D942" t="s">
        <v>134</v>
      </c>
      <c r="E942" t="s">
        <v>101</v>
      </c>
      <c r="F942">
        <v>18</v>
      </c>
      <c r="G942">
        <v>5.7000000000000002E-2</v>
      </c>
    </row>
    <row r="943" spans="1:7" x14ac:dyDescent="0.3">
      <c r="A943" t="s">
        <v>71</v>
      </c>
      <c r="B943" t="s">
        <v>128</v>
      </c>
      <c r="C943" s="1">
        <v>44379.5</v>
      </c>
      <c r="D943" t="s">
        <v>135</v>
      </c>
      <c r="E943" t="s">
        <v>102</v>
      </c>
      <c r="F943">
        <v>20</v>
      </c>
      <c r="G943">
        <v>4.9500000000000002E-2</v>
      </c>
    </row>
    <row r="944" spans="1:7" x14ac:dyDescent="0.3">
      <c r="A944" t="s">
        <v>71</v>
      </c>
      <c r="B944" t="s">
        <v>128</v>
      </c>
      <c r="C944" s="1">
        <v>44379.5</v>
      </c>
      <c r="D944" t="s">
        <v>136</v>
      </c>
      <c r="E944" t="s">
        <v>103</v>
      </c>
      <c r="F944">
        <v>21</v>
      </c>
      <c r="G944">
        <v>0.19500000000000001</v>
      </c>
    </row>
    <row r="945" spans="1:7" x14ac:dyDescent="0.3">
      <c r="A945" t="s">
        <v>71</v>
      </c>
      <c r="B945" t="s">
        <v>128</v>
      </c>
      <c r="C945" s="1">
        <v>44379.5</v>
      </c>
      <c r="D945" t="s">
        <v>60</v>
      </c>
      <c r="E945" t="s">
        <v>104</v>
      </c>
      <c r="F945">
        <v>22</v>
      </c>
      <c r="G945">
        <v>0.39500000000000002</v>
      </c>
    </row>
    <row r="946" spans="1:7" x14ac:dyDescent="0.3">
      <c r="A946" t="s">
        <v>71</v>
      </c>
      <c r="B946" t="s">
        <v>128</v>
      </c>
      <c r="C946" s="1">
        <v>44379.5</v>
      </c>
      <c r="D946" t="s">
        <v>137</v>
      </c>
      <c r="E946" t="s">
        <v>105</v>
      </c>
      <c r="F946">
        <v>23</v>
      </c>
      <c r="G946">
        <v>0.39500000000000002</v>
      </c>
    </row>
    <row r="947" spans="1:7" x14ac:dyDescent="0.3">
      <c r="A947" t="s">
        <v>71</v>
      </c>
      <c r="B947" t="s">
        <v>128</v>
      </c>
      <c r="C947" s="1">
        <v>44379.5</v>
      </c>
      <c r="D947" t="s">
        <v>138</v>
      </c>
      <c r="E947" t="s">
        <v>106</v>
      </c>
      <c r="F947">
        <v>27</v>
      </c>
      <c r="G947">
        <v>0.09</v>
      </c>
    </row>
    <row r="948" spans="1:7" x14ac:dyDescent="0.3">
      <c r="A948" t="s">
        <v>71</v>
      </c>
      <c r="B948" t="s">
        <v>128</v>
      </c>
      <c r="C948" s="1">
        <v>44379.5</v>
      </c>
      <c r="D948" t="s">
        <v>139</v>
      </c>
      <c r="E948" t="s">
        <v>107</v>
      </c>
      <c r="F948">
        <v>29</v>
      </c>
      <c r="G948">
        <v>4.9500000000000002E-2</v>
      </c>
    </row>
    <row r="949" spans="1:7" x14ac:dyDescent="0.3">
      <c r="A949" t="s">
        <v>71</v>
      </c>
      <c r="B949" t="s">
        <v>128</v>
      </c>
      <c r="C949" s="1">
        <v>44379.5</v>
      </c>
      <c r="D949" t="s">
        <v>140</v>
      </c>
      <c r="E949" t="s">
        <v>108</v>
      </c>
      <c r="F949">
        <v>25</v>
      </c>
      <c r="G949">
        <v>4.9500000000000002E-2</v>
      </c>
    </row>
    <row r="950" spans="1:7" x14ac:dyDescent="0.3">
      <c r="A950" t="s">
        <v>71</v>
      </c>
      <c r="B950" t="s">
        <v>128</v>
      </c>
      <c r="C950" s="1">
        <v>44379.5</v>
      </c>
      <c r="D950" t="s">
        <v>141</v>
      </c>
      <c r="E950" t="s">
        <v>109</v>
      </c>
      <c r="F950">
        <v>30</v>
      </c>
      <c r="G950">
        <v>4.9500000000000002E-2</v>
      </c>
    </row>
    <row r="951" spans="1:7" x14ac:dyDescent="0.3">
      <c r="A951" t="s">
        <v>71</v>
      </c>
      <c r="B951" t="s">
        <v>128</v>
      </c>
      <c r="C951" s="1">
        <v>44379.5</v>
      </c>
      <c r="D951" t="s">
        <v>142</v>
      </c>
      <c r="E951" t="s">
        <v>110</v>
      </c>
      <c r="F951">
        <v>26</v>
      </c>
      <c r="G951">
        <v>4.9500000000000002E-2</v>
      </c>
    </row>
    <row r="952" spans="1:7" x14ac:dyDescent="0.3">
      <c r="A952" t="s">
        <v>71</v>
      </c>
      <c r="B952" t="s">
        <v>128</v>
      </c>
      <c r="C952" s="1">
        <v>44379.5</v>
      </c>
      <c r="D952" t="s">
        <v>143</v>
      </c>
      <c r="E952" t="s">
        <v>111</v>
      </c>
      <c r="F952">
        <v>31</v>
      </c>
      <c r="G952">
        <v>0.495</v>
      </c>
    </row>
    <row r="953" spans="1:7" x14ac:dyDescent="0.3">
      <c r="A953" t="s">
        <v>71</v>
      </c>
      <c r="B953" t="s">
        <v>128</v>
      </c>
      <c r="C953" s="1">
        <v>44379.5</v>
      </c>
      <c r="D953" t="s">
        <v>144</v>
      </c>
      <c r="E953" t="s">
        <v>112</v>
      </c>
      <c r="F953">
        <v>32</v>
      </c>
      <c r="G953">
        <v>0.495</v>
      </c>
    </row>
    <row r="954" spans="1:7" x14ac:dyDescent="0.3">
      <c r="A954" t="s">
        <v>71</v>
      </c>
      <c r="B954" t="s">
        <v>128</v>
      </c>
      <c r="C954" s="1">
        <v>44379.5</v>
      </c>
      <c r="D954" t="s">
        <v>145</v>
      </c>
      <c r="E954" t="s">
        <v>113</v>
      </c>
      <c r="F954">
        <v>33</v>
      </c>
      <c r="G954">
        <v>0.29499999999999998</v>
      </c>
    </row>
    <row r="955" spans="1:7" x14ac:dyDescent="0.3">
      <c r="A955" t="s">
        <v>71</v>
      </c>
      <c r="B955" t="s">
        <v>128</v>
      </c>
      <c r="C955" s="1">
        <v>44379.5</v>
      </c>
      <c r="D955" t="s">
        <v>146</v>
      </c>
      <c r="E955" t="s">
        <v>114</v>
      </c>
      <c r="F955">
        <v>34</v>
      </c>
      <c r="G955">
        <v>0.19500000000000001</v>
      </c>
    </row>
    <row r="956" spans="1:7" x14ac:dyDescent="0.3">
      <c r="A956" t="s">
        <v>71</v>
      </c>
      <c r="B956" t="s">
        <v>128</v>
      </c>
      <c r="C956" s="1">
        <v>44379.5</v>
      </c>
      <c r="D956" t="s">
        <v>147</v>
      </c>
      <c r="E956" t="s">
        <v>115</v>
      </c>
      <c r="F956">
        <v>47</v>
      </c>
      <c r="G956">
        <v>0.1</v>
      </c>
    </row>
    <row r="957" spans="1:7" x14ac:dyDescent="0.3">
      <c r="A957" t="s">
        <v>71</v>
      </c>
      <c r="B957" t="s">
        <v>128</v>
      </c>
      <c r="C957" s="1">
        <v>44379.5</v>
      </c>
      <c r="D957" t="s">
        <v>148</v>
      </c>
      <c r="E957" t="s">
        <v>116</v>
      </c>
      <c r="F957">
        <v>49</v>
      </c>
      <c r="G957">
        <v>0.1</v>
      </c>
    </row>
    <row r="958" spans="1:7" x14ac:dyDescent="0.3">
      <c r="A958" t="s">
        <v>71</v>
      </c>
      <c r="B958" t="s">
        <v>128</v>
      </c>
      <c r="C958" s="1">
        <v>44379.5</v>
      </c>
      <c r="D958" t="s">
        <v>149</v>
      </c>
      <c r="E958" t="s">
        <v>117</v>
      </c>
      <c r="F958">
        <v>35</v>
      </c>
      <c r="G958">
        <v>0.19500000000000001</v>
      </c>
    </row>
    <row r="959" spans="1:7" x14ac:dyDescent="0.3">
      <c r="A959" t="s">
        <v>71</v>
      </c>
      <c r="B959" t="s">
        <v>128</v>
      </c>
      <c r="C959" s="1">
        <v>44379.5</v>
      </c>
      <c r="D959" t="s">
        <v>150</v>
      </c>
      <c r="E959" t="s">
        <v>118</v>
      </c>
      <c r="F959">
        <v>36</v>
      </c>
      <c r="G959">
        <v>0.19500000000000001</v>
      </c>
    </row>
    <row r="960" spans="1:7" x14ac:dyDescent="0.3">
      <c r="A960" t="s">
        <v>71</v>
      </c>
      <c r="B960" t="s">
        <v>128</v>
      </c>
      <c r="C960" s="1">
        <v>44379.5</v>
      </c>
      <c r="D960" t="s">
        <v>151</v>
      </c>
      <c r="E960" t="s">
        <v>119</v>
      </c>
      <c r="F960">
        <v>46</v>
      </c>
      <c r="G960">
        <v>0.1</v>
      </c>
    </row>
    <row r="961" spans="1:7" x14ac:dyDescent="0.3">
      <c r="A961" t="s">
        <v>71</v>
      </c>
      <c r="B961" t="s">
        <v>128</v>
      </c>
      <c r="C961" s="1">
        <v>44379.5</v>
      </c>
      <c r="D961" t="s">
        <v>152</v>
      </c>
      <c r="E961" t="s">
        <v>120</v>
      </c>
      <c r="F961">
        <v>37</v>
      </c>
      <c r="G961">
        <v>0.245</v>
      </c>
    </row>
    <row r="962" spans="1:7" x14ac:dyDescent="0.3">
      <c r="A962" t="s">
        <v>71</v>
      </c>
      <c r="B962" t="s">
        <v>128</v>
      </c>
      <c r="C962" s="1">
        <v>44379.5</v>
      </c>
      <c r="D962" t="s">
        <v>153</v>
      </c>
      <c r="E962" t="s">
        <v>121</v>
      </c>
      <c r="F962">
        <v>38</v>
      </c>
      <c r="G962">
        <v>1.25</v>
      </c>
    </row>
    <row r="963" spans="1:7" x14ac:dyDescent="0.3">
      <c r="A963" t="s">
        <v>71</v>
      </c>
      <c r="B963" t="s">
        <v>128</v>
      </c>
      <c r="C963" s="1">
        <v>44379.5</v>
      </c>
      <c r="D963" t="s">
        <v>154</v>
      </c>
      <c r="E963" t="s">
        <v>122</v>
      </c>
      <c r="F963">
        <v>39</v>
      </c>
      <c r="G963">
        <v>1.25</v>
      </c>
    </row>
    <row r="964" spans="1:7" x14ac:dyDescent="0.3">
      <c r="A964" t="s">
        <v>71</v>
      </c>
      <c r="B964" t="s">
        <v>128</v>
      </c>
      <c r="C964" s="1">
        <v>44379.5</v>
      </c>
      <c r="D964" t="s">
        <v>155</v>
      </c>
      <c r="E964" t="s">
        <v>123</v>
      </c>
      <c r="F964">
        <v>19</v>
      </c>
      <c r="G964">
        <v>7.3999999999999996E-2</v>
      </c>
    </row>
    <row r="965" spans="1:7" x14ac:dyDescent="0.3">
      <c r="A965" t="s">
        <v>71</v>
      </c>
      <c r="B965" t="s">
        <v>128</v>
      </c>
      <c r="C965" s="1">
        <v>44379.5</v>
      </c>
      <c r="D965" t="s">
        <v>156</v>
      </c>
      <c r="E965" t="s">
        <v>124</v>
      </c>
      <c r="F965">
        <v>48</v>
      </c>
      <c r="G965">
        <v>0.1</v>
      </c>
    </row>
    <row r="966" spans="1:7" x14ac:dyDescent="0.3">
      <c r="A966" t="s">
        <v>72</v>
      </c>
      <c r="B966" t="s">
        <v>126</v>
      </c>
      <c r="C966" s="1">
        <v>44379.5</v>
      </c>
      <c r="D966" t="s">
        <v>9</v>
      </c>
      <c r="E966" t="s">
        <v>85</v>
      </c>
      <c r="F966">
        <v>1</v>
      </c>
      <c r="G966">
        <v>0.2</v>
      </c>
    </row>
    <row r="967" spans="1:7" x14ac:dyDescent="0.3">
      <c r="A967" t="s">
        <v>72</v>
      </c>
      <c r="B967" t="s">
        <v>126</v>
      </c>
      <c r="C967" s="1">
        <v>44379.5</v>
      </c>
      <c r="D967" t="s">
        <v>10</v>
      </c>
      <c r="E967" t="s">
        <v>86</v>
      </c>
      <c r="F967">
        <v>2</v>
      </c>
      <c r="G967">
        <v>0.1</v>
      </c>
    </row>
    <row r="968" spans="1:7" x14ac:dyDescent="0.3">
      <c r="A968" t="s">
        <v>72</v>
      </c>
      <c r="B968" t="s">
        <v>126</v>
      </c>
      <c r="C968" s="1">
        <v>44379.5</v>
      </c>
      <c r="D968" t="s">
        <v>12</v>
      </c>
      <c r="E968" t="s">
        <v>87</v>
      </c>
      <c r="F968">
        <v>3</v>
      </c>
      <c r="G968">
        <v>0.21</v>
      </c>
    </row>
    <row r="969" spans="1:7" x14ac:dyDescent="0.3">
      <c r="A969" t="s">
        <v>72</v>
      </c>
      <c r="B969" t="s">
        <v>126</v>
      </c>
      <c r="C969" s="1">
        <v>44379.5</v>
      </c>
      <c r="D969" t="s">
        <v>14</v>
      </c>
      <c r="E969" t="s">
        <v>88</v>
      </c>
      <c r="F969">
        <v>4</v>
      </c>
      <c r="G969">
        <v>0.09</v>
      </c>
    </row>
    <row r="970" spans="1:7" x14ac:dyDescent="0.3">
      <c r="A970" t="s">
        <v>72</v>
      </c>
      <c r="B970" t="s">
        <v>126</v>
      </c>
      <c r="C970" s="1">
        <v>44379.5</v>
      </c>
      <c r="D970" t="s">
        <v>16</v>
      </c>
      <c r="E970" t="s">
        <v>89</v>
      </c>
      <c r="F970">
        <v>5</v>
      </c>
      <c r="G970">
        <v>0.28000000000000003</v>
      </c>
    </row>
    <row r="971" spans="1:7" x14ac:dyDescent="0.3">
      <c r="A971" t="s">
        <v>72</v>
      </c>
      <c r="B971" t="s">
        <v>126</v>
      </c>
      <c r="C971" s="1">
        <v>44379.5</v>
      </c>
      <c r="D971" t="s">
        <v>18</v>
      </c>
      <c r="E971" t="s">
        <v>90</v>
      </c>
      <c r="F971">
        <v>6</v>
      </c>
      <c r="G971">
        <v>0.1</v>
      </c>
    </row>
    <row r="972" spans="1:7" x14ac:dyDescent="0.3">
      <c r="A972" t="s">
        <v>72</v>
      </c>
      <c r="B972" t="s">
        <v>126</v>
      </c>
      <c r="C972" s="1">
        <v>44379.5</v>
      </c>
      <c r="D972" t="s">
        <v>129</v>
      </c>
      <c r="E972" t="s">
        <v>91</v>
      </c>
      <c r="F972">
        <v>7</v>
      </c>
      <c r="G972">
        <v>6.2E-2</v>
      </c>
    </row>
    <row r="973" spans="1:7" x14ac:dyDescent="0.3">
      <c r="A973" t="s">
        <v>72</v>
      </c>
      <c r="B973" t="s">
        <v>126</v>
      </c>
      <c r="C973" s="1">
        <v>44379.5</v>
      </c>
      <c r="D973" t="s">
        <v>130</v>
      </c>
      <c r="E973" t="s">
        <v>92</v>
      </c>
      <c r="F973">
        <v>8</v>
      </c>
      <c r="G973">
        <v>0.16</v>
      </c>
    </row>
    <row r="974" spans="1:7" x14ac:dyDescent="0.3">
      <c r="A974" t="s">
        <v>72</v>
      </c>
      <c r="B974" t="s">
        <v>126</v>
      </c>
      <c r="C974" s="1">
        <v>44379.5</v>
      </c>
      <c r="D974" t="s">
        <v>131</v>
      </c>
      <c r="E974" t="s">
        <v>93</v>
      </c>
      <c r="F974">
        <v>9</v>
      </c>
      <c r="G974">
        <v>0.54</v>
      </c>
    </row>
    <row r="975" spans="1:7" x14ac:dyDescent="0.3">
      <c r="A975" t="s">
        <v>72</v>
      </c>
      <c r="B975" t="s">
        <v>126</v>
      </c>
      <c r="C975" s="1">
        <v>44379.5</v>
      </c>
      <c r="D975" t="s">
        <v>132</v>
      </c>
      <c r="E975" t="s">
        <v>94</v>
      </c>
      <c r="F975">
        <v>10</v>
      </c>
      <c r="G975">
        <v>0.56999999999999995</v>
      </c>
    </row>
    <row r="976" spans="1:7" x14ac:dyDescent="0.3">
      <c r="A976" t="s">
        <v>72</v>
      </c>
      <c r="B976" t="s">
        <v>126</v>
      </c>
      <c r="C976" s="1">
        <v>44379.5</v>
      </c>
      <c r="D976" t="s">
        <v>133</v>
      </c>
      <c r="E976" t="s">
        <v>95</v>
      </c>
      <c r="F976">
        <v>11</v>
      </c>
      <c r="G976">
        <v>0.35</v>
      </c>
    </row>
    <row r="977" spans="1:7" x14ac:dyDescent="0.3">
      <c r="A977" t="s">
        <v>72</v>
      </c>
      <c r="B977" t="s">
        <v>126</v>
      </c>
      <c r="C977" s="1">
        <v>44379.5</v>
      </c>
      <c r="D977" t="s">
        <v>11</v>
      </c>
      <c r="E977" t="s">
        <v>96</v>
      </c>
      <c r="F977">
        <v>13</v>
      </c>
      <c r="G977">
        <v>4.9500000000000002E-2</v>
      </c>
    </row>
    <row r="978" spans="1:7" x14ac:dyDescent="0.3">
      <c r="A978" t="s">
        <v>72</v>
      </c>
      <c r="B978" t="s">
        <v>126</v>
      </c>
      <c r="C978" s="1">
        <v>44379.5</v>
      </c>
      <c r="D978" t="s">
        <v>13</v>
      </c>
      <c r="E978" t="s">
        <v>97</v>
      </c>
      <c r="F978">
        <v>14</v>
      </c>
      <c r="G978">
        <v>7.8E-2</v>
      </c>
    </row>
    <row r="979" spans="1:7" x14ac:dyDescent="0.3">
      <c r="A979" t="s">
        <v>72</v>
      </c>
      <c r="B979" t="s">
        <v>126</v>
      </c>
      <c r="C979" s="1">
        <v>44379.5</v>
      </c>
      <c r="D979" t="s">
        <v>15</v>
      </c>
      <c r="E979" t="s">
        <v>98</v>
      </c>
      <c r="F979">
        <v>15</v>
      </c>
      <c r="G979">
        <v>0.93</v>
      </c>
    </row>
    <row r="980" spans="1:7" x14ac:dyDescent="0.3">
      <c r="A980" t="s">
        <v>72</v>
      </c>
      <c r="B980" t="s">
        <v>126</v>
      </c>
      <c r="C980" s="1">
        <v>44379.5</v>
      </c>
      <c r="D980" t="s">
        <v>17</v>
      </c>
      <c r="E980" t="s">
        <v>99</v>
      </c>
      <c r="F980">
        <v>16</v>
      </c>
      <c r="G980">
        <v>7.0999999999999994E-2</v>
      </c>
    </row>
    <row r="981" spans="1:7" x14ac:dyDescent="0.3">
      <c r="A981" t="s">
        <v>72</v>
      </c>
      <c r="B981" t="s">
        <v>126</v>
      </c>
      <c r="C981" s="1">
        <v>44379.5</v>
      </c>
      <c r="D981" t="s">
        <v>19</v>
      </c>
      <c r="E981" t="s">
        <v>100</v>
      </c>
      <c r="F981">
        <v>17</v>
      </c>
      <c r="G981">
        <v>11</v>
      </c>
    </row>
    <row r="982" spans="1:7" x14ac:dyDescent="0.3">
      <c r="A982" t="s">
        <v>72</v>
      </c>
      <c r="B982" t="s">
        <v>126</v>
      </c>
      <c r="C982" s="1">
        <v>44379.5</v>
      </c>
      <c r="D982" t="s">
        <v>134</v>
      </c>
      <c r="E982" t="s">
        <v>101</v>
      </c>
      <c r="F982">
        <v>18</v>
      </c>
      <c r="G982">
        <v>5.3999999999999999E-2</v>
      </c>
    </row>
    <row r="983" spans="1:7" x14ac:dyDescent="0.3">
      <c r="A983" t="s">
        <v>72</v>
      </c>
      <c r="B983" t="s">
        <v>126</v>
      </c>
      <c r="C983" s="1">
        <v>44379.5</v>
      </c>
      <c r="D983" t="s">
        <v>135</v>
      </c>
      <c r="E983" t="s">
        <v>102</v>
      </c>
      <c r="F983">
        <v>20</v>
      </c>
      <c r="G983">
        <v>0.31</v>
      </c>
    </row>
    <row r="984" spans="1:7" x14ac:dyDescent="0.3">
      <c r="A984" t="s">
        <v>72</v>
      </c>
      <c r="B984" t="s">
        <v>126</v>
      </c>
      <c r="C984" s="1">
        <v>44379.5</v>
      </c>
      <c r="D984" t="s">
        <v>136</v>
      </c>
      <c r="E984" t="s">
        <v>103</v>
      </c>
      <c r="F984">
        <v>21</v>
      </c>
      <c r="G984">
        <v>0.2</v>
      </c>
    </row>
    <row r="985" spans="1:7" x14ac:dyDescent="0.3">
      <c r="A985" t="s">
        <v>72</v>
      </c>
      <c r="B985" t="s">
        <v>126</v>
      </c>
      <c r="C985" s="1">
        <v>44379.5</v>
      </c>
      <c r="D985" t="s">
        <v>60</v>
      </c>
      <c r="E985" t="s">
        <v>104</v>
      </c>
      <c r="F985">
        <v>22</v>
      </c>
      <c r="G985">
        <v>0.54</v>
      </c>
    </row>
    <row r="986" spans="1:7" x14ac:dyDescent="0.3">
      <c r="A986" t="s">
        <v>72</v>
      </c>
      <c r="B986" t="s">
        <v>126</v>
      </c>
      <c r="C986" s="1">
        <v>44379.5</v>
      </c>
      <c r="D986" t="s">
        <v>137</v>
      </c>
      <c r="E986" t="s">
        <v>105</v>
      </c>
      <c r="F986">
        <v>23</v>
      </c>
      <c r="G986">
        <v>0.36</v>
      </c>
    </row>
    <row r="987" spans="1:7" x14ac:dyDescent="0.3">
      <c r="A987" t="s">
        <v>72</v>
      </c>
      <c r="B987" t="s">
        <v>126</v>
      </c>
      <c r="C987" s="1">
        <v>44379.5</v>
      </c>
      <c r="D987" t="s">
        <v>138</v>
      </c>
      <c r="E987" t="s">
        <v>106</v>
      </c>
      <c r="F987">
        <v>27</v>
      </c>
      <c r="G987">
        <v>0.27</v>
      </c>
    </row>
    <row r="988" spans="1:7" x14ac:dyDescent="0.3">
      <c r="A988" t="s">
        <v>72</v>
      </c>
      <c r="B988" t="s">
        <v>126</v>
      </c>
      <c r="C988" s="1">
        <v>44379.5</v>
      </c>
      <c r="D988" t="s">
        <v>139</v>
      </c>
      <c r="E988" t="s">
        <v>107</v>
      </c>
      <c r="F988">
        <v>29</v>
      </c>
      <c r="G988">
        <v>4.9500000000000002E-2</v>
      </c>
    </row>
    <row r="989" spans="1:7" x14ac:dyDescent="0.3">
      <c r="A989" t="s">
        <v>72</v>
      </c>
      <c r="B989" t="s">
        <v>126</v>
      </c>
      <c r="C989" s="1">
        <v>44379.5</v>
      </c>
      <c r="D989" t="s">
        <v>140</v>
      </c>
      <c r="E989" t="s">
        <v>108</v>
      </c>
      <c r="F989">
        <v>25</v>
      </c>
      <c r="G989">
        <v>4.9500000000000002E-2</v>
      </c>
    </row>
    <row r="990" spans="1:7" x14ac:dyDescent="0.3">
      <c r="A990" t="s">
        <v>72</v>
      </c>
      <c r="B990" t="s">
        <v>126</v>
      </c>
      <c r="C990" s="1">
        <v>44379.5</v>
      </c>
      <c r="D990" t="s">
        <v>141</v>
      </c>
      <c r="E990" t="s">
        <v>109</v>
      </c>
      <c r="F990">
        <v>30</v>
      </c>
      <c r="G990">
        <v>4.9500000000000002E-2</v>
      </c>
    </row>
    <row r="991" spans="1:7" x14ac:dyDescent="0.3">
      <c r="A991" t="s">
        <v>72</v>
      </c>
      <c r="B991" t="s">
        <v>126</v>
      </c>
      <c r="C991" s="1">
        <v>44379.5</v>
      </c>
      <c r="D991" t="s">
        <v>142</v>
      </c>
      <c r="E991" t="s">
        <v>110</v>
      </c>
      <c r="F991">
        <v>26</v>
      </c>
      <c r="G991">
        <v>4.9500000000000002E-2</v>
      </c>
    </row>
    <row r="992" spans="1:7" x14ac:dyDescent="0.3">
      <c r="A992" t="s">
        <v>72</v>
      </c>
      <c r="B992" t="s">
        <v>126</v>
      </c>
      <c r="C992" s="1">
        <v>44379.5</v>
      </c>
      <c r="D992" t="s">
        <v>143</v>
      </c>
      <c r="E992" t="s">
        <v>111</v>
      </c>
      <c r="F992">
        <v>31</v>
      </c>
      <c r="G992">
        <v>0.54</v>
      </c>
    </row>
    <row r="993" spans="1:7" x14ac:dyDescent="0.3">
      <c r="A993" t="s">
        <v>72</v>
      </c>
      <c r="B993" t="s">
        <v>126</v>
      </c>
      <c r="C993" s="1">
        <v>44379.5</v>
      </c>
      <c r="D993" t="s">
        <v>144</v>
      </c>
      <c r="E993" t="s">
        <v>112</v>
      </c>
      <c r="F993">
        <v>32</v>
      </c>
      <c r="G993">
        <v>1.1000000000000001</v>
      </c>
    </row>
    <row r="994" spans="1:7" x14ac:dyDescent="0.3">
      <c r="A994" t="s">
        <v>72</v>
      </c>
      <c r="B994" t="s">
        <v>126</v>
      </c>
      <c r="C994" s="1">
        <v>44379.5</v>
      </c>
      <c r="D994" t="s">
        <v>145</v>
      </c>
      <c r="E994" t="s">
        <v>113</v>
      </c>
      <c r="F994">
        <v>33</v>
      </c>
      <c r="G994">
        <v>0.29499999999999998</v>
      </c>
    </row>
    <row r="995" spans="1:7" x14ac:dyDescent="0.3">
      <c r="A995" t="s">
        <v>72</v>
      </c>
      <c r="B995" t="s">
        <v>126</v>
      </c>
      <c r="C995" s="1">
        <v>44379.5</v>
      </c>
      <c r="D995" t="s">
        <v>146</v>
      </c>
      <c r="E995" t="s">
        <v>114</v>
      </c>
      <c r="F995">
        <v>34</v>
      </c>
      <c r="G995">
        <v>0.2</v>
      </c>
    </row>
    <row r="996" spans="1:7" x14ac:dyDescent="0.3">
      <c r="A996" t="s">
        <v>72</v>
      </c>
      <c r="B996" t="s">
        <v>126</v>
      </c>
      <c r="C996" s="1">
        <v>44379.5</v>
      </c>
      <c r="D996" t="s">
        <v>147</v>
      </c>
      <c r="E996" t="s">
        <v>115</v>
      </c>
      <c r="F996">
        <v>47</v>
      </c>
      <c r="G996">
        <v>0.1</v>
      </c>
    </row>
    <row r="997" spans="1:7" x14ac:dyDescent="0.3">
      <c r="A997" t="s">
        <v>72</v>
      </c>
      <c r="B997" t="s">
        <v>126</v>
      </c>
      <c r="C997" s="1">
        <v>44379.5</v>
      </c>
      <c r="D997" t="s">
        <v>148</v>
      </c>
      <c r="E997" t="s">
        <v>116</v>
      </c>
      <c r="F997">
        <v>49</v>
      </c>
      <c r="G997">
        <v>0.1</v>
      </c>
    </row>
    <row r="998" spans="1:7" x14ac:dyDescent="0.3">
      <c r="A998" t="s">
        <v>72</v>
      </c>
      <c r="B998" t="s">
        <v>126</v>
      </c>
      <c r="C998" s="1">
        <v>44379.5</v>
      </c>
      <c r="D998" t="s">
        <v>149</v>
      </c>
      <c r="E998" t="s">
        <v>117</v>
      </c>
      <c r="F998">
        <v>35</v>
      </c>
      <c r="G998">
        <v>0.2</v>
      </c>
    </row>
    <row r="999" spans="1:7" x14ac:dyDescent="0.3">
      <c r="A999" t="s">
        <v>72</v>
      </c>
      <c r="B999" t="s">
        <v>126</v>
      </c>
      <c r="C999" s="1">
        <v>44379.5</v>
      </c>
      <c r="D999" t="s">
        <v>150</v>
      </c>
      <c r="E999" t="s">
        <v>118</v>
      </c>
      <c r="F999">
        <v>36</v>
      </c>
      <c r="G999">
        <v>0.2</v>
      </c>
    </row>
    <row r="1000" spans="1:7" x14ac:dyDescent="0.3">
      <c r="A1000" t="s">
        <v>72</v>
      </c>
      <c r="B1000" t="s">
        <v>126</v>
      </c>
      <c r="C1000" s="1">
        <v>44379.5</v>
      </c>
      <c r="D1000" t="s">
        <v>151</v>
      </c>
      <c r="E1000" t="s">
        <v>119</v>
      </c>
      <c r="F1000">
        <v>46</v>
      </c>
      <c r="G1000">
        <v>0.1</v>
      </c>
    </row>
    <row r="1001" spans="1:7" x14ac:dyDescent="0.3">
      <c r="A1001" t="s">
        <v>72</v>
      </c>
      <c r="B1001" t="s">
        <v>126</v>
      </c>
      <c r="C1001" s="1">
        <v>44379.5</v>
      </c>
      <c r="D1001" t="s">
        <v>152</v>
      </c>
      <c r="E1001" t="s">
        <v>120</v>
      </c>
      <c r="F1001">
        <v>37</v>
      </c>
      <c r="G1001">
        <v>0.25</v>
      </c>
    </row>
    <row r="1002" spans="1:7" x14ac:dyDescent="0.3">
      <c r="A1002" t="s">
        <v>72</v>
      </c>
      <c r="B1002" t="s">
        <v>126</v>
      </c>
      <c r="C1002" s="1">
        <v>44379.5</v>
      </c>
      <c r="D1002" t="s">
        <v>153</v>
      </c>
      <c r="E1002" t="s">
        <v>121</v>
      </c>
      <c r="F1002">
        <v>38</v>
      </c>
      <c r="G1002">
        <v>1.25</v>
      </c>
    </row>
    <row r="1003" spans="1:7" x14ac:dyDescent="0.3">
      <c r="A1003" t="s">
        <v>72</v>
      </c>
      <c r="B1003" t="s">
        <v>126</v>
      </c>
      <c r="C1003" s="1">
        <v>44379.5</v>
      </c>
      <c r="D1003" t="s">
        <v>154</v>
      </c>
      <c r="E1003" t="s">
        <v>122</v>
      </c>
      <c r="F1003">
        <v>39</v>
      </c>
      <c r="G1003">
        <v>1</v>
      </c>
    </row>
    <row r="1004" spans="1:7" x14ac:dyDescent="0.3">
      <c r="A1004" t="s">
        <v>72</v>
      </c>
      <c r="B1004" t="s">
        <v>126</v>
      </c>
      <c r="C1004" s="1">
        <v>44379.5</v>
      </c>
      <c r="D1004" t="s">
        <v>155</v>
      </c>
      <c r="E1004" t="s">
        <v>123</v>
      </c>
      <c r="F1004">
        <v>19</v>
      </c>
      <c r="G1004">
        <v>0.28000000000000003</v>
      </c>
    </row>
    <row r="1005" spans="1:7" x14ac:dyDescent="0.3">
      <c r="A1005" t="s">
        <v>72</v>
      </c>
      <c r="B1005" t="s">
        <v>126</v>
      </c>
      <c r="C1005" s="1">
        <v>44379.5</v>
      </c>
      <c r="D1005" t="s">
        <v>156</v>
      </c>
      <c r="E1005" t="s">
        <v>124</v>
      </c>
      <c r="F1005">
        <v>48</v>
      </c>
      <c r="G1005">
        <v>0.1</v>
      </c>
    </row>
    <row r="1006" spans="1:7" x14ac:dyDescent="0.3">
      <c r="A1006" t="s">
        <v>73</v>
      </c>
      <c r="B1006" t="s">
        <v>127</v>
      </c>
      <c r="C1006" s="1">
        <v>44379.5</v>
      </c>
      <c r="D1006" t="s">
        <v>9</v>
      </c>
      <c r="E1006" t="s">
        <v>85</v>
      </c>
      <c r="F1006">
        <v>1</v>
      </c>
      <c r="G1006">
        <v>0.2</v>
      </c>
    </row>
    <row r="1007" spans="1:7" x14ac:dyDescent="0.3">
      <c r="A1007" t="s">
        <v>73</v>
      </c>
      <c r="B1007" t="s">
        <v>127</v>
      </c>
      <c r="C1007" s="1">
        <v>44379.5</v>
      </c>
      <c r="D1007" t="s">
        <v>10</v>
      </c>
      <c r="E1007" t="s">
        <v>86</v>
      </c>
      <c r="F1007">
        <v>2</v>
      </c>
      <c r="G1007">
        <v>0.1</v>
      </c>
    </row>
    <row r="1008" spans="1:7" x14ac:dyDescent="0.3">
      <c r="A1008" t="s">
        <v>73</v>
      </c>
      <c r="B1008" t="s">
        <v>127</v>
      </c>
      <c r="C1008" s="1">
        <v>44379.5</v>
      </c>
      <c r="D1008" t="s">
        <v>12</v>
      </c>
      <c r="E1008" t="s">
        <v>87</v>
      </c>
      <c r="F1008">
        <v>3</v>
      </c>
      <c r="G1008">
        <v>9.1999999999999998E-2</v>
      </c>
    </row>
    <row r="1009" spans="1:7" x14ac:dyDescent="0.3">
      <c r="A1009" t="s">
        <v>73</v>
      </c>
      <c r="B1009" t="s">
        <v>127</v>
      </c>
      <c r="C1009" s="1">
        <v>44379.5</v>
      </c>
      <c r="D1009" t="s">
        <v>14</v>
      </c>
      <c r="E1009" t="s">
        <v>88</v>
      </c>
      <c r="F1009">
        <v>4</v>
      </c>
      <c r="G1009">
        <v>0.09</v>
      </c>
    </row>
    <row r="1010" spans="1:7" x14ac:dyDescent="0.3">
      <c r="A1010" t="s">
        <v>73</v>
      </c>
      <c r="B1010" t="s">
        <v>127</v>
      </c>
      <c r="C1010" s="1">
        <v>44379.5</v>
      </c>
      <c r="D1010" t="s">
        <v>16</v>
      </c>
      <c r="E1010" t="s">
        <v>89</v>
      </c>
      <c r="F1010">
        <v>5</v>
      </c>
      <c r="G1010">
        <v>0.21</v>
      </c>
    </row>
    <row r="1011" spans="1:7" x14ac:dyDescent="0.3">
      <c r="A1011" t="s">
        <v>73</v>
      </c>
      <c r="B1011" t="s">
        <v>127</v>
      </c>
      <c r="C1011" s="1">
        <v>44379.5</v>
      </c>
      <c r="D1011" t="s">
        <v>18</v>
      </c>
      <c r="E1011" t="s">
        <v>90</v>
      </c>
      <c r="F1011">
        <v>6</v>
      </c>
      <c r="G1011">
        <v>0.14000000000000001</v>
      </c>
    </row>
    <row r="1012" spans="1:7" x14ac:dyDescent="0.3">
      <c r="A1012" t="s">
        <v>73</v>
      </c>
      <c r="B1012" t="s">
        <v>127</v>
      </c>
      <c r="C1012" s="1">
        <v>44379.5</v>
      </c>
      <c r="D1012" t="s">
        <v>129</v>
      </c>
      <c r="E1012" t="s">
        <v>91</v>
      </c>
      <c r="F1012">
        <v>7</v>
      </c>
      <c r="G1012">
        <v>0.27</v>
      </c>
    </row>
    <row r="1013" spans="1:7" x14ac:dyDescent="0.3">
      <c r="A1013" t="s">
        <v>73</v>
      </c>
      <c r="B1013" t="s">
        <v>127</v>
      </c>
      <c r="C1013" s="1">
        <v>44379.5</v>
      </c>
      <c r="D1013" t="s">
        <v>130</v>
      </c>
      <c r="E1013" t="s">
        <v>92</v>
      </c>
      <c r="F1013">
        <v>8</v>
      </c>
      <c r="G1013">
        <v>0.38</v>
      </c>
    </row>
    <row r="1014" spans="1:7" x14ac:dyDescent="0.3">
      <c r="A1014" t="s">
        <v>73</v>
      </c>
      <c r="B1014" t="s">
        <v>127</v>
      </c>
      <c r="C1014" s="1">
        <v>44379.5</v>
      </c>
      <c r="D1014" t="s">
        <v>131</v>
      </c>
      <c r="E1014" t="s">
        <v>93</v>
      </c>
      <c r="F1014">
        <v>9</v>
      </c>
      <c r="G1014">
        <v>0.1</v>
      </c>
    </row>
    <row r="1015" spans="1:7" x14ac:dyDescent="0.3">
      <c r="A1015" t="s">
        <v>73</v>
      </c>
      <c r="B1015" t="s">
        <v>127</v>
      </c>
      <c r="C1015" s="1">
        <v>44379.5</v>
      </c>
      <c r="D1015" t="s">
        <v>132</v>
      </c>
      <c r="E1015" t="s">
        <v>94</v>
      </c>
      <c r="F1015">
        <v>10</v>
      </c>
      <c r="G1015">
        <v>0.05</v>
      </c>
    </row>
    <row r="1016" spans="1:7" x14ac:dyDescent="0.3">
      <c r="A1016" t="s">
        <v>73</v>
      </c>
      <c r="B1016" t="s">
        <v>127</v>
      </c>
      <c r="C1016" s="1">
        <v>44379.5</v>
      </c>
      <c r="D1016" t="s">
        <v>133</v>
      </c>
      <c r="E1016" t="s">
        <v>95</v>
      </c>
      <c r="F1016">
        <v>11</v>
      </c>
      <c r="G1016">
        <v>0.05</v>
      </c>
    </row>
    <row r="1017" spans="1:7" x14ac:dyDescent="0.3">
      <c r="A1017" t="s">
        <v>73</v>
      </c>
      <c r="B1017" t="s">
        <v>127</v>
      </c>
      <c r="C1017" s="1">
        <v>44379.5</v>
      </c>
      <c r="D1017" t="s">
        <v>11</v>
      </c>
      <c r="E1017" t="s">
        <v>96</v>
      </c>
      <c r="F1017">
        <v>13</v>
      </c>
      <c r="G1017">
        <v>0.05</v>
      </c>
    </row>
    <row r="1018" spans="1:7" x14ac:dyDescent="0.3">
      <c r="A1018" t="s">
        <v>73</v>
      </c>
      <c r="B1018" t="s">
        <v>127</v>
      </c>
      <c r="C1018" s="1">
        <v>44379.5</v>
      </c>
      <c r="D1018" t="s">
        <v>13</v>
      </c>
      <c r="E1018" t="s">
        <v>97</v>
      </c>
      <c r="F1018">
        <v>14</v>
      </c>
      <c r="G1018">
        <v>0.05</v>
      </c>
    </row>
    <row r="1019" spans="1:7" x14ac:dyDescent="0.3">
      <c r="A1019" t="s">
        <v>73</v>
      </c>
      <c r="B1019" t="s">
        <v>127</v>
      </c>
      <c r="C1019" s="1">
        <v>44379.5</v>
      </c>
      <c r="D1019" t="s">
        <v>15</v>
      </c>
      <c r="E1019" t="s">
        <v>98</v>
      </c>
      <c r="F1019">
        <v>15</v>
      </c>
      <c r="G1019">
        <v>0.67</v>
      </c>
    </row>
    <row r="1020" spans="1:7" x14ac:dyDescent="0.3">
      <c r="A1020" t="s">
        <v>73</v>
      </c>
      <c r="B1020" t="s">
        <v>127</v>
      </c>
      <c r="C1020" s="1">
        <v>44379.5</v>
      </c>
      <c r="D1020" t="s">
        <v>17</v>
      </c>
      <c r="E1020" t="s">
        <v>99</v>
      </c>
      <c r="F1020">
        <v>16</v>
      </c>
      <c r="G1020">
        <v>5.1999999999999998E-2</v>
      </c>
    </row>
    <row r="1021" spans="1:7" x14ac:dyDescent="0.3">
      <c r="A1021" t="s">
        <v>73</v>
      </c>
      <c r="B1021" t="s">
        <v>127</v>
      </c>
      <c r="C1021" s="1">
        <v>44379.5</v>
      </c>
      <c r="D1021" t="s">
        <v>19</v>
      </c>
      <c r="E1021" t="s">
        <v>100</v>
      </c>
      <c r="F1021">
        <v>17</v>
      </c>
      <c r="G1021">
        <v>9.8000000000000007</v>
      </c>
    </row>
    <row r="1022" spans="1:7" x14ac:dyDescent="0.3">
      <c r="A1022" t="s">
        <v>73</v>
      </c>
      <c r="B1022" t="s">
        <v>127</v>
      </c>
      <c r="C1022" s="1">
        <v>44379.5</v>
      </c>
      <c r="D1022" t="s">
        <v>134</v>
      </c>
      <c r="E1022" t="s">
        <v>101</v>
      </c>
      <c r="F1022">
        <v>18</v>
      </c>
      <c r="G1022">
        <v>0.28000000000000003</v>
      </c>
    </row>
    <row r="1023" spans="1:7" x14ac:dyDescent="0.3">
      <c r="A1023" t="s">
        <v>73</v>
      </c>
      <c r="B1023" t="s">
        <v>127</v>
      </c>
      <c r="C1023" s="1">
        <v>44379.5</v>
      </c>
      <c r="D1023" t="s">
        <v>135</v>
      </c>
      <c r="E1023" t="s">
        <v>102</v>
      </c>
      <c r="F1023">
        <v>20</v>
      </c>
      <c r="G1023">
        <v>0.05</v>
      </c>
    </row>
    <row r="1024" spans="1:7" x14ac:dyDescent="0.3">
      <c r="A1024" t="s">
        <v>73</v>
      </c>
      <c r="B1024" t="s">
        <v>127</v>
      </c>
      <c r="C1024" s="1">
        <v>44379.5</v>
      </c>
      <c r="D1024" t="s">
        <v>136</v>
      </c>
      <c r="E1024" t="s">
        <v>103</v>
      </c>
      <c r="F1024">
        <v>21</v>
      </c>
      <c r="G1024">
        <v>0.2</v>
      </c>
    </row>
    <row r="1025" spans="1:7" x14ac:dyDescent="0.3">
      <c r="A1025" t="s">
        <v>73</v>
      </c>
      <c r="B1025" t="s">
        <v>127</v>
      </c>
      <c r="C1025" s="1">
        <v>44379.5</v>
      </c>
      <c r="D1025" t="s">
        <v>60</v>
      </c>
      <c r="E1025" t="s">
        <v>104</v>
      </c>
      <c r="F1025">
        <v>22</v>
      </c>
      <c r="G1025">
        <v>0.4</v>
      </c>
    </row>
    <row r="1026" spans="1:7" x14ac:dyDescent="0.3">
      <c r="A1026" t="s">
        <v>73</v>
      </c>
      <c r="B1026" t="s">
        <v>127</v>
      </c>
      <c r="C1026" s="1">
        <v>44379.5</v>
      </c>
      <c r="D1026" t="s">
        <v>137</v>
      </c>
      <c r="E1026" t="s">
        <v>105</v>
      </c>
      <c r="F1026">
        <v>23</v>
      </c>
      <c r="G1026">
        <v>0.82</v>
      </c>
    </row>
    <row r="1027" spans="1:7" x14ac:dyDescent="0.3">
      <c r="A1027" t="s">
        <v>73</v>
      </c>
      <c r="B1027" t="s">
        <v>127</v>
      </c>
      <c r="C1027" s="1">
        <v>44379.5</v>
      </c>
      <c r="D1027" t="s">
        <v>138</v>
      </c>
      <c r="E1027" t="s">
        <v>106</v>
      </c>
      <c r="F1027">
        <v>27</v>
      </c>
      <c r="G1027">
        <v>1.7</v>
      </c>
    </row>
    <row r="1028" spans="1:7" x14ac:dyDescent="0.3">
      <c r="A1028" t="s">
        <v>73</v>
      </c>
      <c r="B1028" t="s">
        <v>127</v>
      </c>
      <c r="C1028" s="1">
        <v>44379.5</v>
      </c>
      <c r="D1028" t="s">
        <v>139</v>
      </c>
      <c r="E1028" t="s">
        <v>107</v>
      </c>
      <c r="F1028">
        <v>29</v>
      </c>
      <c r="G1028">
        <v>0.05</v>
      </c>
    </row>
    <row r="1029" spans="1:7" x14ac:dyDescent="0.3">
      <c r="A1029" t="s">
        <v>73</v>
      </c>
      <c r="B1029" t="s">
        <v>127</v>
      </c>
      <c r="C1029" s="1">
        <v>44379.5</v>
      </c>
      <c r="D1029" t="s">
        <v>140</v>
      </c>
      <c r="E1029" t="s">
        <v>108</v>
      </c>
      <c r="F1029">
        <v>25</v>
      </c>
      <c r="G1029">
        <v>0.05</v>
      </c>
    </row>
    <row r="1030" spans="1:7" x14ac:dyDescent="0.3">
      <c r="A1030" t="s">
        <v>73</v>
      </c>
      <c r="B1030" t="s">
        <v>127</v>
      </c>
      <c r="C1030" s="1">
        <v>44379.5</v>
      </c>
      <c r="D1030" t="s">
        <v>141</v>
      </c>
      <c r="E1030" t="s">
        <v>109</v>
      </c>
      <c r="F1030">
        <v>30</v>
      </c>
      <c r="G1030">
        <v>0.05</v>
      </c>
    </row>
    <row r="1031" spans="1:7" x14ac:dyDescent="0.3">
      <c r="A1031" t="s">
        <v>73</v>
      </c>
      <c r="B1031" t="s">
        <v>127</v>
      </c>
      <c r="C1031" s="1">
        <v>44379.5</v>
      </c>
      <c r="D1031" t="s">
        <v>142</v>
      </c>
      <c r="E1031" t="s">
        <v>110</v>
      </c>
      <c r="F1031">
        <v>26</v>
      </c>
      <c r="G1031">
        <v>0.05</v>
      </c>
    </row>
    <row r="1032" spans="1:7" x14ac:dyDescent="0.3">
      <c r="A1032" t="s">
        <v>73</v>
      </c>
      <c r="B1032" t="s">
        <v>127</v>
      </c>
      <c r="C1032" s="1">
        <v>44379.5</v>
      </c>
      <c r="D1032" t="s">
        <v>143</v>
      </c>
      <c r="E1032" t="s">
        <v>111</v>
      </c>
      <c r="F1032">
        <v>31</v>
      </c>
      <c r="G1032">
        <v>0.5</v>
      </c>
    </row>
    <row r="1033" spans="1:7" x14ac:dyDescent="0.3">
      <c r="A1033" t="s">
        <v>73</v>
      </c>
      <c r="B1033" t="s">
        <v>127</v>
      </c>
      <c r="C1033" s="1">
        <v>44379.5</v>
      </c>
      <c r="D1033" t="s">
        <v>144</v>
      </c>
      <c r="E1033" t="s">
        <v>112</v>
      </c>
      <c r="F1033">
        <v>32</v>
      </c>
      <c r="G1033">
        <v>0.5</v>
      </c>
    </row>
    <row r="1034" spans="1:7" x14ac:dyDescent="0.3">
      <c r="A1034" t="s">
        <v>73</v>
      </c>
      <c r="B1034" t="s">
        <v>127</v>
      </c>
      <c r="C1034" s="1">
        <v>44379.5</v>
      </c>
      <c r="D1034" t="s">
        <v>145</v>
      </c>
      <c r="E1034" t="s">
        <v>113</v>
      </c>
      <c r="F1034">
        <v>33</v>
      </c>
      <c r="G1034">
        <v>0.3</v>
      </c>
    </row>
    <row r="1035" spans="1:7" x14ac:dyDescent="0.3">
      <c r="A1035" t="s">
        <v>73</v>
      </c>
      <c r="B1035" t="s">
        <v>127</v>
      </c>
      <c r="C1035" s="1">
        <v>44379.5</v>
      </c>
      <c r="D1035" t="s">
        <v>146</v>
      </c>
      <c r="E1035" t="s">
        <v>114</v>
      </c>
      <c r="F1035">
        <v>34</v>
      </c>
      <c r="G1035">
        <v>0.2</v>
      </c>
    </row>
    <row r="1036" spans="1:7" x14ac:dyDescent="0.3">
      <c r="A1036" t="s">
        <v>73</v>
      </c>
      <c r="B1036" t="s">
        <v>127</v>
      </c>
      <c r="C1036" s="1">
        <v>44379.5</v>
      </c>
      <c r="D1036" t="s">
        <v>147</v>
      </c>
      <c r="E1036" t="s">
        <v>115</v>
      </c>
      <c r="F1036">
        <v>47</v>
      </c>
      <c r="G1036">
        <v>0.1</v>
      </c>
    </row>
    <row r="1037" spans="1:7" x14ac:dyDescent="0.3">
      <c r="A1037" t="s">
        <v>73</v>
      </c>
      <c r="B1037" t="s">
        <v>127</v>
      </c>
      <c r="C1037" s="1">
        <v>44379.5</v>
      </c>
      <c r="D1037" t="s">
        <v>148</v>
      </c>
      <c r="E1037" t="s">
        <v>116</v>
      </c>
      <c r="F1037">
        <v>49</v>
      </c>
      <c r="G1037">
        <v>0.1</v>
      </c>
    </row>
    <row r="1038" spans="1:7" x14ac:dyDescent="0.3">
      <c r="A1038" t="s">
        <v>73</v>
      </c>
      <c r="B1038" t="s">
        <v>127</v>
      </c>
      <c r="C1038" s="1">
        <v>44379.5</v>
      </c>
      <c r="D1038" t="s">
        <v>149</v>
      </c>
      <c r="E1038" t="s">
        <v>117</v>
      </c>
      <c r="F1038">
        <v>35</v>
      </c>
      <c r="G1038">
        <v>0.2</v>
      </c>
    </row>
    <row r="1039" spans="1:7" x14ac:dyDescent="0.3">
      <c r="A1039" t="s">
        <v>73</v>
      </c>
      <c r="B1039" t="s">
        <v>127</v>
      </c>
      <c r="C1039" s="1">
        <v>44379.5</v>
      </c>
      <c r="D1039" t="s">
        <v>150</v>
      </c>
      <c r="E1039" t="s">
        <v>118</v>
      </c>
      <c r="F1039">
        <v>36</v>
      </c>
      <c r="G1039">
        <v>0.2</v>
      </c>
    </row>
    <row r="1040" spans="1:7" x14ac:dyDescent="0.3">
      <c r="A1040" t="s">
        <v>73</v>
      </c>
      <c r="B1040" t="s">
        <v>127</v>
      </c>
      <c r="C1040" s="1">
        <v>44379.5</v>
      </c>
      <c r="D1040" t="s">
        <v>151</v>
      </c>
      <c r="E1040" t="s">
        <v>119</v>
      </c>
      <c r="F1040">
        <v>46</v>
      </c>
      <c r="G1040">
        <v>0.1</v>
      </c>
    </row>
    <row r="1041" spans="1:7" x14ac:dyDescent="0.3">
      <c r="A1041" t="s">
        <v>73</v>
      </c>
      <c r="B1041" t="s">
        <v>127</v>
      </c>
      <c r="C1041" s="1">
        <v>44379.5</v>
      </c>
      <c r="D1041" t="s">
        <v>152</v>
      </c>
      <c r="E1041" t="s">
        <v>120</v>
      </c>
      <c r="F1041">
        <v>37</v>
      </c>
      <c r="G1041">
        <v>0.25</v>
      </c>
    </row>
    <row r="1042" spans="1:7" x14ac:dyDescent="0.3">
      <c r="A1042" t="s">
        <v>73</v>
      </c>
      <c r="B1042" t="s">
        <v>127</v>
      </c>
      <c r="C1042" s="1">
        <v>44379.5</v>
      </c>
      <c r="D1042" t="s">
        <v>153</v>
      </c>
      <c r="E1042" t="s">
        <v>121</v>
      </c>
      <c r="F1042">
        <v>38</v>
      </c>
      <c r="G1042">
        <v>1.25</v>
      </c>
    </row>
    <row r="1043" spans="1:7" x14ac:dyDescent="0.3">
      <c r="A1043" t="s">
        <v>73</v>
      </c>
      <c r="B1043" t="s">
        <v>127</v>
      </c>
      <c r="C1043" s="1">
        <v>44379.5</v>
      </c>
      <c r="D1043" t="s">
        <v>154</v>
      </c>
      <c r="E1043" t="s">
        <v>122</v>
      </c>
      <c r="F1043">
        <v>39</v>
      </c>
      <c r="G1043">
        <v>1.25</v>
      </c>
    </row>
    <row r="1044" spans="1:7" x14ac:dyDescent="0.3">
      <c r="A1044" t="s">
        <v>73</v>
      </c>
      <c r="B1044" t="s">
        <v>127</v>
      </c>
      <c r="C1044" s="1">
        <v>44379.5</v>
      </c>
      <c r="D1044" t="s">
        <v>155</v>
      </c>
      <c r="E1044" t="s">
        <v>123</v>
      </c>
      <c r="F1044">
        <v>19</v>
      </c>
      <c r="G1044">
        <v>0.47</v>
      </c>
    </row>
    <row r="1045" spans="1:7" x14ac:dyDescent="0.3">
      <c r="A1045" t="s">
        <v>73</v>
      </c>
      <c r="B1045" t="s">
        <v>127</v>
      </c>
      <c r="C1045" s="1">
        <v>44379.5</v>
      </c>
      <c r="D1045" t="s">
        <v>156</v>
      </c>
      <c r="E1045" t="s">
        <v>124</v>
      </c>
      <c r="F1045">
        <v>48</v>
      </c>
      <c r="G1045">
        <v>0.1</v>
      </c>
    </row>
    <row r="1046" spans="1:7" x14ac:dyDescent="0.3">
      <c r="A1046" t="s">
        <v>74</v>
      </c>
      <c r="B1046" t="s">
        <v>125</v>
      </c>
      <c r="C1046" s="1">
        <v>44379.5</v>
      </c>
      <c r="D1046" t="s">
        <v>9</v>
      </c>
      <c r="E1046" t="s">
        <v>85</v>
      </c>
      <c r="F1046">
        <v>1</v>
      </c>
      <c r="G1046">
        <v>0.26500000000000001</v>
      </c>
    </row>
    <row r="1047" spans="1:7" x14ac:dyDescent="0.3">
      <c r="A1047" t="s">
        <v>74</v>
      </c>
      <c r="B1047" t="s">
        <v>125</v>
      </c>
      <c r="C1047" s="1">
        <v>44379.5</v>
      </c>
      <c r="D1047" t="s">
        <v>10</v>
      </c>
      <c r="E1047" t="s">
        <v>86</v>
      </c>
      <c r="F1047">
        <v>2</v>
      </c>
      <c r="G1047">
        <v>0.13500000000000001</v>
      </c>
    </row>
    <row r="1048" spans="1:7" x14ac:dyDescent="0.3">
      <c r="A1048" t="s">
        <v>74</v>
      </c>
      <c r="B1048" t="s">
        <v>125</v>
      </c>
      <c r="C1048" s="1">
        <v>44379.5</v>
      </c>
      <c r="D1048" t="s">
        <v>12</v>
      </c>
      <c r="E1048" t="s">
        <v>87</v>
      </c>
      <c r="F1048">
        <v>3</v>
      </c>
      <c r="G1048">
        <v>0.24</v>
      </c>
    </row>
    <row r="1049" spans="1:7" x14ac:dyDescent="0.3">
      <c r="A1049" t="s">
        <v>74</v>
      </c>
      <c r="B1049" t="s">
        <v>125</v>
      </c>
      <c r="C1049" s="1">
        <v>44379.5</v>
      </c>
      <c r="D1049" t="s">
        <v>14</v>
      </c>
      <c r="E1049" t="s">
        <v>88</v>
      </c>
      <c r="F1049">
        <v>4</v>
      </c>
      <c r="G1049">
        <v>0.12</v>
      </c>
    </row>
    <row r="1050" spans="1:7" x14ac:dyDescent="0.3">
      <c r="A1050" t="s">
        <v>74</v>
      </c>
      <c r="B1050" t="s">
        <v>125</v>
      </c>
      <c r="C1050" s="1">
        <v>44379.5</v>
      </c>
      <c r="D1050" t="s">
        <v>16</v>
      </c>
      <c r="E1050" t="s">
        <v>89</v>
      </c>
      <c r="F1050">
        <v>5</v>
      </c>
      <c r="G1050">
        <v>0.61</v>
      </c>
    </row>
    <row r="1051" spans="1:7" x14ac:dyDescent="0.3">
      <c r="A1051" t="s">
        <v>74</v>
      </c>
      <c r="B1051" t="s">
        <v>125</v>
      </c>
      <c r="C1051" s="1">
        <v>44379.5</v>
      </c>
      <c r="D1051" t="s">
        <v>18</v>
      </c>
      <c r="E1051" t="s">
        <v>90</v>
      </c>
      <c r="F1051">
        <v>6</v>
      </c>
      <c r="G1051">
        <v>0.28000000000000003</v>
      </c>
    </row>
    <row r="1052" spans="1:7" x14ac:dyDescent="0.3">
      <c r="A1052" t="s">
        <v>74</v>
      </c>
      <c r="B1052" t="s">
        <v>125</v>
      </c>
      <c r="C1052" s="1">
        <v>44379.5</v>
      </c>
      <c r="D1052" t="s">
        <v>129</v>
      </c>
      <c r="E1052" t="s">
        <v>91</v>
      </c>
      <c r="F1052">
        <v>7</v>
      </c>
      <c r="G1052">
        <v>0.36</v>
      </c>
    </row>
    <row r="1053" spans="1:7" x14ac:dyDescent="0.3">
      <c r="A1053" t="s">
        <v>74</v>
      </c>
      <c r="B1053" t="s">
        <v>125</v>
      </c>
      <c r="C1053" s="1">
        <v>44379.5</v>
      </c>
      <c r="D1053" t="s">
        <v>130</v>
      </c>
      <c r="E1053" t="s">
        <v>92</v>
      </c>
      <c r="F1053">
        <v>8</v>
      </c>
      <c r="G1053">
        <v>0.83</v>
      </c>
    </row>
    <row r="1054" spans="1:7" x14ac:dyDescent="0.3">
      <c r="A1054" t="s">
        <v>74</v>
      </c>
      <c r="B1054" t="s">
        <v>125</v>
      </c>
      <c r="C1054" s="1">
        <v>44379.5</v>
      </c>
      <c r="D1054" t="s">
        <v>131</v>
      </c>
      <c r="E1054" t="s">
        <v>93</v>
      </c>
      <c r="F1054">
        <v>9</v>
      </c>
      <c r="G1054">
        <v>1.1000000000000001</v>
      </c>
    </row>
    <row r="1055" spans="1:7" x14ac:dyDescent="0.3">
      <c r="A1055" t="s">
        <v>74</v>
      </c>
      <c r="B1055" t="s">
        <v>125</v>
      </c>
      <c r="C1055" s="1">
        <v>44379.5</v>
      </c>
      <c r="D1055" t="s">
        <v>132</v>
      </c>
      <c r="E1055" t="s">
        <v>94</v>
      </c>
      <c r="F1055">
        <v>10</v>
      </c>
      <c r="G1055">
        <v>0.95</v>
      </c>
    </row>
    <row r="1056" spans="1:7" x14ac:dyDescent="0.3">
      <c r="A1056" t="s">
        <v>74</v>
      </c>
      <c r="B1056" t="s">
        <v>125</v>
      </c>
      <c r="C1056" s="1">
        <v>44379.5</v>
      </c>
      <c r="D1056" t="s">
        <v>133</v>
      </c>
      <c r="E1056" t="s">
        <v>95</v>
      </c>
      <c r="F1056">
        <v>11</v>
      </c>
      <c r="G1056">
        <v>0.68</v>
      </c>
    </row>
    <row r="1057" spans="1:7" x14ac:dyDescent="0.3">
      <c r="A1057" t="s">
        <v>74</v>
      </c>
      <c r="B1057" t="s">
        <v>125</v>
      </c>
      <c r="C1057" s="1">
        <v>44379.5</v>
      </c>
      <c r="D1057" t="s">
        <v>11</v>
      </c>
      <c r="E1057" t="s">
        <v>96</v>
      </c>
      <c r="F1057">
        <v>13</v>
      </c>
      <c r="G1057">
        <v>7.0000000000000007E-2</v>
      </c>
    </row>
    <row r="1058" spans="1:7" x14ac:dyDescent="0.3">
      <c r="A1058" t="s">
        <v>74</v>
      </c>
      <c r="B1058" t="s">
        <v>125</v>
      </c>
      <c r="C1058" s="1">
        <v>44379.5</v>
      </c>
      <c r="D1058" t="s">
        <v>13</v>
      </c>
      <c r="E1058" t="s">
        <v>97</v>
      </c>
      <c r="F1058">
        <v>14</v>
      </c>
      <c r="G1058">
        <v>0.16</v>
      </c>
    </row>
    <row r="1059" spans="1:7" x14ac:dyDescent="0.3">
      <c r="A1059" t="s">
        <v>74</v>
      </c>
      <c r="B1059" t="s">
        <v>125</v>
      </c>
      <c r="C1059" s="1">
        <v>44379.5</v>
      </c>
      <c r="D1059" t="s">
        <v>15</v>
      </c>
      <c r="E1059" t="s">
        <v>98</v>
      </c>
      <c r="F1059">
        <v>15</v>
      </c>
      <c r="G1059">
        <v>1.5</v>
      </c>
    </row>
    <row r="1060" spans="1:7" x14ac:dyDescent="0.3">
      <c r="A1060" t="s">
        <v>74</v>
      </c>
      <c r="B1060" t="s">
        <v>125</v>
      </c>
      <c r="C1060" s="1">
        <v>44379.5</v>
      </c>
      <c r="D1060" t="s">
        <v>17</v>
      </c>
      <c r="E1060" t="s">
        <v>99</v>
      </c>
      <c r="F1060">
        <v>16</v>
      </c>
      <c r="G1060">
        <v>0.19</v>
      </c>
    </row>
    <row r="1061" spans="1:7" x14ac:dyDescent="0.3">
      <c r="A1061" t="s">
        <v>74</v>
      </c>
      <c r="B1061" t="s">
        <v>125</v>
      </c>
      <c r="C1061" s="1">
        <v>44379.5</v>
      </c>
      <c r="D1061" t="s">
        <v>19</v>
      </c>
      <c r="E1061" t="s">
        <v>100</v>
      </c>
      <c r="F1061">
        <v>17</v>
      </c>
      <c r="G1061">
        <v>40</v>
      </c>
    </row>
    <row r="1062" spans="1:7" x14ac:dyDescent="0.3">
      <c r="A1062" t="s">
        <v>74</v>
      </c>
      <c r="B1062" t="s">
        <v>125</v>
      </c>
      <c r="C1062" s="1">
        <v>44379.5</v>
      </c>
      <c r="D1062" t="s">
        <v>134</v>
      </c>
      <c r="E1062" t="s">
        <v>101</v>
      </c>
      <c r="F1062">
        <v>18</v>
      </c>
      <c r="G1062">
        <v>0.26</v>
      </c>
    </row>
    <row r="1063" spans="1:7" x14ac:dyDescent="0.3">
      <c r="A1063" t="s">
        <v>74</v>
      </c>
      <c r="B1063" t="s">
        <v>125</v>
      </c>
      <c r="C1063" s="1">
        <v>44379.5</v>
      </c>
      <c r="D1063" t="s">
        <v>135</v>
      </c>
      <c r="E1063" t="s">
        <v>102</v>
      </c>
      <c r="F1063">
        <v>20</v>
      </c>
      <c r="G1063">
        <v>0.43</v>
      </c>
    </row>
    <row r="1064" spans="1:7" x14ac:dyDescent="0.3">
      <c r="A1064" t="s">
        <v>74</v>
      </c>
      <c r="B1064" t="s">
        <v>125</v>
      </c>
      <c r="C1064" s="1">
        <v>44379.5</v>
      </c>
      <c r="D1064" t="s">
        <v>136</v>
      </c>
      <c r="E1064" t="s">
        <v>103</v>
      </c>
      <c r="F1064">
        <v>21</v>
      </c>
      <c r="G1064">
        <v>0.26500000000000001</v>
      </c>
    </row>
    <row r="1065" spans="1:7" x14ac:dyDescent="0.3">
      <c r="A1065" t="s">
        <v>74</v>
      </c>
      <c r="B1065" t="s">
        <v>125</v>
      </c>
      <c r="C1065" s="1">
        <v>44379.5</v>
      </c>
      <c r="D1065" t="s">
        <v>60</v>
      </c>
      <c r="E1065" t="s">
        <v>104</v>
      </c>
      <c r="F1065">
        <v>22</v>
      </c>
      <c r="G1065">
        <v>0.55000000000000004</v>
      </c>
    </row>
    <row r="1066" spans="1:7" x14ac:dyDescent="0.3">
      <c r="A1066" t="s">
        <v>74</v>
      </c>
      <c r="B1066" t="s">
        <v>125</v>
      </c>
      <c r="C1066" s="1">
        <v>44379.5</v>
      </c>
      <c r="D1066" t="s">
        <v>137</v>
      </c>
      <c r="E1066" t="s">
        <v>105</v>
      </c>
      <c r="F1066">
        <v>23</v>
      </c>
      <c r="G1066">
        <v>0.89</v>
      </c>
    </row>
    <row r="1067" spans="1:7" x14ac:dyDescent="0.3">
      <c r="A1067" t="s">
        <v>74</v>
      </c>
      <c r="B1067" t="s">
        <v>125</v>
      </c>
      <c r="C1067" s="1">
        <v>44379.5</v>
      </c>
      <c r="D1067" t="s">
        <v>138</v>
      </c>
      <c r="E1067" t="s">
        <v>106</v>
      </c>
      <c r="F1067">
        <v>27</v>
      </c>
      <c r="G1067">
        <v>0.62</v>
      </c>
    </row>
    <row r="1068" spans="1:7" x14ac:dyDescent="0.3">
      <c r="A1068" t="s">
        <v>74</v>
      </c>
      <c r="B1068" t="s">
        <v>125</v>
      </c>
      <c r="C1068" s="1">
        <v>44379.5</v>
      </c>
      <c r="D1068" t="s">
        <v>139</v>
      </c>
      <c r="E1068" t="s">
        <v>107</v>
      </c>
      <c r="F1068">
        <v>29</v>
      </c>
      <c r="G1068">
        <v>6.5000000000000002E-2</v>
      </c>
    </row>
    <row r="1069" spans="1:7" x14ac:dyDescent="0.3">
      <c r="A1069" t="s">
        <v>74</v>
      </c>
      <c r="B1069" t="s">
        <v>125</v>
      </c>
      <c r="C1069" s="1">
        <v>44379.5</v>
      </c>
      <c r="D1069" t="s">
        <v>140</v>
      </c>
      <c r="E1069" t="s">
        <v>108</v>
      </c>
      <c r="F1069">
        <v>25</v>
      </c>
      <c r="G1069">
        <v>6.5000000000000002E-2</v>
      </c>
    </row>
    <row r="1070" spans="1:7" x14ac:dyDescent="0.3">
      <c r="A1070" t="s">
        <v>74</v>
      </c>
      <c r="B1070" t="s">
        <v>125</v>
      </c>
      <c r="C1070" s="1">
        <v>44379.5</v>
      </c>
      <c r="D1070" t="s">
        <v>141</v>
      </c>
      <c r="E1070" t="s">
        <v>109</v>
      </c>
      <c r="F1070">
        <v>30</v>
      </c>
      <c r="G1070">
        <v>6.5000000000000002E-2</v>
      </c>
    </row>
    <row r="1071" spans="1:7" x14ac:dyDescent="0.3">
      <c r="A1071" t="s">
        <v>74</v>
      </c>
      <c r="B1071" t="s">
        <v>125</v>
      </c>
      <c r="C1071" s="1">
        <v>44379.5</v>
      </c>
      <c r="D1071" t="s">
        <v>142</v>
      </c>
      <c r="E1071" t="s">
        <v>110</v>
      </c>
      <c r="F1071">
        <v>26</v>
      </c>
      <c r="G1071">
        <v>6.5000000000000002E-2</v>
      </c>
    </row>
    <row r="1072" spans="1:7" x14ac:dyDescent="0.3">
      <c r="A1072" t="s">
        <v>74</v>
      </c>
      <c r="B1072" t="s">
        <v>125</v>
      </c>
      <c r="C1072" s="1">
        <v>44379.5</v>
      </c>
      <c r="D1072" t="s">
        <v>143</v>
      </c>
      <c r="E1072" t="s">
        <v>111</v>
      </c>
      <c r="F1072">
        <v>31</v>
      </c>
      <c r="G1072">
        <v>0.97</v>
      </c>
    </row>
    <row r="1073" spans="1:7" x14ac:dyDescent="0.3">
      <c r="A1073" t="s">
        <v>74</v>
      </c>
      <c r="B1073" t="s">
        <v>125</v>
      </c>
      <c r="C1073" s="1">
        <v>44379.5</v>
      </c>
      <c r="D1073" t="s">
        <v>144</v>
      </c>
      <c r="E1073" t="s">
        <v>112</v>
      </c>
      <c r="F1073">
        <v>32</v>
      </c>
      <c r="G1073">
        <v>0.65</v>
      </c>
    </row>
    <row r="1074" spans="1:7" x14ac:dyDescent="0.3">
      <c r="A1074" t="s">
        <v>74</v>
      </c>
      <c r="B1074" t="s">
        <v>125</v>
      </c>
      <c r="C1074" s="1">
        <v>44379.5</v>
      </c>
      <c r="D1074" t="s">
        <v>145</v>
      </c>
      <c r="E1074" t="s">
        <v>113</v>
      </c>
      <c r="F1074">
        <v>33</v>
      </c>
      <c r="G1074">
        <v>0.4</v>
      </c>
    </row>
    <row r="1075" spans="1:7" x14ac:dyDescent="0.3">
      <c r="A1075" t="s">
        <v>74</v>
      </c>
      <c r="B1075" t="s">
        <v>125</v>
      </c>
      <c r="C1075" s="1">
        <v>44379.5</v>
      </c>
      <c r="D1075" t="s">
        <v>146</v>
      </c>
      <c r="E1075" t="s">
        <v>114</v>
      </c>
      <c r="F1075">
        <v>34</v>
      </c>
      <c r="G1075">
        <v>0.26500000000000001</v>
      </c>
    </row>
    <row r="1076" spans="1:7" x14ac:dyDescent="0.3">
      <c r="A1076" t="s">
        <v>74</v>
      </c>
      <c r="B1076" t="s">
        <v>125</v>
      </c>
      <c r="C1076" s="1">
        <v>44379.5</v>
      </c>
      <c r="D1076" t="s">
        <v>147</v>
      </c>
      <c r="E1076" t="s">
        <v>115</v>
      </c>
      <c r="F1076">
        <v>47</v>
      </c>
      <c r="G1076">
        <v>0.13500000000000001</v>
      </c>
    </row>
    <row r="1077" spans="1:7" x14ac:dyDescent="0.3">
      <c r="A1077" t="s">
        <v>74</v>
      </c>
      <c r="B1077" t="s">
        <v>125</v>
      </c>
      <c r="C1077" s="1">
        <v>44379.5</v>
      </c>
      <c r="D1077" t="s">
        <v>148</v>
      </c>
      <c r="E1077" t="s">
        <v>116</v>
      </c>
      <c r="F1077">
        <v>49</v>
      </c>
      <c r="G1077">
        <v>0.13500000000000001</v>
      </c>
    </row>
    <row r="1078" spans="1:7" x14ac:dyDescent="0.3">
      <c r="A1078" t="s">
        <v>74</v>
      </c>
      <c r="B1078" t="s">
        <v>125</v>
      </c>
      <c r="C1078" s="1">
        <v>44379.5</v>
      </c>
      <c r="D1078" t="s">
        <v>149</v>
      </c>
      <c r="E1078" t="s">
        <v>117</v>
      </c>
      <c r="F1078">
        <v>35</v>
      </c>
      <c r="G1078">
        <v>0.26500000000000001</v>
      </c>
    </row>
    <row r="1079" spans="1:7" x14ac:dyDescent="0.3">
      <c r="A1079" t="s">
        <v>74</v>
      </c>
      <c r="B1079" t="s">
        <v>125</v>
      </c>
      <c r="C1079" s="1">
        <v>44379.5</v>
      </c>
      <c r="D1079" t="s">
        <v>150</v>
      </c>
      <c r="E1079" t="s">
        <v>118</v>
      </c>
      <c r="F1079">
        <v>36</v>
      </c>
      <c r="G1079">
        <v>0.26500000000000001</v>
      </c>
    </row>
    <row r="1080" spans="1:7" x14ac:dyDescent="0.3">
      <c r="A1080" t="s">
        <v>74</v>
      </c>
      <c r="B1080" t="s">
        <v>125</v>
      </c>
      <c r="C1080" s="1">
        <v>44379.5</v>
      </c>
      <c r="D1080" t="s">
        <v>151</v>
      </c>
      <c r="E1080" t="s">
        <v>119</v>
      </c>
      <c r="F1080">
        <v>46</v>
      </c>
      <c r="G1080">
        <v>0.13500000000000001</v>
      </c>
    </row>
    <row r="1081" spans="1:7" x14ac:dyDescent="0.3">
      <c r="A1081" t="s">
        <v>74</v>
      </c>
      <c r="B1081" t="s">
        <v>125</v>
      </c>
      <c r="C1081" s="1">
        <v>44379.5</v>
      </c>
      <c r="D1081" t="s">
        <v>152</v>
      </c>
      <c r="E1081" t="s">
        <v>120</v>
      </c>
      <c r="F1081">
        <v>37</v>
      </c>
      <c r="G1081">
        <v>0.33</v>
      </c>
    </row>
    <row r="1082" spans="1:7" x14ac:dyDescent="0.3">
      <c r="A1082" t="s">
        <v>74</v>
      </c>
      <c r="B1082" t="s">
        <v>125</v>
      </c>
      <c r="C1082" s="1">
        <v>44379.5</v>
      </c>
      <c r="D1082" t="s">
        <v>153</v>
      </c>
      <c r="E1082" t="s">
        <v>121</v>
      </c>
      <c r="F1082">
        <v>38</v>
      </c>
      <c r="G1082">
        <v>1.65</v>
      </c>
    </row>
    <row r="1083" spans="1:7" x14ac:dyDescent="0.3">
      <c r="A1083" t="s">
        <v>74</v>
      </c>
      <c r="B1083" t="s">
        <v>125</v>
      </c>
      <c r="C1083" s="1">
        <v>44379.5</v>
      </c>
      <c r="D1083" t="s">
        <v>154</v>
      </c>
      <c r="E1083" t="s">
        <v>122</v>
      </c>
      <c r="F1083">
        <v>39</v>
      </c>
      <c r="G1083">
        <v>1.65</v>
      </c>
    </row>
    <row r="1084" spans="1:7" x14ac:dyDescent="0.3">
      <c r="A1084" t="s">
        <v>74</v>
      </c>
      <c r="B1084" t="s">
        <v>125</v>
      </c>
      <c r="C1084" s="1">
        <v>44379.5</v>
      </c>
      <c r="D1084" t="s">
        <v>155</v>
      </c>
      <c r="E1084" t="s">
        <v>123</v>
      </c>
      <c r="F1084">
        <v>19</v>
      </c>
      <c r="G1084">
        <v>0.78</v>
      </c>
    </row>
    <row r="1085" spans="1:7" x14ac:dyDescent="0.3">
      <c r="A1085" t="s">
        <v>74</v>
      </c>
      <c r="B1085" t="s">
        <v>125</v>
      </c>
      <c r="C1085" s="1">
        <v>44379.5</v>
      </c>
      <c r="D1085" t="s">
        <v>156</v>
      </c>
      <c r="E1085" t="s">
        <v>124</v>
      </c>
      <c r="F1085">
        <v>48</v>
      </c>
      <c r="G1085">
        <v>0.15</v>
      </c>
    </row>
    <row r="1086" spans="1:7" x14ac:dyDescent="0.3">
      <c r="A1086" t="s">
        <v>75</v>
      </c>
      <c r="B1086" t="s">
        <v>128</v>
      </c>
      <c r="C1086" s="1">
        <v>44385.5</v>
      </c>
      <c r="D1086" t="s">
        <v>9</v>
      </c>
      <c r="E1086" t="s">
        <v>85</v>
      </c>
      <c r="F1086">
        <v>1</v>
      </c>
      <c r="G1086">
        <v>0.2</v>
      </c>
    </row>
    <row r="1087" spans="1:7" x14ac:dyDescent="0.3">
      <c r="A1087" t="s">
        <v>75</v>
      </c>
      <c r="B1087" t="s">
        <v>128</v>
      </c>
      <c r="C1087" s="1">
        <v>44385.5</v>
      </c>
      <c r="D1087" t="s">
        <v>10</v>
      </c>
      <c r="E1087" t="s">
        <v>86</v>
      </c>
      <c r="F1087">
        <v>2</v>
      </c>
      <c r="G1087">
        <v>0.1</v>
      </c>
    </row>
    <row r="1088" spans="1:7" x14ac:dyDescent="0.3">
      <c r="A1088" t="s">
        <v>75</v>
      </c>
      <c r="B1088" t="s">
        <v>128</v>
      </c>
      <c r="C1088" s="1">
        <v>44385.5</v>
      </c>
      <c r="D1088" t="s">
        <v>12</v>
      </c>
      <c r="E1088" t="s">
        <v>87</v>
      </c>
      <c r="F1088">
        <v>3</v>
      </c>
      <c r="G1088">
        <v>0.09</v>
      </c>
    </row>
    <row r="1089" spans="1:7" x14ac:dyDescent="0.3">
      <c r="A1089" t="s">
        <v>75</v>
      </c>
      <c r="B1089" t="s">
        <v>128</v>
      </c>
      <c r="C1089" s="1">
        <v>44385.5</v>
      </c>
      <c r="D1089" t="s">
        <v>14</v>
      </c>
      <c r="E1089" t="s">
        <v>88</v>
      </c>
      <c r="F1089">
        <v>4</v>
      </c>
      <c r="G1089">
        <v>0.09</v>
      </c>
    </row>
    <row r="1090" spans="1:7" x14ac:dyDescent="0.3">
      <c r="A1090" t="s">
        <v>75</v>
      </c>
      <c r="B1090" t="s">
        <v>128</v>
      </c>
      <c r="C1090" s="1">
        <v>44385.5</v>
      </c>
      <c r="D1090" t="s">
        <v>16</v>
      </c>
      <c r="E1090" t="s">
        <v>89</v>
      </c>
      <c r="F1090">
        <v>5</v>
      </c>
      <c r="G1090">
        <v>9.9000000000000005E-2</v>
      </c>
    </row>
    <row r="1091" spans="1:7" x14ac:dyDescent="0.3">
      <c r="A1091" t="s">
        <v>75</v>
      </c>
      <c r="B1091" t="s">
        <v>128</v>
      </c>
      <c r="C1091" s="1">
        <v>44385.5</v>
      </c>
      <c r="D1091" t="s">
        <v>18</v>
      </c>
      <c r="E1091" t="s">
        <v>90</v>
      </c>
      <c r="F1091">
        <v>6</v>
      </c>
      <c r="G1091">
        <v>7.6999999999999999E-2</v>
      </c>
    </row>
    <row r="1092" spans="1:7" x14ac:dyDescent="0.3">
      <c r="A1092" t="s">
        <v>75</v>
      </c>
      <c r="B1092" t="s">
        <v>128</v>
      </c>
      <c r="C1092" s="1">
        <v>44385.5</v>
      </c>
      <c r="D1092" t="s">
        <v>129</v>
      </c>
      <c r="E1092" t="s">
        <v>91</v>
      </c>
      <c r="F1092">
        <v>7</v>
      </c>
      <c r="G1092">
        <v>9.2999999999999999E-2</v>
      </c>
    </row>
    <row r="1093" spans="1:7" x14ac:dyDescent="0.3">
      <c r="A1093" t="s">
        <v>75</v>
      </c>
      <c r="B1093" t="s">
        <v>128</v>
      </c>
      <c r="C1093" s="1">
        <v>44385.5</v>
      </c>
      <c r="D1093" t="s">
        <v>130</v>
      </c>
      <c r="E1093" t="s">
        <v>92</v>
      </c>
      <c r="F1093">
        <v>8</v>
      </c>
      <c r="G1093">
        <v>9.9000000000000005E-2</v>
      </c>
    </row>
    <row r="1094" spans="1:7" x14ac:dyDescent="0.3">
      <c r="A1094" t="s">
        <v>75</v>
      </c>
      <c r="B1094" t="s">
        <v>128</v>
      </c>
      <c r="C1094" s="1">
        <v>44385.5</v>
      </c>
      <c r="D1094" t="s">
        <v>131</v>
      </c>
      <c r="E1094" t="s">
        <v>93</v>
      </c>
      <c r="F1094">
        <v>9</v>
      </c>
      <c r="G1094">
        <v>8.1000000000000003E-2</v>
      </c>
    </row>
    <row r="1095" spans="1:7" x14ac:dyDescent="0.3">
      <c r="A1095" t="s">
        <v>75</v>
      </c>
      <c r="B1095" t="s">
        <v>128</v>
      </c>
      <c r="C1095" s="1">
        <v>44385.5</v>
      </c>
      <c r="D1095" t="s">
        <v>132</v>
      </c>
      <c r="E1095" t="s">
        <v>94</v>
      </c>
      <c r="F1095">
        <v>10</v>
      </c>
      <c r="G1095">
        <v>0.05</v>
      </c>
    </row>
    <row r="1096" spans="1:7" x14ac:dyDescent="0.3">
      <c r="A1096" t="s">
        <v>75</v>
      </c>
      <c r="B1096" t="s">
        <v>128</v>
      </c>
      <c r="C1096" s="1">
        <v>44385.5</v>
      </c>
      <c r="D1096" t="s">
        <v>133</v>
      </c>
      <c r="E1096" t="s">
        <v>95</v>
      </c>
      <c r="F1096">
        <v>11</v>
      </c>
      <c r="G1096">
        <v>0.05</v>
      </c>
    </row>
    <row r="1097" spans="1:7" x14ac:dyDescent="0.3">
      <c r="A1097" t="s">
        <v>75</v>
      </c>
      <c r="B1097" t="s">
        <v>128</v>
      </c>
      <c r="C1097" s="1">
        <v>44385.5</v>
      </c>
      <c r="D1097" t="s">
        <v>11</v>
      </c>
      <c r="E1097" t="s">
        <v>96</v>
      </c>
      <c r="F1097">
        <v>13</v>
      </c>
      <c r="G1097">
        <v>0.05</v>
      </c>
    </row>
    <row r="1098" spans="1:7" x14ac:dyDescent="0.3">
      <c r="A1098" t="s">
        <v>75</v>
      </c>
      <c r="B1098" t="s">
        <v>128</v>
      </c>
      <c r="C1098" s="1">
        <v>44385.5</v>
      </c>
      <c r="D1098" t="s">
        <v>13</v>
      </c>
      <c r="E1098" t="s">
        <v>97</v>
      </c>
      <c r="F1098">
        <v>14</v>
      </c>
      <c r="G1098">
        <v>0.05</v>
      </c>
    </row>
    <row r="1099" spans="1:7" x14ac:dyDescent="0.3">
      <c r="A1099" t="s">
        <v>75</v>
      </c>
      <c r="B1099" t="s">
        <v>128</v>
      </c>
      <c r="C1099" s="1">
        <v>44385.5</v>
      </c>
      <c r="D1099" t="s">
        <v>15</v>
      </c>
      <c r="E1099" t="s">
        <v>98</v>
      </c>
      <c r="F1099">
        <v>15</v>
      </c>
      <c r="G1099">
        <v>0.33</v>
      </c>
    </row>
    <row r="1100" spans="1:7" x14ac:dyDescent="0.3">
      <c r="A1100" t="s">
        <v>75</v>
      </c>
      <c r="B1100" t="s">
        <v>128</v>
      </c>
      <c r="C1100" s="1">
        <v>44385.5</v>
      </c>
      <c r="D1100" t="s">
        <v>17</v>
      </c>
      <c r="E1100" t="s">
        <v>99</v>
      </c>
      <c r="F1100">
        <v>16</v>
      </c>
      <c r="G1100">
        <v>0.05</v>
      </c>
    </row>
    <row r="1101" spans="1:7" x14ac:dyDescent="0.3">
      <c r="A1101" t="s">
        <v>75</v>
      </c>
      <c r="B1101" t="s">
        <v>128</v>
      </c>
      <c r="C1101" s="1">
        <v>44385.5</v>
      </c>
      <c r="D1101" t="s">
        <v>19</v>
      </c>
      <c r="E1101" t="s">
        <v>100</v>
      </c>
      <c r="F1101">
        <v>17</v>
      </c>
      <c r="G1101">
        <v>8.1</v>
      </c>
    </row>
    <row r="1102" spans="1:7" x14ac:dyDescent="0.3">
      <c r="A1102" t="s">
        <v>75</v>
      </c>
      <c r="B1102" t="s">
        <v>128</v>
      </c>
      <c r="C1102" s="1">
        <v>44385.5</v>
      </c>
      <c r="D1102" t="s">
        <v>134</v>
      </c>
      <c r="E1102" t="s">
        <v>101</v>
      </c>
      <c r="F1102">
        <v>18</v>
      </c>
      <c r="G1102">
        <v>0.05</v>
      </c>
    </row>
    <row r="1103" spans="1:7" x14ac:dyDescent="0.3">
      <c r="A1103" t="s">
        <v>75</v>
      </c>
      <c r="B1103" t="s">
        <v>128</v>
      </c>
      <c r="C1103" s="1">
        <v>44385.5</v>
      </c>
      <c r="D1103" t="s">
        <v>135</v>
      </c>
      <c r="E1103" t="s">
        <v>102</v>
      </c>
      <c r="F1103">
        <v>20</v>
      </c>
      <c r="G1103">
        <v>0.05</v>
      </c>
    </row>
    <row r="1104" spans="1:7" x14ac:dyDescent="0.3">
      <c r="A1104" t="s">
        <v>75</v>
      </c>
      <c r="B1104" t="s">
        <v>128</v>
      </c>
      <c r="C1104" s="1">
        <v>44385.5</v>
      </c>
      <c r="D1104" t="s">
        <v>136</v>
      </c>
      <c r="E1104" t="s">
        <v>103</v>
      </c>
      <c r="F1104">
        <v>21</v>
      </c>
      <c r="G1104">
        <v>0.2</v>
      </c>
    </row>
    <row r="1105" spans="1:7" x14ac:dyDescent="0.3">
      <c r="A1105" t="s">
        <v>75</v>
      </c>
      <c r="B1105" t="s">
        <v>128</v>
      </c>
      <c r="C1105" s="1">
        <v>44385.5</v>
      </c>
      <c r="D1105" t="s">
        <v>60</v>
      </c>
      <c r="E1105" t="s">
        <v>104</v>
      </c>
      <c r="F1105">
        <v>22</v>
      </c>
      <c r="G1105">
        <v>0.4</v>
      </c>
    </row>
    <row r="1106" spans="1:7" x14ac:dyDescent="0.3">
      <c r="A1106" t="s">
        <v>75</v>
      </c>
      <c r="B1106" t="s">
        <v>128</v>
      </c>
      <c r="C1106" s="1">
        <v>44385.5</v>
      </c>
      <c r="D1106" t="s">
        <v>137</v>
      </c>
      <c r="E1106" t="s">
        <v>105</v>
      </c>
      <c r="F1106">
        <v>23</v>
      </c>
      <c r="G1106">
        <v>0.4</v>
      </c>
    </row>
    <row r="1107" spans="1:7" x14ac:dyDescent="0.3">
      <c r="A1107" t="s">
        <v>75</v>
      </c>
      <c r="B1107" t="s">
        <v>128</v>
      </c>
      <c r="C1107" s="1">
        <v>44385.5</v>
      </c>
      <c r="D1107" t="s">
        <v>138</v>
      </c>
      <c r="E1107" t="s">
        <v>106</v>
      </c>
      <c r="F1107">
        <v>27</v>
      </c>
      <c r="G1107">
        <v>0.09</v>
      </c>
    </row>
    <row r="1108" spans="1:7" x14ac:dyDescent="0.3">
      <c r="A1108" t="s">
        <v>75</v>
      </c>
      <c r="B1108" t="s">
        <v>128</v>
      </c>
      <c r="C1108" s="1">
        <v>44385.5</v>
      </c>
      <c r="D1108" t="s">
        <v>139</v>
      </c>
      <c r="E1108" t="s">
        <v>107</v>
      </c>
      <c r="F1108">
        <v>29</v>
      </c>
      <c r="G1108">
        <v>0.05</v>
      </c>
    </row>
    <row r="1109" spans="1:7" x14ac:dyDescent="0.3">
      <c r="A1109" t="s">
        <v>75</v>
      </c>
      <c r="B1109" t="s">
        <v>128</v>
      </c>
      <c r="C1109" s="1">
        <v>44385.5</v>
      </c>
      <c r="D1109" t="s">
        <v>140</v>
      </c>
      <c r="E1109" t="s">
        <v>108</v>
      </c>
      <c r="F1109">
        <v>25</v>
      </c>
      <c r="G1109">
        <v>0.05</v>
      </c>
    </row>
    <row r="1110" spans="1:7" x14ac:dyDescent="0.3">
      <c r="A1110" t="s">
        <v>75</v>
      </c>
      <c r="B1110" t="s">
        <v>128</v>
      </c>
      <c r="C1110" s="1">
        <v>44385.5</v>
      </c>
      <c r="D1110" t="s">
        <v>141</v>
      </c>
      <c r="E1110" t="s">
        <v>109</v>
      </c>
      <c r="F1110">
        <v>30</v>
      </c>
      <c r="G1110">
        <v>0.05</v>
      </c>
    </row>
    <row r="1111" spans="1:7" x14ac:dyDescent="0.3">
      <c r="A1111" t="s">
        <v>75</v>
      </c>
      <c r="B1111" t="s">
        <v>128</v>
      </c>
      <c r="C1111" s="1">
        <v>44385.5</v>
      </c>
      <c r="D1111" t="s">
        <v>142</v>
      </c>
      <c r="E1111" t="s">
        <v>110</v>
      </c>
      <c r="F1111">
        <v>26</v>
      </c>
      <c r="G1111">
        <v>0.05</v>
      </c>
    </row>
    <row r="1112" spans="1:7" x14ac:dyDescent="0.3">
      <c r="A1112" t="s">
        <v>75</v>
      </c>
      <c r="B1112" t="s">
        <v>128</v>
      </c>
      <c r="C1112" s="1">
        <v>44385.5</v>
      </c>
      <c r="D1112" t="s">
        <v>143</v>
      </c>
      <c r="E1112" t="s">
        <v>111</v>
      </c>
      <c r="F1112">
        <v>31</v>
      </c>
      <c r="G1112">
        <v>0.5</v>
      </c>
    </row>
    <row r="1113" spans="1:7" x14ac:dyDescent="0.3">
      <c r="A1113" t="s">
        <v>75</v>
      </c>
      <c r="B1113" t="s">
        <v>128</v>
      </c>
      <c r="C1113" s="1">
        <v>44385.5</v>
      </c>
      <c r="D1113" t="s">
        <v>144</v>
      </c>
      <c r="E1113" t="s">
        <v>112</v>
      </c>
      <c r="F1113">
        <v>32</v>
      </c>
      <c r="G1113">
        <v>0.5</v>
      </c>
    </row>
    <row r="1114" spans="1:7" x14ac:dyDescent="0.3">
      <c r="A1114" t="s">
        <v>75</v>
      </c>
      <c r="B1114" t="s">
        <v>128</v>
      </c>
      <c r="C1114" s="1">
        <v>44385.5</v>
      </c>
      <c r="D1114" t="s">
        <v>145</v>
      </c>
      <c r="E1114" t="s">
        <v>113</v>
      </c>
      <c r="F1114">
        <v>33</v>
      </c>
      <c r="G1114">
        <v>0.3</v>
      </c>
    </row>
    <row r="1115" spans="1:7" x14ac:dyDescent="0.3">
      <c r="A1115" t="s">
        <v>75</v>
      </c>
      <c r="B1115" t="s">
        <v>128</v>
      </c>
      <c r="C1115" s="1">
        <v>44385.5</v>
      </c>
      <c r="D1115" t="s">
        <v>146</v>
      </c>
      <c r="E1115" t="s">
        <v>114</v>
      </c>
      <c r="F1115">
        <v>34</v>
      </c>
      <c r="G1115">
        <v>0.2</v>
      </c>
    </row>
    <row r="1116" spans="1:7" x14ac:dyDescent="0.3">
      <c r="A1116" t="s">
        <v>75</v>
      </c>
      <c r="B1116" t="s">
        <v>128</v>
      </c>
      <c r="C1116" s="1">
        <v>44385.5</v>
      </c>
      <c r="D1116" t="s">
        <v>147</v>
      </c>
      <c r="E1116" t="s">
        <v>115</v>
      </c>
      <c r="F1116">
        <v>47</v>
      </c>
      <c r="G1116">
        <v>0.1</v>
      </c>
    </row>
    <row r="1117" spans="1:7" x14ac:dyDescent="0.3">
      <c r="A1117" t="s">
        <v>75</v>
      </c>
      <c r="B1117" t="s">
        <v>128</v>
      </c>
      <c r="C1117" s="1">
        <v>44385.5</v>
      </c>
      <c r="D1117" t="s">
        <v>148</v>
      </c>
      <c r="E1117" t="s">
        <v>116</v>
      </c>
      <c r="F1117">
        <v>49</v>
      </c>
      <c r="G1117">
        <v>0.1</v>
      </c>
    </row>
    <row r="1118" spans="1:7" x14ac:dyDescent="0.3">
      <c r="A1118" t="s">
        <v>75</v>
      </c>
      <c r="B1118" t="s">
        <v>128</v>
      </c>
      <c r="C1118" s="1">
        <v>44385.5</v>
      </c>
      <c r="D1118" t="s">
        <v>149</v>
      </c>
      <c r="E1118" t="s">
        <v>117</v>
      </c>
      <c r="F1118">
        <v>35</v>
      </c>
      <c r="G1118">
        <v>0.2</v>
      </c>
    </row>
    <row r="1119" spans="1:7" x14ac:dyDescent="0.3">
      <c r="A1119" t="s">
        <v>75</v>
      </c>
      <c r="B1119" t="s">
        <v>128</v>
      </c>
      <c r="C1119" s="1">
        <v>44385.5</v>
      </c>
      <c r="D1119" t="s">
        <v>150</v>
      </c>
      <c r="E1119" t="s">
        <v>118</v>
      </c>
      <c r="F1119">
        <v>36</v>
      </c>
      <c r="G1119">
        <v>0.2</v>
      </c>
    </row>
    <row r="1120" spans="1:7" x14ac:dyDescent="0.3">
      <c r="A1120" t="s">
        <v>75</v>
      </c>
      <c r="B1120" t="s">
        <v>128</v>
      </c>
      <c r="C1120" s="1">
        <v>44385.5</v>
      </c>
      <c r="D1120" t="s">
        <v>151</v>
      </c>
      <c r="E1120" t="s">
        <v>119</v>
      </c>
      <c r="F1120">
        <v>46</v>
      </c>
      <c r="G1120">
        <v>0.1</v>
      </c>
    </row>
    <row r="1121" spans="1:7" x14ac:dyDescent="0.3">
      <c r="A1121" t="s">
        <v>75</v>
      </c>
      <c r="B1121" t="s">
        <v>128</v>
      </c>
      <c r="C1121" s="1">
        <v>44385.5</v>
      </c>
      <c r="D1121" t="s">
        <v>152</v>
      </c>
      <c r="E1121" t="s">
        <v>120</v>
      </c>
      <c r="F1121">
        <v>37</v>
      </c>
      <c r="G1121">
        <v>0.25</v>
      </c>
    </row>
    <row r="1122" spans="1:7" x14ac:dyDescent="0.3">
      <c r="A1122" t="s">
        <v>75</v>
      </c>
      <c r="B1122" t="s">
        <v>128</v>
      </c>
      <c r="C1122" s="1">
        <v>44385.5</v>
      </c>
      <c r="D1122" t="s">
        <v>153</v>
      </c>
      <c r="E1122" t="s">
        <v>121</v>
      </c>
      <c r="F1122">
        <v>38</v>
      </c>
      <c r="G1122">
        <v>1.25</v>
      </c>
    </row>
    <row r="1123" spans="1:7" x14ac:dyDescent="0.3">
      <c r="A1123" t="s">
        <v>75</v>
      </c>
      <c r="B1123" t="s">
        <v>128</v>
      </c>
      <c r="C1123" s="1">
        <v>44385.5</v>
      </c>
      <c r="D1123" t="s">
        <v>154</v>
      </c>
      <c r="E1123" t="s">
        <v>122</v>
      </c>
      <c r="F1123">
        <v>39</v>
      </c>
      <c r="G1123">
        <v>1.25</v>
      </c>
    </row>
    <row r="1124" spans="1:7" x14ac:dyDescent="0.3">
      <c r="A1124" t="s">
        <v>75</v>
      </c>
      <c r="B1124" t="s">
        <v>128</v>
      </c>
      <c r="C1124" s="1">
        <v>44385.5</v>
      </c>
      <c r="D1124" t="s">
        <v>155</v>
      </c>
      <c r="E1124" t="s">
        <v>123</v>
      </c>
      <c r="F1124">
        <v>19</v>
      </c>
      <c r="G1124">
        <v>6.0999999999999999E-2</v>
      </c>
    </row>
    <row r="1125" spans="1:7" x14ac:dyDescent="0.3">
      <c r="A1125" t="s">
        <v>75</v>
      </c>
      <c r="B1125" t="s">
        <v>128</v>
      </c>
      <c r="C1125" s="1">
        <v>44385.5</v>
      </c>
      <c r="D1125" t="s">
        <v>156</v>
      </c>
      <c r="E1125" t="s">
        <v>124</v>
      </c>
      <c r="F1125">
        <v>48</v>
      </c>
      <c r="G1125">
        <v>0.1</v>
      </c>
    </row>
    <row r="1126" spans="1:7" x14ac:dyDescent="0.3">
      <c r="A1126" t="s">
        <v>76</v>
      </c>
      <c r="B1126" t="s">
        <v>126</v>
      </c>
      <c r="C1126" s="1">
        <v>44385.5</v>
      </c>
      <c r="D1126" t="s">
        <v>9</v>
      </c>
      <c r="E1126" t="s">
        <v>85</v>
      </c>
      <c r="F1126">
        <v>1</v>
      </c>
      <c r="G1126">
        <v>0.2</v>
      </c>
    </row>
    <row r="1127" spans="1:7" x14ac:dyDescent="0.3">
      <c r="A1127" t="s">
        <v>76</v>
      </c>
      <c r="B1127" t="s">
        <v>126</v>
      </c>
      <c r="C1127" s="1">
        <v>44385.5</v>
      </c>
      <c r="D1127" t="s">
        <v>10</v>
      </c>
      <c r="E1127" t="s">
        <v>86</v>
      </c>
      <c r="F1127">
        <v>2</v>
      </c>
      <c r="G1127">
        <v>0.1</v>
      </c>
    </row>
    <row r="1128" spans="1:7" x14ac:dyDescent="0.3">
      <c r="A1128" t="s">
        <v>76</v>
      </c>
      <c r="B1128" t="s">
        <v>126</v>
      </c>
      <c r="C1128" s="1">
        <v>44385.5</v>
      </c>
      <c r="D1128" t="s">
        <v>12</v>
      </c>
      <c r="E1128" t="s">
        <v>87</v>
      </c>
      <c r="F1128">
        <v>3</v>
      </c>
      <c r="G1128">
        <v>0.27</v>
      </c>
    </row>
    <row r="1129" spans="1:7" x14ac:dyDescent="0.3">
      <c r="A1129" t="s">
        <v>76</v>
      </c>
      <c r="B1129" t="s">
        <v>126</v>
      </c>
      <c r="C1129" s="1">
        <v>44385.5</v>
      </c>
      <c r="D1129" t="s">
        <v>14</v>
      </c>
      <c r="E1129" t="s">
        <v>88</v>
      </c>
      <c r="F1129">
        <v>4</v>
      </c>
      <c r="G1129">
        <v>0.09</v>
      </c>
    </row>
    <row r="1130" spans="1:7" x14ac:dyDescent="0.3">
      <c r="A1130" t="s">
        <v>76</v>
      </c>
      <c r="B1130" t="s">
        <v>126</v>
      </c>
      <c r="C1130" s="1">
        <v>44385.5</v>
      </c>
      <c r="D1130" t="s">
        <v>16</v>
      </c>
      <c r="E1130" t="s">
        <v>89</v>
      </c>
      <c r="F1130">
        <v>5</v>
      </c>
      <c r="G1130">
        <v>0.34</v>
      </c>
    </row>
    <row r="1131" spans="1:7" x14ac:dyDescent="0.3">
      <c r="A1131" t="s">
        <v>76</v>
      </c>
      <c r="B1131" t="s">
        <v>126</v>
      </c>
      <c r="C1131" s="1">
        <v>44385.5</v>
      </c>
      <c r="D1131" t="s">
        <v>18</v>
      </c>
      <c r="E1131" t="s">
        <v>90</v>
      </c>
      <c r="F1131">
        <v>6</v>
      </c>
      <c r="G1131">
        <v>9.4E-2</v>
      </c>
    </row>
    <row r="1132" spans="1:7" x14ac:dyDescent="0.3">
      <c r="A1132" t="s">
        <v>76</v>
      </c>
      <c r="B1132" t="s">
        <v>126</v>
      </c>
      <c r="C1132" s="1">
        <v>44385.5</v>
      </c>
      <c r="D1132" t="s">
        <v>129</v>
      </c>
      <c r="E1132" t="s">
        <v>91</v>
      </c>
      <c r="F1132">
        <v>7</v>
      </c>
      <c r="G1132">
        <v>0.06</v>
      </c>
    </row>
    <row r="1133" spans="1:7" x14ac:dyDescent="0.3">
      <c r="A1133" t="s">
        <v>76</v>
      </c>
      <c r="B1133" t="s">
        <v>126</v>
      </c>
      <c r="C1133" s="1">
        <v>44385.5</v>
      </c>
      <c r="D1133" t="s">
        <v>130</v>
      </c>
      <c r="E1133" t="s">
        <v>92</v>
      </c>
      <c r="F1133">
        <v>8</v>
      </c>
      <c r="G1133">
        <v>0.22</v>
      </c>
    </row>
    <row r="1134" spans="1:7" x14ac:dyDescent="0.3">
      <c r="A1134" t="s">
        <v>76</v>
      </c>
      <c r="B1134" t="s">
        <v>126</v>
      </c>
      <c r="C1134" s="1">
        <v>44385.5</v>
      </c>
      <c r="D1134" t="s">
        <v>131</v>
      </c>
      <c r="E1134" t="s">
        <v>93</v>
      </c>
      <c r="F1134">
        <v>9</v>
      </c>
      <c r="G1134">
        <v>0.67</v>
      </c>
    </row>
    <row r="1135" spans="1:7" x14ac:dyDescent="0.3">
      <c r="A1135" t="s">
        <v>76</v>
      </c>
      <c r="B1135" t="s">
        <v>126</v>
      </c>
      <c r="C1135" s="1">
        <v>44385.5</v>
      </c>
      <c r="D1135" t="s">
        <v>132</v>
      </c>
      <c r="E1135" t="s">
        <v>94</v>
      </c>
      <c r="F1135">
        <v>10</v>
      </c>
      <c r="G1135">
        <v>0.55000000000000004</v>
      </c>
    </row>
    <row r="1136" spans="1:7" x14ac:dyDescent="0.3">
      <c r="A1136" t="s">
        <v>76</v>
      </c>
      <c r="B1136" t="s">
        <v>126</v>
      </c>
      <c r="C1136" s="1">
        <v>44385.5</v>
      </c>
      <c r="D1136" t="s">
        <v>133</v>
      </c>
      <c r="E1136" t="s">
        <v>95</v>
      </c>
      <c r="F1136">
        <v>11</v>
      </c>
      <c r="G1136">
        <v>0.39</v>
      </c>
    </row>
    <row r="1137" spans="1:7" x14ac:dyDescent="0.3">
      <c r="A1137" t="s">
        <v>76</v>
      </c>
      <c r="B1137" t="s">
        <v>126</v>
      </c>
      <c r="C1137" s="1">
        <v>44385.5</v>
      </c>
      <c r="D1137" t="s">
        <v>11</v>
      </c>
      <c r="E1137" t="s">
        <v>96</v>
      </c>
      <c r="F1137">
        <v>13</v>
      </c>
      <c r="G1137">
        <v>5.0999999999999997E-2</v>
      </c>
    </row>
    <row r="1138" spans="1:7" x14ac:dyDescent="0.3">
      <c r="A1138" t="s">
        <v>76</v>
      </c>
      <c r="B1138" t="s">
        <v>126</v>
      </c>
      <c r="C1138" s="1">
        <v>44385.5</v>
      </c>
      <c r="D1138" t="s">
        <v>13</v>
      </c>
      <c r="E1138" t="s">
        <v>97</v>
      </c>
      <c r="F1138">
        <v>14</v>
      </c>
      <c r="G1138">
        <v>8.4000000000000005E-2</v>
      </c>
    </row>
    <row r="1139" spans="1:7" x14ac:dyDescent="0.3">
      <c r="A1139" t="s">
        <v>76</v>
      </c>
      <c r="B1139" t="s">
        <v>126</v>
      </c>
      <c r="C1139" s="1">
        <v>44385.5</v>
      </c>
      <c r="D1139" t="s">
        <v>15</v>
      </c>
      <c r="E1139" t="s">
        <v>98</v>
      </c>
      <c r="F1139">
        <v>15</v>
      </c>
      <c r="G1139">
        <v>0.93</v>
      </c>
    </row>
    <row r="1140" spans="1:7" x14ac:dyDescent="0.3">
      <c r="A1140" t="s">
        <v>76</v>
      </c>
      <c r="B1140" t="s">
        <v>126</v>
      </c>
      <c r="C1140" s="1">
        <v>44385.5</v>
      </c>
      <c r="D1140" t="s">
        <v>17</v>
      </c>
      <c r="E1140" t="s">
        <v>99</v>
      </c>
      <c r="F1140">
        <v>16</v>
      </c>
      <c r="G1140">
        <v>9.9000000000000005E-2</v>
      </c>
    </row>
    <row r="1141" spans="1:7" x14ac:dyDescent="0.3">
      <c r="A1141" t="s">
        <v>76</v>
      </c>
      <c r="B1141" t="s">
        <v>126</v>
      </c>
      <c r="C1141" s="1">
        <v>44385.5</v>
      </c>
      <c r="D1141" t="s">
        <v>19</v>
      </c>
      <c r="E1141" t="s">
        <v>100</v>
      </c>
      <c r="F1141">
        <v>17</v>
      </c>
      <c r="G1141">
        <v>15</v>
      </c>
    </row>
    <row r="1142" spans="1:7" x14ac:dyDescent="0.3">
      <c r="A1142" t="s">
        <v>76</v>
      </c>
      <c r="B1142" t="s">
        <v>126</v>
      </c>
      <c r="C1142" s="1">
        <v>44385.5</v>
      </c>
      <c r="D1142" t="s">
        <v>134</v>
      </c>
      <c r="E1142" t="s">
        <v>101</v>
      </c>
      <c r="F1142">
        <v>18</v>
      </c>
      <c r="G1142">
        <v>6.3E-2</v>
      </c>
    </row>
    <row r="1143" spans="1:7" x14ac:dyDescent="0.3">
      <c r="A1143" t="s">
        <v>76</v>
      </c>
      <c r="B1143" t="s">
        <v>126</v>
      </c>
      <c r="C1143" s="1">
        <v>44385.5</v>
      </c>
      <c r="D1143" t="s">
        <v>135</v>
      </c>
      <c r="E1143" t="s">
        <v>102</v>
      </c>
      <c r="F1143">
        <v>20</v>
      </c>
      <c r="G1143">
        <v>0.38</v>
      </c>
    </row>
    <row r="1144" spans="1:7" x14ac:dyDescent="0.3">
      <c r="A1144" t="s">
        <v>76</v>
      </c>
      <c r="B1144" t="s">
        <v>126</v>
      </c>
      <c r="C1144" s="1">
        <v>44385.5</v>
      </c>
      <c r="D1144" t="s">
        <v>136</v>
      </c>
      <c r="E1144" t="s">
        <v>103</v>
      </c>
      <c r="F1144">
        <v>21</v>
      </c>
      <c r="G1144">
        <v>0.2</v>
      </c>
    </row>
    <row r="1145" spans="1:7" x14ac:dyDescent="0.3">
      <c r="A1145" t="s">
        <v>76</v>
      </c>
      <c r="B1145" t="s">
        <v>126</v>
      </c>
      <c r="C1145" s="1">
        <v>44385.5</v>
      </c>
      <c r="D1145" t="s">
        <v>60</v>
      </c>
      <c r="E1145" t="s">
        <v>104</v>
      </c>
      <c r="F1145">
        <v>22</v>
      </c>
      <c r="G1145">
        <v>0.62</v>
      </c>
    </row>
    <row r="1146" spans="1:7" x14ac:dyDescent="0.3">
      <c r="A1146" t="s">
        <v>76</v>
      </c>
      <c r="B1146" t="s">
        <v>126</v>
      </c>
      <c r="C1146" s="1">
        <v>44385.5</v>
      </c>
      <c r="D1146" t="s">
        <v>137</v>
      </c>
      <c r="E1146" t="s">
        <v>105</v>
      </c>
      <c r="F1146">
        <v>23</v>
      </c>
      <c r="G1146">
        <v>0.4</v>
      </c>
    </row>
    <row r="1147" spans="1:7" x14ac:dyDescent="0.3">
      <c r="A1147" t="s">
        <v>76</v>
      </c>
      <c r="B1147" t="s">
        <v>126</v>
      </c>
      <c r="C1147" s="1">
        <v>44385.5</v>
      </c>
      <c r="D1147" t="s">
        <v>138</v>
      </c>
      <c r="E1147" t="s">
        <v>106</v>
      </c>
      <c r="F1147">
        <v>27</v>
      </c>
      <c r="G1147">
        <v>0.23</v>
      </c>
    </row>
    <row r="1148" spans="1:7" x14ac:dyDescent="0.3">
      <c r="A1148" t="s">
        <v>76</v>
      </c>
      <c r="B1148" t="s">
        <v>126</v>
      </c>
      <c r="C1148" s="1">
        <v>44385.5</v>
      </c>
      <c r="D1148" t="s">
        <v>139</v>
      </c>
      <c r="E1148" t="s">
        <v>107</v>
      </c>
      <c r="F1148">
        <v>29</v>
      </c>
      <c r="G1148">
        <v>0.05</v>
      </c>
    </row>
    <row r="1149" spans="1:7" x14ac:dyDescent="0.3">
      <c r="A1149" t="s">
        <v>76</v>
      </c>
      <c r="B1149" t="s">
        <v>126</v>
      </c>
      <c r="C1149" s="1">
        <v>44385.5</v>
      </c>
      <c r="D1149" t="s">
        <v>140</v>
      </c>
      <c r="E1149" t="s">
        <v>108</v>
      </c>
      <c r="F1149">
        <v>25</v>
      </c>
      <c r="G1149">
        <v>0.05</v>
      </c>
    </row>
    <row r="1150" spans="1:7" x14ac:dyDescent="0.3">
      <c r="A1150" t="s">
        <v>76</v>
      </c>
      <c r="B1150" t="s">
        <v>126</v>
      </c>
      <c r="C1150" s="1">
        <v>44385.5</v>
      </c>
      <c r="D1150" t="s">
        <v>141</v>
      </c>
      <c r="E1150" t="s">
        <v>109</v>
      </c>
      <c r="F1150">
        <v>30</v>
      </c>
      <c r="G1150">
        <v>0.05</v>
      </c>
    </row>
    <row r="1151" spans="1:7" x14ac:dyDescent="0.3">
      <c r="A1151" t="s">
        <v>76</v>
      </c>
      <c r="B1151" t="s">
        <v>126</v>
      </c>
      <c r="C1151" s="1">
        <v>44385.5</v>
      </c>
      <c r="D1151" t="s">
        <v>142</v>
      </c>
      <c r="E1151" t="s">
        <v>110</v>
      </c>
      <c r="F1151">
        <v>26</v>
      </c>
      <c r="G1151">
        <v>0.05</v>
      </c>
    </row>
    <row r="1152" spans="1:7" x14ac:dyDescent="0.3">
      <c r="A1152" t="s">
        <v>76</v>
      </c>
      <c r="B1152" t="s">
        <v>126</v>
      </c>
      <c r="C1152" s="1">
        <v>44385.5</v>
      </c>
      <c r="D1152" t="s">
        <v>143</v>
      </c>
      <c r="E1152" t="s">
        <v>111</v>
      </c>
      <c r="F1152">
        <v>31</v>
      </c>
      <c r="G1152">
        <v>0.5</v>
      </c>
    </row>
    <row r="1153" spans="1:7" x14ac:dyDescent="0.3">
      <c r="A1153" t="s">
        <v>76</v>
      </c>
      <c r="B1153" t="s">
        <v>126</v>
      </c>
      <c r="C1153" s="1">
        <v>44385.5</v>
      </c>
      <c r="D1153" t="s">
        <v>144</v>
      </c>
      <c r="E1153" t="s">
        <v>112</v>
      </c>
      <c r="F1153">
        <v>32</v>
      </c>
      <c r="G1153">
        <v>0.5</v>
      </c>
    </row>
    <row r="1154" spans="1:7" x14ac:dyDescent="0.3">
      <c r="A1154" t="s">
        <v>76</v>
      </c>
      <c r="B1154" t="s">
        <v>126</v>
      </c>
      <c r="C1154" s="1">
        <v>44385.5</v>
      </c>
      <c r="D1154" t="s">
        <v>145</v>
      </c>
      <c r="E1154" t="s">
        <v>113</v>
      </c>
      <c r="F1154">
        <v>33</v>
      </c>
      <c r="G1154">
        <v>0.3</v>
      </c>
    </row>
    <row r="1155" spans="1:7" x14ac:dyDescent="0.3">
      <c r="A1155" t="s">
        <v>76</v>
      </c>
      <c r="B1155" t="s">
        <v>126</v>
      </c>
      <c r="C1155" s="1">
        <v>44385.5</v>
      </c>
      <c r="D1155" t="s">
        <v>146</v>
      </c>
      <c r="E1155" t="s">
        <v>114</v>
      </c>
      <c r="F1155">
        <v>34</v>
      </c>
      <c r="G1155">
        <v>0.2</v>
      </c>
    </row>
    <row r="1156" spans="1:7" x14ac:dyDescent="0.3">
      <c r="A1156" t="s">
        <v>76</v>
      </c>
      <c r="B1156" t="s">
        <v>126</v>
      </c>
      <c r="C1156" s="1">
        <v>44385.5</v>
      </c>
      <c r="D1156" t="s">
        <v>147</v>
      </c>
      <c r="E1156" t="s">
        <v>115</v>
      </c>
      <c r="F1156">
        <v>47</v>
      </c>
      <c r="G1156">
        <v>0.1</v>
      </c>
    </row>
    <row r="1157" spans="1:7" x14ac:dyDescent="0.3">
      <c r="A1157" t="s">
        <v>76</v>
      </c>
      <c r="B1157" t="s">
        <v>126</v>
      </c>
      <c r="C1157" s="1">
        <v>44385.5</v>
      </c>
      <c r="D1157" t="s">
        <v>148</v>
      </c>
      <c r="E1157" t="s">
        <v>116</v>
      </c>
      <c r="F1157">
        <v>49</v>
      </c>
      <c r="G1157">
        <v>0.1</v>
      </c>
    </row>
    <row r="1158" spans="1:7" x14ac:dyDescent="0.3">
      <c r="A1158" t="s">
        <v>76</v>
      </c>
      <c r="B1158" t="s">
        <v>126</v>
      </c>
      <c r="C1158" s="1">
        <v>44385.5</v>
      </c>
      <c r="D1158" t="s">
        <v>149</v>
      </c>
      <c r="E1158" t="s">
        <v>117</v>
      </c>
      <c r="F1158">
        <v>35</v>
      </c>
      <c r="G1158">
        <v>0.2</v>
      </c>
    </row>
    <row r="1159" spans="1:7" x14ac:dyDescent="0.3">
      <c r="A1159" t="s">
        <v>76</v>
      </c>
      <c r="B1159" t="s">
        <v>126</v>
      </c>
      <c r="C1159" s="1">
        <v>44385.5</v>
      </c>
      <c r="D1159" t="s">
        <v>150</v>
      </c>
      <c r="E1159" t="s">
        <v>118</v>
      </c>
      <c r="F1159">
        <v>36</v>
      </c>
      <c r="G1159">
        <v>0.2</v>
      </c>
    </row>
    <row r="1160" spans="1:7" x14ac:dyDescent="0.3">
      <c r="A1160" t="s">
        <v>76</v>
      </c>
      <c r="B1160" t="s">
        <v>126</v>
      </c>
      <c r="C1160" s="1">
        <v>44385.5</v>
      </c>
      <c r="D1160" t="s">
        <v>151</v>
      </c>
      <c r="E1160" t="s">
        <v>119</v>
      </c>
      <c r="F1160">
        <v>46</v>
      </c>
      <c r="G1160">
        <v>0.1</v>
      </c>
    </row>
    <row r="1161" spans="1:7" x14ac:dyDescent="0.3">
      <c r="A1161" t="s">
        <v>76</v>
      </c>
      <c r="B1161" t="s">
        <v>126</v>
      </c>
      <c r="C1161" s="1">
        <v>44385.5</v>
      </c>
      <c r="D1161" t="s">
        <v>152</v>
      </c>
      <c r="E1161" t="s">
        <v>120</v>
      </c>
      <c r="F1161">
        <v>37</v>
      </c>
      <c r="G1161">
        <v>0.25</v>
      </c>
    </row>
    <row r="1162" spans="1:7" x14ac:dyDescent="0.3">
      <c r="A1162" t="s">
        <v>76</v>
      </c>
      <c r="B1162" t="s">
        <v>126</v>
      </c>
      <c r="C1162" s="1">
        <v>44385.5</v>
      </c>
      <c r="D1162" t="s">
        <v>153</v>
      </c>
      <c r="E1162" t="s">
        <v>121</v>
      </c>
      <c r="F1162">
        <v>38</v>
      </c>
      <c r="G1162">
        <v>1.25</v>
      </c>
    </row>
    <row r="1163" spans="1:7" x14ac:dyDescent="0.3">
      <c r="A1163" t="s">
        <v>76</v>
      </c>
      <c r="B1163" t="s">
        <v>126</v>
      </c>
      <c r="C1163" s="1">
        <v>44385.5</v>
      </c>
      <c r="D1163" t="s">
        <v>154</v>
      </c>
      <c r="E1163" t="s">
        <v>122</v>
      </c>
      <c r="F1163">
        <v>39</v>
      </c>
      <c r="G1163">
        <v>1.25</v>
      </c>
    </row>
    <row r="1164" spans="1:7" x14ac:dyDescent="0.3">
      <c r="A1164" t="s">
        <v>76</v>
      </c>
      <c r="B1164" t="s">
        <v>126</v>
      </c>
      <c r="C1164" s="1">
        <v>44385.5</v>
      </c>
      <c r="D1164" t="s">
        <v>155</v>
      </c>
      <c r="E1164" t="s">
        <v>123</v>
      </c>
      <c r="F1164">
        <v>19</v>
      </c>
      <c r="G1164">
        <v>0.4</v>
      </c>
    </row>
    <row r="1165" spans="1:7" x14ac:dyDescent="0.3">
      <c r="A1165" t="s">
        <v>76</v>
      </c>
      <c r="B1165" t="s">
        <v>126</v>
      </c>
      <c r="C1165" s="1">
        <v>44385.5</v>
      </c>
      <c r="D1165" t="s">
        <v>156</v>
      </c>
      <c r="E1165" t="s">
        <v>124</v>
      </c>
      <c r="F1165">
        <v>48</v>
      </c>
      <c r="G1165">
        <v>0.1</v>
      </c>
    </row>
    <row r="1166" spans="1:7" x14ac:dyDescent="0.3">
      <c r="A1166" t="s">
        <v>77</v>
      </c>
      <c r="B1166" t="s">
        <v>127</v>
      </c>
      <c r="C1166" s="1">
        <v>44385.5</v>
      </c>
      <c r="D1166" t="s">
        <v>9</v>
      </c>
      <c r="E1166" t="s">
        <v>85</v>
      </c>
      <c r="F1166">
        <v>1</v>
      </c>
      <c r="G1166">
        <v>0.2</v>
      </c>
    </row>
    <row r="1167" spans="1:7" x14ac:dyDescent="0.3">
      <c r="A1167" t="s">
        <v>77</v>
      </c>
      <c r="B1167" t="s">
        <v>127</v>
      </c>
      <c r="C1167" s="1">
        <v>44385.5</v>
      </c>
      <c r="D1167" t="s">
        <v>10</v>
      </c>
      <c r="E1167" t="s">
        <v>86</v>
      </c>
      <c r="F1167">
        <v>2</v>
      </c>
      <c r="G1167">
        <v>0.1</v>
      </c>
    </row>
    <row r="1168" spans="1:7" x14ac:dyDescent="0.3">
      <c r="A1168" t="s">
        <v>77</v>
      </c>
      <c r="B1168" t="s">
        <v>127</v>
      </c>
      <c r="C1168" s="1">
        <v>44385.5</v>
      </c>
      <c r="D1168" t="s">
        <v>12</v>
      </c>
      <c r="E1168" t="s">
        <v>87</v>
      </c>
      <c r="F1168">
        <v>3</v>
      </c>
      <c r="G1168">
        <v>0.09</v>
      </c>
    </row>
    <row r="1169" spans="1:7" x14ac:dyDescent="0.3">
      <c r="A1169" t="s">
        <v>77</v>
      </c>
      <c r="B1169" t="s">
        <v>127</v>
      </c>
      <c r="C1169" s="1">
        <v>44385.5</v>
      </c>
      <c r="D1169" t="s">
        <v>14</v>
      </c>
      <c r="E1169" t="s">
        <v>88</v>
      </c>
      <c r="F1169">
        <v>4</v>
      </c>
      <c r="G1169">
        <v>0.09</v>
      </c>
    </row>
    <row r="1170" spans="1:7" x14ac:dyDescent="0.3">
      <c r="A1170" t="s">
        <v>77</v>
      </c>
      <c r="B1170" t="s">
        <v>127</v>
      </c>
      <c r="C1170" s="1">
        <v>44385.5</v>
      </c>
      <c r="D1170" t="s">
        <v>16</v>
      </c>
      <c r="E1170" t="s">
        <v>89</v>
      </c>
      <c r="F1170">
        <v>5</v>
      </c>
      <c r="G1170">
        <v>0.13</v>
      </c>
    </row>
    <row r="1171" spans="1:7" x14ac:dyDescent="0.3">
      <c r="A1171" t="s">
        <v>77</v>
      </c>
      <c r="B1171" t="s">
        <v>127</v>
      </c>
      <c r="C1171" s="1">
        <v>44385.5</v>
      </c>
      <c r="D1171" t="s">
        <v>18</v>
      </c>
      <c r="E1171" t="s">
        <v>90</v>
      </c>
      <c r="F1171">
        <v>6</v>
      </c>
      <c r="G1171">
        <v>0.05</v>
      </c>
    </row>
    <row r="1172" spans="1:7" x14ac:dyDescent="0.3">
      <c r="A1172" t="s">
        <v>77</v>
      </c>
      <c r="B1172" t="s">
        <v>127</v>
      </c>
      <c r="C1172" s="1">
        <v>44385.5</v>
      </c>
      <c r="D1172" t="s">
        <v>129</v>
      </c>
      <c r="E1172" t="s">
        <v>91</v>
      </c>
      <c r="F1172">
        <v>7</v>
      </c>
      <c r="G1172">
        <v>0.05</v>
      </c>
    </row>
    <row r="1173" spans="1:7" x14ac:dyDescent="0.3">
      <c r="A1173" t="s">
        <v>77</v>
      </c>
      <c r="B1173" t="s">
        <v>127</v>
      </c>
      <c r="C1173" s="1">
        <v>44385.5</v>
      </c>
      <c r="D1173" t="s">
        <v>130</v>
      </c>
      <c r="E1173" t="s">
        <v>92</v>
      </c>
      <c r="F1173">
        <v>8</v>
      </c>
      <c r="G1173">
        <v>0.26</v>
      </c>
    </row>
    <row r="1174" spans="1:7" x14ac:dyDescent="0.3">
      <c r="A1174" t="s">
        <v>77</v>
      </c>
      <c r="B1174" t="s">
        <v>127</v>
      </c>
      <c r="C1174" s="1">
        <v>44385.5</v>
      </c>
      <c r="D1174" t="s">
        <v>131</v>
      </c>
      <c r="E1174" t="s">
        <v>93</v>
      </c>
      <c r="F1174">
        <v>9</v>
      </c>
      <c r="G1174">
        <v>0.23</v>
      </c>
    </row>
    <row r="1175" spans="1:7" x14ac:dyDescent="0.3">
      <c r="A1175" t="s">
        <v>77</v>
      </c>
      <c r="B1175" t="s">
        <v>127</v>
      </c>
      <c r="C1175" s="1">
        <v>44385.5</v>
      </c>
      <c r="D1175" t="s">
        <v>132</v>
      </c>
      <c r="E1175" t="s">
        <v>94</v>
      </c>
      <c r="F1175">
        <v>10</v>
      </c>
      <c r="G1175">
        <v>7.5999999999999998E-2</v>
      </c>
    </row>
    <row r="1176" spans="1:7" x14ac:dyDescent="0.3">
      <c r="A1176" t="s">
        <v>77</v>
      </c>
      <c r="B1176" t="s">
        <v>127</v>
      </c>
      <c r="C1176" s="1">
        <v>44385.5</v>
      </c>
      <c r="D1176" t="s">
        <v>133</v>
      </c>
      <c r="E1176" t="s">
        <v>95</v>
      </c>
      <c r="F1176">
        <v>11</v>
      </c>
      <c r="G1176">
        <v>0.05</v>
      </c>
    </row>
    <row r="1177" spans="1:7" x14ac:dyDescent="0.3">
      <c r="A1177" t="s">
        <v>77</v>
      </c>
      <c r="B1177" t="s">
        <v>127</v>
      </c>
      <c r="C1177" s="1">
        <v>44385.5</v>
      </c>
      <c r="D1177" t="s">
        <v>11</v>
      </c>
      <c r="E1177" t="s">
        <v>96</v>
      </c>
      <c r="F1177">
        <v>13</v>
      </c>
      <c r="G1177">
        <v>0.05</v>
      </c>
    </row>
    <row r="1178" spans="1:7" x14ac:dyDescent="0.3">
      <c r="A1178" t="s">
        <v>77</v>
      </c>
      <c r="B1178" t="s">
        <v>127</v>
      </c>
      <c r="C1178" s="1">
        <v>44385.5</v>
      </c>
      <c r="D1178" t="s">
        <v>13</v>
      </c>
      <c r="E1178" t="s">
        <v>97</v>
      </c>
      <c r="F1178">
        <v>14</v>
      </c>
      <c r="G1178">
        <v>0.05</v>
      </c>
    </row>
    <row r="1179" spans="1:7" x14ac:dyDescent="0.3">
      <c r="A1179" t="s">
        <v>77</v>
      </c>
      <c r="B1179" t="s">
        <v>127</v>
      </c>
      <c r="C1179" s="1">
        <v>44385.5</v>
      </c>
      <c r="D1179" t="s">
        <v>15</v>
      </c>
      <c r="E1179" t="s">
        <v>98</v>
      </c>
      <c r="F1179">
        <v>15</v>
      </c>
      <c r="G1179">
        <v>0.24</v>
      </c>
    </row>
    <row r="1180" spans="1:7" x14ac:dyDescent="0.3">
      <c r="A1180" t="s">
        <v>77</v>
      </c>
      <c r="B1180" t="s">
        <v>127</v>
      </c>
      <c r="C1180" s="1">
        <v>44385.5</v>
      </c>
      <c r="D1180" t="s">
        <v>17</v>
      </c>
      <c r="E1180" t="s">
        <v>99</v>
      </c>
      <c r="F1180">
        <v>16</v>
      </c>
      <c r="G1180">
        <v>0.05</v>
      </c>
    </row>
    <row r="1181" spans="1:7" x14ac:dyDescent="0.3">
      <c r="A1181" t="s">
        <v>77</v>
      </c>
      <c r="B1181" t="s">
        <v>127</v>
      </c>
      <c r="C1181" s="1">
        <v>44385.5</v>
      </c>
      <c r="D1181" t="s">
        <v>19</v>
      </c>
      <c r="E1181" t="s">
        <v>100</v>
      </c>
      <c r="F1181">
        <v>17</v>
      </c>
      <c r="G1181">
        <v>6.2</v>
      </c>
    </row>
    <row r="1182" spans="1:7" x14ac:dyDescent="0.3">
      <c r="A1182" t="s">
        <v>77</v>
      </c>
      <c r="B1182" t="s">
        <v>127</v>
      </c>
      <c r="C1182" s="1">
        <v>44385.5</v>
      </c>
      <c r="D1182" t="s">
        <v>134</v>
      </c>
      <c r="E1182" t="s">
        <v>101</v>
      </c>
      <c r="F1182">
        <v>18</v>
      </c>
      <c r="G1182">
        <v>7.4999999999999997E-2</v>
      </c>
    </row>
    <row r="1183" spans="1:7" x14ac:dyDescent="0.3">
      <c r="A1183" t="s">
        <v>77</v>
      </c>
      <c r="B1183" t="s">
        <v>127</v>
      </c>
      <c r="C1183" s="1">
        <v>44385.5</v>
      </c>
      <c r="D1183" t="s">
        <v>135</v>
      </c>
      <c r="E1183" t="s">
        <v>102</v>
      </c>
      <c r="F1183">
        <v>20</v>
      </c>
      <c r="G1183">
        <v>0.05</v>
      </c>
    </row>
    <row r="1184" spans="1:7" x14ac:dyDescent="0.3">
      <c r="A1184" t="s">
        <v>77</v>
      </c>
      <c r="B1184" t="s">
        <v>127</v>
      </c>
      <c r="C1184" s="1">
        <v>44385.5</v>
      </c>
      <c r="D1184" t="s">
        <v>136</v>
      </c>
      <c r="E1184" t="s">
        <v>103</v>
      </c>
      <c r="F1184">
        <v>21</v>
      </c>
      <c r="G1184">
        <v>0.2</v>
      </c>
    </row>
    <row r="1185" spans="1:7" x14ac:dyDescent="0.3">
      <c r="A1185" t="s">
        <v>77</v>
      </c>
      <c r="B1185" t="s">
        <v>127</v>
      </c>
      <c r="C1185" s="1">
        <v>44385.5</v>
      </c>
      <c r="D1185" t="s">
        <v>60</v>
      </c>
      <c r="E1185" t="s">
        <v>104</v>
      </c>
      <c r="F1185">
        <v>22</v>
      </c>
      <c r="G1185">
        <v>0.4</v>
      </c>
    </row>
    <row r="1186" spans="1:7" x14ac:dyDescent="0.3">
      <c r="A1186" t="s">
        <v>77</v>
      </c>
      <c r="B1186" t="s">
        <v>127</v>
      </c>
      <c r="C1186" s="1">
        <v>44385.5</v>
      </c>
      <c r="D1186" t="s">
        <v>137</v>
      </c>
      <c r="E1186" t="s">
        <v>105</v>
      </c>
      <c r="F1186">
        <v>23</v>
      </c>
      <c r="G1186">
        <v>0.4</v>
      </c>
    </row>
    <row r="1187" spans="1:7" x14ac:dyDescent="0.3">
      <c r="A1187" t="s">
        <v>77</v>
      </c>
      <c r="B1187" t="s">
        <v>127</v>
      </c>
      <c r="C1187" s="1">
        <v>44385.5</v>
      </c>
      <c r="D1187" t="s">
        <v>138</v>
      </c>
      <c r="E1187" t="s">
        <v>106</v>
      </c>
      <c r="F1187">
        <v>27</v>
      </c>
      <c r="G1187">
        <v>0.14000000000000001</v>
      </c>
    </row>
    <row r="1188" spans="1:7" x14ac:dyDescent="0.3">
      <c r="A1188" t="s">
        <v>77</v>
      </c>
      <c r="B1188" t="s">
        <v>127</v>
      </c>
      <c r="C1188" s="1">
        <v>44385.5</v>
      </c>
      <c r="D1188" t="s">
        <v>139</v>
      </c>
      <c r="E1188" t="s">
        <v>107</v>
      </c>
      <c r="F1188">
        <v>29</v>
      </c>
      <c r="G1188">
        <v>0.05</v>
      </c>
    </row>
    <row r="1189" spans="1:7" x14ac:dyDescent="0.3">
      <c r="A1189" t="s">
        <v>77</v>
      </c>
      <c r="B1189" t="s">
        <v>127</v>
      </c>
      <c r="C1189" s="1">
        <v>44385.5</v>
      </c>
      <c r="D1189" t="s">
        <v>140</v>
      </c>
      <c r="E1189" t="s">
        <v>108</v>
      </c>
      <c r="F1189">
        <v>25</v>
      </c>
      <c r="G1189">
        <v>0.05</v>
      </c>
    </row>
    <row r="1190" spans="1:7" x14ac:dyDescent="0.3">
      <c r="A1190" t="s">
        <v>77</v>
      </c>
      <c r="B1190" t="s">
        <v>127</v>
      </c>
      <c r="C1190" s="1">
        <v>44385.5</v>
      </c>
      <c r="D1190" t="s">
        <v>141</v>
      </c>
      <c r="E1190" t="s">
        <v>109</v>
      </c>
      <c r="F1190">
        <v>30</v>
      </c>
      <c r="G1190">
        <v>0.05</v>
      </c>
    </row>
    <row r="1191" spans="1:7" x14ac:dyDescent="0.3">
      <c r="A1191" t="s">
        <v>77</v>
      </c>
      <c r="B1191" t="s">
        <v>127</v>
      </c>
      <c r="C1191" s="1">
        <v>44385.5</v>
      </c>
      <c r="D1191" t="s">
        <v>142</v>
      </c>
      <c r="E1191" t="s">
        <v>110</v>
      </c>
      <c r="F1191">
        <v>26</v>
      </c>
      <c r="G1191">
        <v>0.05</v>
      </c>
    </row>
    <row r="1192" spans="1:7" x14ac:dyDescent="0.3">
      <c r="A1192" t="s">
        <v>77</v>
      </c>
      <c r="B1192" t="s">
        <v>127</v>
      </c>
      <c r="C1192" s="1">
        <v>44385.5</v>
      </c>
      <c r="D1192" t="s">
        <v>143</v>
      </c>
      <c r="E1192" t="s">
        <v>111</v>
      </c>
      <c r="F1192">
        <v>31</v>
      </c>
      <c r="G1192">
        <v>0.5</v>
      </c>
    </row>
    <row r="1193" spans="1:7" x14ac:dyDescent="0.3">
      <c r="A1193" t="s">
        <v>77</v>
      </c>
      <c r="B1193" t="s">
        <v>127</v>
      </c>
      <c r="C1193" s="1">
        <v>44385.5</v>
      </c>
      <c r="D1193" t="s">
        <v>144</v>
      </c>
      <c r="E1193" t="s">
        <v>112</v>
      </c>
      <c r="F1193">
        <v>32</v>
      </c>
      <c r="G1193">
        <v>0.5</v>
      </c>
    </row>
    <row r="1194" spans="1:7" x14ac:dyDescent="0.3">
      <c r="A1194" t="s">
        <v>77</v>
      </c>
      <c r="B1194" t="s">
        <v>127</v>
      </c>
      <c r="C1194" s="1">
        <v>44385.5</v>
      </c>
      <c r="D1194" t="s">
        <v>145</v>
      </c>
      <c r="E1194" t="s">
        <v>113</v>
      </c>
      <c r="F1194">
        <v>33</v>
      </c>
      <c r="G1194">
        <v>0.3</v>
      </c>
    </row>
    <row r="1195" spans="1:7" x14ac:dyDescent="0.3">
      <c r="A1195" t="s">
        <v>77</v>
      </c>
      <c r="B1195" t="s">
        <v>127</v>
      </c>
      <c r="C1195" s="1">
        <v>44385.5</v>
      </c>
      <c r="D1195" t="s">
        <v>146</v>
      </c>
      <c r="E1195" t="s">
        <v>114</v>
      </c>
      <c r="F1195">
        <v>34</v>
      </c>
      <c r="G1195">
        <v>0.2</v>
      </c>
    </row>
    <row r="1196" spans="1:7" x14ac:dyDescent="0.3">
      <c r="A1196" t="s">
        <v>77</v>
      </c>
      <c r="B1196" t="s">
        <v>127</v>
      </c>
      <c r="C1196" s="1">
        <v>44385.5</v>
      </c>
      <c r="D1196" t="s">
        <v>147</v>
      </c>
      <c r="E1196" t="s">
        <v>115</v>
      </c>
      <c r="F1196">
        <v>47</v>
      </c>
      <c r="G1196">
        <v>0.1</v>
      </c>
    </row>
    <row r="1197" spans="1:7" x14ac:dyDescent="0.3">
      <c r="A1197" t="s">
        <v>77</v>
      </c>
      <c r="B1197" t="s">
        <v>127</v>
      </c>
      <c r="C1197" s="1">
        <v>44385.5</v>
      </c>
      <c r="D1197" t="s">
        <v>148</v>
      </c>
      <c r="E1197" t="s">
        <v>116</v>
      </c>
      <c r="F1197">
        <v>49</v>
      </c>
      <c r="G1197">
        <v>0.1</v>
      </c>
    </row>
    <row r="1198" spans="1:7" x14ac:dyDescent="0.3">
      <c r="A1198" t="s">
        <v>77</v>
      </c>
      <c r="B1198" t="s">
        <v>127</v>
      </c>
      <c r="C1198" s="1">
        <v>44385.5</v>
      </c>
      <c r="D1198" t="s">
        <v>149</v>
      </c>
      <c r="E1198" t="s">
        <v>117</v>
      </c>
      <c r="F1198">
        <v>35</v>
      </c>
      <c r="G1198">
        <v>0.2</v>
      </c>
    </row>
    <row r="1199" spans="1:7" x14ac:dyDescent="0.3">
      <c r="A1199" t="s">
        <v>77</v>
      </c>
      <c r="B1199" t="s">
        <v>127</v>
      </c>
      <c r="C1199" s="1">
        <v>44385.5</v>
      </c>
      <c r="D1199" t="s">
        <v>150</v>
      </c>
      <c r="E1199" t="s">
        <v>118</v>
      </c>
      <c r="F1199">
        <v>36</v>
      </c>
      <c r="G1199">
        <v>0.2</v>
      </c>
    </row>
    <row r="1200" spans="1:7" x14ac:dyDescent="0.3">
      <c r="A1200" t="s">
        <v>77</v>
      </c>
      <c r="B1200" t="s">
        <v>127</v>
      </c>
      <c r="C1200" s="1">
        <v>44385.5</v>
      </c>
      <c r="D1200" t="s">
        <v>151</v>
      </c>
      <c r="E1200" t="s">
        <v>119</v>
      </c>
      <c r="F1200">
        <v>46</v>
      </c>
      <c r="G1200">
        <v>0.1</v>
      </c>
    </row>
    <row r="1201" spans="1:7" x14ac:dyDescent="0.3">
      <c r="A1201" t="s">
        <v>77</v>
      </c>
      <c r="B1201" t="s">
        <v>127</v>
      </c>
      <c r="C1201" s="1">
        <v>44385.5</v>
      </c>
      <c r="D1201" t="s">
        <v>152</v>
      </c>
      <c r="E1201" t="s">
        <v>120</v>
      </c>
      <c r="F1201">
        <v>37</v>
      </c>
      <c r="G1201">
        <v>0.25</v>
      </c>
    </row>
    <row r="1202" spans="1:7" x14ac:dyDescent="0.3">
      <c r="A1202" t="s">
        <v>77</v>
      </c>
      <c r="B1202" t="s">
        <v>127</v>
      </c>
      <c r="C1202" s="1">
        <v>44385.5</v>
      </c>
      <c r="D1202" t="s">
        <v>153</v>
      </c>
      <c r="E1202" t="s">
        <v>121</v>
      </c>
      <c r="F1202">
        <v>38</v>
      </c>
      <c r="G1202">
        <v>1.25</v>
      </c>
    </row>
    <row r="1203" spans="1:7" x14ac:dyDescent="0.3">
      <c r="A1203" t="s">
        <v>77</v>
      </c>
      <c r="B1203" t="s">
        <v>127</v>
      </c>
      <c r="C1203" s="1">
        <v>44385.5</v>
      </c>
      <c r="D1203" t="s">
        <v>154</v>
      </c>
      <c r="E1203" t="s">
        <v>122</v>
      </c>
      <c r="F1203">
        <v>39</v>
      </c>
      <c r="G1203">
        <v>1.25</v>
      </c>
    </row>
    <row r="1204" spans="1:7" x14ac:dyDescent="0.3">
      <c r="A1204" t="s">
        <v>77</v>
      </c>
      <c r="B1204" t="s">
        <v>127</v>
      </c>
      <c r="C1204" s="1">
        <v>44385.5</v>
      </c>
      <c r="D1204" t="s">
        <v>155</v>
      </c>
      <c r="E1204" t="s">
        <v>123</v>
      </c>
      <c r="F1204">
        <v>19</v>
      </c>
      <c r="G1204">
        <v>0.51</v>
      </c>
    </row>
    <row r="1205" spans="1:7" x14ac:dyDescent="0.3">
      <c r="A1205" t="s">
        <v>77</v>
      </c>
      <c r="B1205" t="s">
        <v>127</v>
      </c>
      <c r="C1205" s="1">
        <v>44385.5</v>
      </c>
      <c r="D1205" t="s">
        <v>156</v>
      </c>
      <c r="E1205" t="s">
        <v>124</v>
      </c>
      <c r="F1205">
        <v>48</v>
      </c>
      <c r="G1205">
        <v>0.1</v>
      </c>
    </row>
    <row r="1206" spans="1:7" x14ac:dyDescent="0.3">
      <c r="A1206" t="s">
        <v>78</v>
      </c>
      <c r="B1206" t="s">
        <v>125</v>
      </c>
      <c r="C1206" s="1">
        <v>44385.5</v>
      </c>
      <c r="D1206" t="s">
        <v>9</v>
      </c>
      <c r="E1206" t="s">
        <v>85</v>
      </c>
      <c r="F1206">
        <v>1</v>
      </c>
      <c r="G1206">
        <v>0.315</v>
      </c>
    </row>
    <row r="1207" spans="1:7" x14ac:dyDescent="0.3">
      <c r="A1207" t="s">
        <v>78</v>
      </c>
      <c r="B1207" t="s">
        <v>125</v>
      </c>
      <c r="C1207" s="1">
        <v>44385.5</v>
      </c>
      <c r="D1207" t="s">
        <v>10</v>
      </c>
      <c r="E1207" t="s">
        <v>86</v>
      </c>
      <c r="F1207">
        <v>2</v>
      </c>
      <c r="G1207">
        <v>0.155</v>
      </c>
    </row>
    <row r="1208" spans="1:7" x14ac:dyDescent="0.3">
      <c r="A1208" t="s">
        <v>78</v>
      </c>
      <c r="B1208" t="s">
        <v>125</v>
      </c>
      <c r="C1208" s="1">
        <v>44385.5</v>
      </c>
      <c r="D1208" t="s">
        <v>12</v>
      </c>
      <c r="E1208" t="s">
        <v>87</v>
      </c>
      <c r="F1208">
        <v>3</v>
      </c>
      <c r="G1208">
        <v>0.24</v>
      </c>
    </row>
    <row r="1209" spans="1:7" x14ac:dyDescent="0.3">
      <c r="A1209" t="s">
        <v>78</v>
      </c>
      <c r="B1209" t="s">
        <v>125</v>
      </c>
      <c r="C1209" s="1">
        <v>44385.5</v>
      </c>
      <c r="D1209" t="s">
        <v>14</v>
      </c>
      <c r="E1209" t="s">
        <v>88</v>
      </c>
      <c r="F1209">
        <v>4</v>
      </c>
      <c r="G1209">
        <v>0.14000000000000001</v>
      </c>
    </row>
    <row r="1210" spans="1:7" x14ac:dyDescent="0.3">
      <c r="A1210" t="s">
        <v>78</v>
      </c>
      <c r="B1210" t="s">
        <v>125</v>
      </c>
      <c r="C1210" s="1">
        <v>44385.5</v>
      </c>
      <c r="D1210" t="s">
        <v>16</v>
      </c>
      <c r="E1210" t="s">
        <v>89</v>
      </c>
      <c r="F1210">
        <v>5</v>
      </c>
      <c r="G1210">
        <v>0.77</v>
      </c>
    </row>
    <row r="1211" spans="1:7" x14ac:dyDescent="0.3">
      <c r="A1211" t="s">
        <v>78</v>
      </c>
      <c r="B1211" t="s">
        <v>125</v>
      </c>
      <c r="C1211" s="1">
        <v>44385.5</v>
      </c>
      <c r="D1211" t="s">
        <v>18</v>
      </c>
      <c r="E1211" t="s">
        <v>90</v>
      </c>
      <c r="F1211">
        <v>6</v>
      </c>
      <c r="G1211">
        <v>0.34</v>
      </c>
    </row>
    <row r="1212" spans="1:7" x14ac:dyDescent="0.3">
      <c r="A1212" t="s">
        <v>78</v>
      </c>
      <c r="B1212" t="s">
        <v>125</v>
      </c>
      <c r="C1212" s="1">
        <v>44385.5</v>
      </c>
      <c r="D1212" t="s">
        <v>129</v>
      </c>
      <c r="E1212" t="s">
        <v>91</v>
      </c>
      <c r="F1212">
        <v>7</v>
      </c>
      <c r="G1212">
        <v>0.3</v>
      </c>
    </row>
    <row r="1213" spans="1:7" x14ac:dyDescent="0.3">
      <c r="A1213" t="s">
        <v>78</v>
      </c>
      <c r="B1213" t="s">
        <v>125</v>
      </c>
      <c r="C1213" s="1">
        <v>44385.5</v>
      </c>
      <c r="D1213" t="s">
        <v>130</v>
      </c>
      <c r="E1213" t="s">
        <v>92</v>
      </c>
      <c r="F1213">
        <v>8</v>
      </c>
      <c r="G1213">
        <v>0.67</v>
      </c>
    </row>
    <row r="1214" spans="1:7" x14ac:dyDescent="0.3">
      <c r="A1214" t="s">
        <v>78</v>
      </c>
      <c r="B1214" t="s">
        <v>125</v>
      </c>
      <c r="C1214" s="1">
        <v>44385.5</v>
      </c>
      <c r="D1214" t="s">
        <v>131</v>
      </c>
      <c r="E1214" t="s">
        <v>93</v>
      </c>
      <c r="F1214">
        <v>9</v>
      </c>
      <c r="G1214">
        <v>0.93</v>
      </c>
    </row>
    <row r="1215" spans="1:7" x14ac:dyDescent="0.3">
      <c r="A1215" t="s">
        <v>78</v>
      </c>
      <c r="B1215" t="s">
        <v>125</v>
      </c>
      <c r="C1215" s="1">
        <v>44385.5</v>
      </c>
      <c r="D1215" t="s">
        <v>132</v>
      </c>
      <c r="E1215" t="s">
        <v>94</v>
      </c>
      <c r="F1215">
        <v>10</v>
      </c>
      <c r="G1215">
        <v>0.77</v>
      </c>
    </row>
    <row r="1216" spans="1:7" x14ac:dyDescent="0.3">
      <c r="A1216" t="s">
        <v>78</v>
      </c>
      <c r="B1216" t="s">
        <v>125</v>
      </c>
      <c r="C1216" s="1">
        <v>44385.5</v>
      </c>
      <c r="D1216" t="s">
        <v>133</v>
      </c>
      <c r="E1216" t="s">
        <v>95</v>
      </c>
      <c r="F1216">
        <v>11</v>
      </c>
      <c r="G1216">
        <v>0.55000000000000004</v>
      </c>
    </row>
    <row r="1217" spans="1:7" x14ac:dyDescent="0.3">
      <c r="A1217" t="s">
        <v>78</v>
      </c>
      <c r="B1217" t="s">
        <v>125</v>
      </c>
      <c r="C1217" s="1">
        <v>44385.5</v>
      </c>
      <c r="D1217" t="s">
        <v>11</v>
      </c>
      <c r="E1217" t="s">
        <v>96</v>
      </c>
      <c r="F1217">
        <v>13</v>
      </c>
      <c r="G1217">
        <v>0.08</v>
      </c>
    </row>
    <row r="1218" spans="1:7" x14ac:dyDescent="0.3">
      <c r="A1218" t="s">
        <v>78</v>
      </c>
      <c r="B1218" t="s">
        <v>125</v>
      </c>
      <c r="C1218" s="1">
        <v>44385.5</v>
      </c>
      <c r="D1218" t="s">
        <v>13</v>
      </c>
      <c r="E1218" t="s">
        <v>97</v>
      </c>
      <c r="F1218">
        <v>14</v>
      </c>
      <c r="G1218">
        <v>0.32</v>
      </c>
    </row>
    <row r="1219" spans="1:7" x14ac:dyDescent="0.3">
      <c r="A1219" t="s">
        <v>78</v>
      </c>
      <c r="B1219" t="s">
        <v>125</v>
      </c>
      <c r="C1219" s="1">
        <v>44385.5</v>
      </c>
      <c r="D1219" t="s">
        <v>15</v>
      </c>
      <c r="E1219" t="s">
        <v>98</v>
      </c>
      <c r="F1219">
        <v>15</v>
      </c>
      <c r="G1219">
        <v>3.7</v>
      </c>
    </row>
    <row r="1220" spans="1:7" x14ac:dyDescent="0.3">
      <c r="A1220" t="s">
        <v>78</v>
      </c>
      <c r="B1220" t="s">
        <v>125</v>
      </c>
      <c r="C1220" s="1">
        <v>44385.5</v>
      </c>
      <c r="D1220" t="s">
        <v>17</v>
      </c>
      <c r="E1220" t="s">
        <v>99</v>
      </c>
      <c r="F1220">
        <v>16</v>
      </c>
      <c r="G1220">
        <v>0.67</v>
      </c>
    </row>
    <row r="1221" spans="1:7" x14ac:dyDescent="0.3">
      <c r="A1221" t="s">
        <v>78</v>
      </c>
      <c r="B1221" t="s">
        <v>125</v>
      </c>
      <c r="C1221" s="1">
        <v>44385.5</v>
      </c>
      <c r="D1221" t="s">
        <v>19</v>
      </c>
      <c r="E1221" t="s">
        <v>100</v>
      </c>
      <c r="F1221">
        <v>17</v>
      </c>
      <c r="G1221">
        <v>77</v>
      </c>
    </row>
    <row r="1222" spans="1:7" x14ac:dyDescent="0.3">
      <c r="A1222" t="s">
        <v>78</v>
      </c>
      <c r="B1222" t="s">
        <v>125</v>
      </c>
      <c r="C1222" s="1">
        <v>44385.5</v>
      </c>
      <c r="D1222" t="s">
        <v>134</v>
      </c>
      <c r="E1222" t="s">
        <v>101</v>
      </c>
      <c r="F1222">
        <v>18</v>
      </c>
      <c r="G1222">
        <v>0.27</v>
      </c>
    </row>
    <row r="1223" spans="1:7" x14ac:dyDescent="0.3">
      <c r="A1223" t="s">
        <v>78</v>
      </c>
      <c r="B1223" t="s">
        <v>125</v>
      </c>
      <c r="C1223" s="1">
        <v>44385.5</v>
      </c>
      <c r="D1223" t="s">
        <v>135</v>
      </c>
      <c r="E1223" t="s">
        <v>102</v>
      </c>
      <c r="F1223">
        <v>20</v>
      </c>
      <c r="G1223">
        <v>0.33</v>
      </c>
    </row>
    <row r="1224" spans="1:7" x14ac:dyDescent="0.3">
      <c r="A1224" t="s">
        <v>78</v>
      </c>
      <c r="B1224" t="s">
        <v>125</v>
      </c>
      <c r="C1224" s="1">
        <v>44385.5</v>
      </c>
      <c r="D1224" t="s">
        <v>136</v>
      </c>
      <c r="E1224" t="s">
        <v>103</v>
      </c>
      <c r="F1224">
        <v>21</v>
      </c>
      <c r="G1224">
        <v>0.315</v>
      </c>
    </row>
    <row r="1225" spans="1:7" x14ac:dyDescent="0.3">
      <c r="A1225" t="s">
        <v>78</v>
      </c>
      <c r="B1225" t="s">
        <v>125</v>
      </c>
      <c r="C1225" s="1">
        <v>44385.5</v>
      </c>
      <c r="D1225" t="s">
        <v>60</v>
      </c>
      <c r="E1225" t="s">
        <v>104</v>
      </c>
      <c r="F1225">
        <v>22</v>
      </c>
      <c r="G1225">
        <v>0.65</v>
      </c>
    </row>
    <row r="1226" spans="1:7" x14ac:dyDescent="0.3">
      <c r="A1226" t="s">
        <v>78</v>
      </c>
      <c r="B1226" t="s">
        <v>125</v>
      </c>
      <c r="C1226" s="1">
        <v>44385.5</v>
      </c>
      <c r="D1226" t="s">
        <v>137</v>
      </c>
      <c r="E1226" t="s">
        <v>105</v>
      </c>
      <c r="F1226">
        <v>23</v>
      </c>
      <c r="G1226">
        <v>0.56000000000000005</v>
      </c>
    </row>
    <row r="1227" spans="1:7" x14ac:dyDescent="0.3">
      <c r="A1227" t="s">
        <v>78</v>
      </c>
      <c r="B1227" t="s">
        <v>125</v>
      </c>
      <c r="C1227" s="1">
        <v>44385.5</v>
      </c>
      <c r="D1227" t="s">
        <v>138</v>
      </c>
      <c r="E1227" t="s">
        <v>106</v>
      </c>
      <c r="F1227">
        <v>27</v>
      </c>
      <c r="G1227">
        <v>0.42</v>
      </c>
    </row>
    <row r="1228" spans="1:7" x14ac:dyDescent="0.3">
      <c r="A1228" t="s">
        <v>78</v>
      </c>
      <c r="B1228" t="s">
        <v>125</v>
      </c>
      <c r="C1228" s="1">
        <v>44385.5</v>
      </c>
      <c r="D1228" t="s">
        <v>139</v>
      </c>
      <c r="E1228" t="s">
        <v>107</v>
      </c>
      <c r="F1228">
        <v>29</v>
      </c>
      <c r="G1228">
        <v>0.08</v>
      </c>
    </row>
    <row r="1229" spans="1:7" x14ac:dyDescent="0.3">
      <c r="A1229" t="s">
        <v>78</v>
      </c>
      <c r="B1229" t="s">
        <v>125</v>
      </c>
      <c r="C1229" s="1">
        <v>44385.5</v>
      </c>
      <c r="D1229" t="s">
        <v>140</v>
      </c>
      <c r="E1229" t="s">
        <v>108</v>
      </c>
      <c r="F1229">
        <v>25</v>
      </c>
      <c r="G1229">
        <v>0.08</v>
      </c>
    </row>
    <row r="1230" spans="1:7" x14ac:dyDescent="0.3">
      <c r="A1230" t="s">
        <v>78</v>
      </c>
      <c r="B1230" t="s">
        <v>125</v>
      </c>
      <c r="C1230" s="1">
        <v>44385.5</v>
      </c>
      <c r="D1230" t="s">
        <v>141</v>
      </c>
      <c r="E1230" t="s">
        <v>109</v>
      </c>
      <c r="F1230">
        <v>30</v>
      </c>
      <c r="G1230">
        <v>0.08</v>
      </c>
    </row>
    <row r="1231" spans="1:7" x14ac:dyDescent="0.3">
      <c r="A1231" t="s">
        <v>78</v>
      </c>
      <c r="B1231" t="s">
        <v>125</v>
      </c>
      <c r="C1231" s="1">
        <v>44385.5</v>
      </c>
      <c r="D1231" t="s">
        <v>142</v>
      </c>
      <c r="E1231" t="s">
        <v>110</v>
      </c>
      <c r="F1231">
        <v>26</v>
      </c>
      <c r="G1231">
        <v>1.5</v>
      </c>
    </row>
    <row r="1232" spans="1:7" x14ac:dyDescent="0.3">
      <c r="A1232" t="s">
        <v>78</v>
      </c>
      <c r="B1232" t="s">
        <v>125</v>
      </c>
      <c r="C1232" s="1">
        <v>44385.5</v>
      </c>
      <c r="D1232" t="s">
        <v>143</v>
      </c>
      <c r="E1232" t="s">
        <v>111</v>
      </c>
      <c r="F1232">
        <v>31</v>
      </c>
      <c r="G1232">
        <v>1.1000000000000001</v>
      </c>
    </row>
    <row r="1233" spans="1:7" x14ac:dyDescent="0.3">
      <c r="A1233" t="s">
        <v>78</v>
      </c>
      <c r="B1233" t="s">
        <v>125</v>
      </c>
      <c r="C1233" s="1">
        <v>44385.5</v>
      </c>
      <c r="D1233" t="s">
        <v>144</v>
      </c>
      <c r="E1233" t="s">
        <v>112</v>
      </c>
      <c r="F1233">
        <v>32</v>
      </c>
      <c r="G1233">
        <v>0.83</v>
      </c>
    </row>
    <row r="1234" spans="1:7" x14ac:dyDescent="0.3">
      <c r="A1234" t="s">
        <v>78</v>
      </c>
      <c r="B1234" t="s">
        <v>125</v>
      </c>
      <c r="C1234" s="1">
        <v>44385.5</v>
      </c>
      <c r="D1234" t="s">
        <v>145</v>
      </c>
      <c r="E1234" t="s">
        <v>113</v>
      </c>
      <c r="F1234">
        <v>33</v>
      </c>
      <c r="G1234">
        <v>0.47</v>
      </c>
    </row>
    <row r="1235" spans="1:7" x14ac:dyDescent="0.3">
      <c r="A1235" t="s">
        <v>78</v>
      </c>
      <c r="B1235" t="s">
        <v>125</v>
      </c>
      <c r="C1235" s="1">
        <v>44385.5</v>
      </c>
      <c r="D1235" t="s">
        <v>146</v>
      </c>
      <c r="E1235" t="s">
        <v>114</v>
      </c>
      <c r="F1235">
        <v>34</v>
      </c>
      <c r="G1235">
        <v>0.315</v>
      </c>
    </row>
    <row r="1236" spans="1:7" x14ac:dyDescent="0.3">
      <c r="A1236" t="s">
        <v>78</v>
      </c>
      <c r="B1236" t="s">
        <v>125</v>
      </c>
      <c r="C1236" s="1">
        <v>44385.5</v>
      </c>
      <c r="D1236" t="s">
        <v>147</v>
      </c>
      <c r="E1236" t="s">
        <v>115</v>
      </c>
      <c r="F1236">
        <v>47</v>
      </c>
      <c r="G1236">
        <v>0.155</v>
      </c>
    </row>
    <row r="1237" spans="1:7" x14ac:dyDescent="0.3">
      <c r="A1237" t="s">
        <v>78</v>
      </c>
      <c r="B1237" t="s">
        <v>125</v>
      </c>
      <c r="C1237" s="1">
        <v>44385.5</v>
      </c>
      <c r="D1237" t="s">
        <v>148</v>
      </c>
      <c r="E1237" t="s">
        <v>116</v>
      </c>
      <c r="F1237">
        <v>49</v>
      </c>
      <c r="G1237">
        <v>0.155</v>
      </c>
    </row>
    <row r="1238" spans="1:7" x14ac:dyDescent="0.3">
      <c r="A1238" t="s">
        <v>78</v>
      </c>
      <c r="B1238" t="s">
        <v>125</v>
      </c>
      <c r="C1238" s="1">
        <v>44385.5</v>
      </c>
      <c r="D1238" t="s">
        <v>149</v>
      </c>
      <c r="E1238" t="s">
        <v>117</v>
      </c>
      <c r="F1238">
        <v>35</v>
      </c>
      <c r="G1238">
        <v>0.315</v>
      </c>
    </row>
    <row r="1239" spans="1:7" x14ac:dyDescent="0.3">
      <c r="A1239" t="s">
        <v>78</v>
      </c>
      <c r="B1239" t="s">
        <v>125</v>
      </c>
      <c r="C1239" s="1">
        <v>44385.5</v>
      </c>
      <c r="D1239" t="s">
        <v>150</v>
      </c>
      <c r="E1239" t="s">
        <v>118</v>
      </c>
      <c r="F1239">
        <v>36</v>
      </c>
      <c r="G1239">
        <v>0.315</v>
      </c>
    </row>
    <row r="1240" spans="1:7" x14ac:dyDescent="0.3">
      <c r="A1240" t="s">
        <v>78</v>
      </c>
      <c r="B1240" t="s">
        <v>125</v>
      </c>
      <c r="C1240" s="1">
        <v>44385.5</v>
      </c>
      <c r="D1240" t="s">
        <v>151</v>
      </c>
      <c r="E1240" t="s">
        <v>119</v>
      </c>
      <c r="F1240">
        <v>46</v>
      </c>
      <c r="G1240">
        <v>0.155</v>
      </c>
    </row>
    <row r="1241" spans="1:7" x14ac:dyDescent="0.3">
      <c r="A1241" t="s">
        <v>78</v>
      </c>
      <c r="B1241" t="s">
        <v>125</v>
      </c>
      <c r="C1241" s="1">
        <v>44385.5</v>
      </c>
      <c r="D1241" t="s">
        <v>152</v>
      </c>
      <c r="E1241" t="s">
        <v>120</v>
      </c>
      <c r="F1241">
        <v>37</v>
      </c>
      <c r="G1241">
        <v>0.39</v>
      </c>
    </row>
    <row r="1242" spans="1:7" x14ac:dyDescent="0.3">
      <c r="A1242" t="s">
        <v>78</v>
      </c>
      <c r="B1242" t="s">
        <v>125</v>
      </c>
      <c r="C1242" s="1">
        <v>44385.5</v>
      </c>
      <c r="D1242" t="s">
        <v>153</v>
      </c>
      <c r="E1242" t="s">
        <v>121</v>
      </c>
      <c r="F1242">
        <v>38</v>
      </c>
      <c r="G1242">
        <v>1.95</v>
      </c>
    </row>
    <row r="1243" spans="1:7" x14ac:dyDescent="0.3">
      <c r="A1243" t="s">
        <v>78</v>
      </c>
      <c r="B1243" t="s">
        <v>125</v>
      </c>
      <c r="C1243" s="1">
        <v>44385.5</v>
      </c>
      <c r="D1243" t="s">
        <v>154</v>
      </c>
      <c r="E1243" t="s">
        <v>122</v>
      </c>
      <c r="F1243">
        <v>39</v>
      </c>
      <c r="G1243">
        <v>1.95</v>
      </c>
    </row>
    <row r="1244" spans="1:7" x14ac:dyDescent="0.3">
      <c r="A1244" t="s">
        <v>78</v>
      </c>
      <c r="B1244" t="s">
        <v>125</v>
      </c>
      <c r="C1244" s="1">
        <v>44385.5</v>
      </c>
      <c r="D1244" t="s">
        <v>155</v>
      </c>
      <c r="E1244" t="s">
        <v>123</v>
      </c>
      <c r="F1244">
        <v>19</v>
      </c>
      <c r="G1244">
        <v>0.67</v>
      </c>
    </row>
    <row r="1245" spans="1:7" x14ac:dyDescent="0.3">
      <c r="A1245" t="s">
        <v>78</v>
      </c>
      <c r="B1245" t="s">
        <v>125</v>
      </c>
      <c r="C1245" s="1">
        <v>44385.5</v>
      </c>
      <c r="D1245" t="s">
        <v>156</v>
      </c>
      <c r="E1245" t="s">
        <v>124</v>
      </c>
      <c r="F1245">
        <v>48</v>
      </c>
      <c r="G1245">
        <v>0.155</v>
      </c>
    </row>
    <row r="1246" spans="1:7" x14ac:dyDescent="0.3">
      <c r="A1246" t="s">
        <v>79</v>
      </c>
      <c r="B1246" t="s">
        <v>128</v>
      </c>
      <c r="C1246" s="1">
        <v>44390.5</v>
      </c>
      <c r="D1246" t="s">
        <v>9</v>
      </c>
      <c r="E1246" t="s">
        <v>85</v>
      </c>
      <c r="F1246">
        <v>1</v>
      </c>
      <c r="G1246">
        <v>0.19500000000000001</v>
      </c>
    </row>
    <row r="1247" spans="1:7" x14ac:dyDescent="0.3">
      <c r="A1247" t="s">
        <v>79</v>
      </c>
      <c r="B1247" t="s">
        <v>128</v>
      </c>
      <c r="C1247" s="1">
        <v>44390.5</v>
      </c>
      <c r="D1247" t="s">
        <v>10</v>
      </c>
      <c r="E1247" t="s">
        <v>86</v>
      </c>
      <c r="F1247">
        <v>2</v>
      </c>
      <c r="G1247">
        <v>0.1</v>
      </c>
    </row>
    <row r="1248" spans="1:7" x14ac:dyDescent="0.3">
      <c r="A1248" t="s">
        <v>79</v>
      </c>
      <c r="B1248" t="s">
        <v>128</v>
      </c>
      <c r="C1248" s="1">
        <v>44390.5</v>
      </c>
      <c r="D1248" t="s">
        <v>12</v>
      </c>
      <c r="E1248" t="s">
        <v>87</v>
      </c>
      <c r="F1248">
        <v>3</v>
      </c>
      <c r="G1248">
        <v>0.09</v>
      </c>
    </row>
    <row r="1249" spans="1:7" x14ac:dyDescent="0.3">
      <c r="A1249" t="s">
        <v>79</v>
      </c>
      <c r="B1249" t="s">
        <v>128</v>
      </c>
      <c r="C1249" s="1">
        <v>44390.5</v>
      </c>
      <c r="D1249" t="s">
        <v>14</v>
      </c>
      <c r="E1249" t="s">
        <v>88</v>
      </c>
      <c r="F1249">
        <v>4</v>
      </c>
      <c r="G1249">
        <v>0.09</v>
      </c>
    </row>
    <row r="1250" spans="1:7" x14ac:dyDescent="0.3">
      <c r="A1250" t="s">
        <v>79</v>
      </c>
      <c r="B1250" t="s">
        <v>128</v>
      </c>
      <c r="C1250" s="1">
        <v>44390.5</v>
      </c>
      <c r="D1250" t="s">
        <v>16</v>
      </c>
      <c r="E1250" t="s">
        <v>89</v>
      </c>
      <c r="F1250">
        <v>5</v>
      </c>
      <c r="G1250">
        <v>0.11</v>
      </c>
    </row>
    <row r="1251" spans="1:7" x14ac:dyDescent="0.3">
      <c r="A1251" t="s">
        <v>79</v>
      </c>
      <c r="B1251" t="s">
        <v>128</v>
      </c>
      <c r="C1251" s="1">
        <v>44390.5</v>
      </c>
      <c r="D1251" t="s">
        <v>18</v>
      </c>
      <c r="E1251" t="s">
        <v>90</v>
      </c>
      <c r="F1251">
        <v>6</v>
      </c>
      <c r="G1251">
        <v>0.11</v>
      </c>
    </row>
    <row r="1252" spans="1:7" x14ac:dyDescent="0.3">
      <c r="A1252" t="s">
        <v>79</v>
      </c>
      <c r="B1252" t="s">
        <v>128</v>
      </c>
      <c r="C1252" s="1">
        <v>44390.5</v>
      </c>
      <c r="D1252" t="s">
        <v>129</v>
      </c>
      <c r="E1252" t="s">
        <v>91</v>
      </c>
      <c r="F1252">
        <v>7</v>
      </c>
      <c r="G1252">
        <v>6.2E-2</v>
      </c>
    </row>
    <row r="1253" spans="1:7" x14ac:dyDescent="0.3">
      <c r="A1253" t="s">
        <v>79</v>
      </c>
      <c r="B1253" t="s">
        <v>128</v>
      </c>
      <c r="C1253" s="1">
        <v>44390.5</v>
      </c>
      <c r="D1253" t="s">
        <v>130</v>
      </c>
      <c r="E1253" t="s">
        <v>92</v>
      </c>
      <c r="F1253">
        <v>8</v>
      </c>
      <c r="G1253">
        <v>9.0999999999999998E-2</v>
      </c>
    </row>
    <row r="1254" spans="1:7" x14ac:dyDescent="0.3">
      <c r="A1254" t="s">
        <v>79</v>
      </c>
      <c r="B1254" t="s">
        <v>128</v>
      </c>
      <c r="C1254" s="1">
        <v>44390.5</v>
      </c>
      <c r="D1254" t="s">
        <v>131</v>
      </c>
      <c r="E1254" t="s">
        <v>93</v>
      </c>
      <c r="F1254">
        <v>9</v>
      </c>
      <c r="G1254">
        <v>4.9000000000000002E-2</v>
      </c>
    </row>
    <row r="1255" spans="1:7" x14ac:dyDescent="0.3">
      <c r="A1255" t="s">
        <v>79</v>
      </c>
      <c r="B1255" t="s">
        <v>128</v>
      </c>
      <c r="C1255" s="1">
        <v>44390.5</v>
      </c>
      <c r="D1255" t="s">
        <v>132</v>
      </c>
      <c r="E1255" t="s">
        <v>94</v>
      </c>
      <c r="F1255">
        <v>10</v>
      </c>
      <c r="G1255">
        <v>4.9000000000000002E-2</v>
      </c>
    </row>
    <row r="1256" spans="1:7" x14ac:dyDescent="0.3">
      <c r="A1256" t="s">
        <v>79</v>
      </c>
      <c r="B1256" t="s">
        <v>128</v>
      </c>
      <c r="C1256" s="1">
        <v>44390.5</v>
      </c>
      <c r="D1256" t="s">
        <v>133</v>
      </c>
      <c r="E1256" t="s">
        <v>95</v>
      </c>
      <c r="F1256">
        <v>11</v>
      </c>
      <c r="G1256">
        <v>4.9000000000000002E-2</v>
      </c>
    </row>
    <row r="1257" spans="1:7" x14ac:dyDescent="0.3">
      <c r="A1257" t="s">
        <v>79</v>
      </c>
      <c r="B1257" t="s">
        <v>128</v>
      </c>
      <c r="C1257" s="1">
        <v>44390.5</v>
      </c>
      <c r="D1257" t="s">
        <v>11</v>
      </c>
      <c r="E1257" t="s">
        <v>96</v>
      </c>
      <c r="F1257">
        <v>13</v>
      </c>
      <c r="G1257">
        <v>4.9000000000000002E-2</v>
      </c>
    </row>
    <row r="1258" spans="1:7" x14ac:dyDescent="0.3">
      <c r="A1258" t="s">
        <v>79</v>
      </c>
      <c r="B1258" t="s">
        <v>128</v>
      </c>
      <c r="C1258" s="1">
        <v>44390.5</v>
      </c>
      <c r="D1258" t="s">
        <v>13</v>
      </c>
      <c r="E1258" t="s">
        <v>97</v>
      </c>
      <c r="F1258">
        <v>14</v>
      </c>
      <c r="G1258">
        <v>4.9000000000000002E-2</v>
      </c>
    </row>
    <row r="1259" spans="1:7" x14ac:dyDescent="0.3">
      <c r="A1259" t="s">
        <v>79</v>
      </c>
      <c r="B1259" t="s">
        <v>128</v>
      </c>
      <c r="C1259" s="1">
        <v>44390.5</v>
      </c>
      <c r="D1259" t="s">
        <v>15</v>
      </c>
      <c r="E1259" t="s">
        <v>98</v>
      </c>
      <c r="F1259">
        <v>15</v>
      </c>
      <c r="G1259">
        <v>0.23</v>
      </c>
    </row>
    <row r="1260" spans="1:7" x14ac:dyDescent="0.3">
      <c r="A1260" t="s">
        <v>79</v>
      </c>
      <c r="B1260" t="s">
        <v>128</v>
      </c>
      <c r="C1260" s="1">
        <v>44390.5</v>
      </c>
      <c r="D1260" t="s">
        <v>17</v>
      </c>
      <c r="E1260" t="s">
        <v>99</v>
      </c>
      <c r="F1260">
        <v>16</v>
      </c>
      <c r="G1260">
        <v>4.9000000000000002E-2</v>
      </c>
    </row>
    <row r="1261" spans="1:7" x14ac:dyDescent="0.3">
      <c r="A1261" t="s">
        <v>79</v>
      </c>
      <c r="B1261" t="s">
        <v>128</v>
      </c>
      <c r="C1261" s="1">
        <v>44390.5</v>
      </c>
      <c r="D1261" t="s">
        <v>19</v>
      </c>
      <c r="E1261" t="s">
        <v>100</v>
      </c>
      <c r="F1261">
        <v>17</v>
      </c>
      <c r="G1261">
        <v>6.3</v>
      </c>
    </row>
    <row r="1262" spans="1:7" x14ac:dyDescent="0.3">
      <c r="A1262" t="s">
        <v>79</v>
      </c>
      <c r="B1262" t="s">
        <v>128</v>
      </c>
      <c r="C1262" s="1">
        <v>44390.5</v>
      </c>
      <c r="D1262" t="s">
        <v>134</v>
      </c>
      <c r="E1262" t="s">
        <v>101</v>
      </c>
      <c r="F1262">
        <v>18</v>
      </c>
      <c r="G1262">
        <v>4.9000000000000002E-2</v>
      </c>
    </row>
    <row r="1263" spans="1:7" x14ac:dyDescent="0.3">
      <c r="A1263" t="s">
        <v>79</v>
      </c>
      <c r="B1263" t="s">
        <v>128</v>
      </c>
      <c r="C1263" s="1">
        <v>44390.5</v>
      </c>
      <c r="D1263" t="s">
        <v>135</v>
      </c>
      <c r="E1263" t="s">
        <v>102</v>
      </c>
      <c r="F1263">
        <v>20</v>
      </c>
      <c r="G1263">
        <v>4.9000000000000002E-2</v>
      </c>
    </row>
    <row r="1264" spans="1:7" x14ac:dyDescent="0.3">
      <c r="A1264" t="s">
        <v>79</v>
      </c>
      <c r="B1264" t="s">
        <v>128</v>
      </c>
      <c r="C1264" s="1">
        <v>44390.5</v>
      </c>
      <c r="D1264" t="s">
        <v>136</v>
      </c>
      <c r="E1264" t="s">
        <v>103</v>
      </c>
      <c r="F1264">
        <v>21</v>
      </c>
      <c r="G1264">
        <v>0.19500000000000001</v>
      </c>
    </row>
    <row r="1265" spans="1:7" x14ac:dyDescent="0.3">
      <c r="A1265" t="s">
        <v>79</v>
      </c>
      <c r="B1265" t="s">
        <v>128</v>
      </c>
      <c r="C1265" s="1">
        <v>44390.5</v>
      </c>
      <c r="D1265" t="s">
        <v>60</v>
      </c>
      <c r="E1265" t="s">
        <v>104</v>
      </c>
      <c r="F1265">
        <v>22</v>
      </c>
      <c r="G1265">
        <v>0.39500000000000002</v>
      </c>
    </row>
    <row r="1266" spans="1:7" x14ac:dyDescent="0.3">
      <c r="A1266" t="s">
        <v>79</v>
      </c>
      <c r="B1266" t="s">
        <v>128</v>
      </c>
      <c r="C1266" s="1">
        <v>44390.5</v>
      </c>
      <c r="D1266" t="s">
        <v>137</v>
      </c>
      <c r="E1266" t="s">
        <v>105</v>
      </c>
      <c r="F1266">
        <v>23</v>
      </c>
      <c r="G1266">
        <v>0.39500000000000002</v>
      </c>
    </row>
    <row r="1267" spans="1:7" x14ac:dyDescent="0.3">
      <c r="A1267" t="s">
        <v>79</v>
      </c>
      <c r="B1267" t="s">
        <v>128</v>
      </c>
      <c r="C1267" s="1">
        <v>44390.5</v>
      </c>
      <c r="D1267" t="s">
        <v>138</v>
      </c>
      <c r="E1267" t="s">
        <v>106</v>
      </c>
      <c r="F1267">
        <v>27</v>
      </c>
      <c r="G1267">
        <v>0.09</v>
      </c>
    </row>
    <row r="1268" spans="1:7" x14ac:dyDescent="0.3">
      <c r="A1268" t="s">
        <v>79</v>
      </c>
      <c r="B1268" t="s">
        <v>128</v>
      </c>
      <c r="C1268" s="1">
        <v>44390.5</v>
      </c>
      <c r="D1268" t="s">
        <v>139</v>
      </c>
      <c r="E1268" t="s">
        <v>107</v>
      </c>
      <c r="F1268">
        <v>29</v>
      </c>
      <c r="G1268">
        <v>4.9000000000000002E-2</v>
      </c>
    </row>
    <row r="1269" spans="1:7" x14ac:dyDescent="0.3">
      <c r="A1269" t="s">
        <v>79</v>
      </c>
      <c r="B1269" t="s">
        <v>128</v>
      </c>
      <c r="C1269" s="1">
        <v>44390.5</v>
      </c>
      <c r="D1269" t="s">
        <v>140</v>
      </c>
      <c r="E1269" t="s">
        <v>108</v>
      </c>
      <c r="F1269">
        <v>25</v>
      </c>
      <c r="G1269">
        <v>4.9000000000000002E-2</v>
      </c>
    </row>
    <row r="1270" spans="1:7" x14ac:dyDescent="0.3">
      <c r="A1270" t="s">
        <v>79</v>
      </c>
      <c r="B1270" t="s">
        <v>128</v>
      </c>
      <c r="C1270" s="1">
        <v>44390.5</v>
      </c>
      <c r="D1270" t="s">
        <v>141</v>
      </c>
      <c r="E1270" t="s">
        <v>109</v>
      </c>
      <c r="F1270">
        <v>30</v>
      </c>
      <c r="G1270">
        <v>4.9000000000000002E-2</v>
      </c>
    </row>
    <row r="1271" spans="1:7" x14ac:dyDescent="0.3">
      <c r="A1271" t="s">
        <v>79</v>
      </c>
      <c r="B1271" t="s">
        <v>128</v>
      </c>
      <c r="C1271" s="1">
        <v>44390.5</v>
      </c>
      <c r="D1271" t="s">
        <v>142</v>
      </c>
      <c r="E1271" t="s">
        <v>110</v>
      </c>
      <c r="F1271">
        <v>26</v>
      </c>
      <c r="G1271">
        <v>4.9000000000000002E-2</v>
      </c>
    </row>
    <row r="1272" spans="1:7" x14ac:dyDescent="0.3">
      <c r="A1272" t="s">
        <v>79</v>
      </c>
      <c r="B1272" t="s">
        <v>128</v>
      </c>
      <c r="C1272" s="1">
        <v>44390.5</v>
      </c>
      <c r="D1272" t="s">
        <v>143</v>
      </c>
      <c r="E1272" t="s">
        <v>111</v>
      </c>
      <c r="F1272">
        <v>31</v>
      </c>
      <c r="G1272">
        <v>0.49</v>
      </c>
    </row>
    <row r="1273" spans="1:7" x14ac:dyDescent="0.3">
      <c r="A1273" t="s">
        <v>79</v>
      </c>
      <c r="B1273" t="s">
        <v>128</v>
      </c>
      <c r="C1273" s="1">
        <v>44390.5</v>
      </c>
      <c r="D1273" t="s">
        <v>144</v>
      </c>
      <c r="E1273" t="s">
        <v>112</v>
      </c>
      <c r="F1273">
        <v>32</v>
      </c>
      <c r="G1273">
        <v>0.49</v>
      </c>
    </row>
    <row r="1274" spans="1:7" x14ac:dyDescent="0.3">
      <c r="A1274" t="s">
        <v>79</v>
      </c>
      <c r="B1274" t="s">
        <v>128</v>
      </c>
      <c r="C1274" s="1">
        <v>44390.5</v>
      </c>
      <c r="D1274" t="s">
        <v>145</v>
      </c>
      <c r="E1274" t="s">
        <v>113</v>
      </c>
      <c r="F1274">
        <v>33</v>
      </c>
      <c r="G1274">
        <v>0.29499999999999998</v>
      </c>
    </row>
    <row r="1275" spans="1:7" x14ac:dyDescent="0.3">
      <c r="A1275" t="s">
        <v>79</v>
      </c>
      <c r="B1275" t="s">
        <v>128</v>
      </c>
      <c r="C1275" s="1">
        <v>44390.5</v>
      </c>
      <c r="D1275" t="s">
        <v>146</v>
      </c>
      <c r="E1275" t="s">
        <v>114</v>
      </c>
      <c r="F1275">
        <v>34</v>
      </c>
      <c r="G1275">
        <v>0.19500000000000001</v>
      </c>
    </row>
    <row r="1276" spans="1:7" x14ac:dyDescent="0.3">
      <c r="A1276" t="s">
        <v>79</v>
      </c>
      <c r="B1276" t="s">
        <v>128</v>
      </c>
      <c r="C1276" s="1">
        <v>44390.5</v>
      </c>
      <c r="D1276" t="s">
        <v>147</v>
      </c>
      <c r="E1276" t="s">
        <v>115</v>
      </c>
      <c r="F1276">
        <v>47</v>
      </c>
      <c r="G1276">
        <v>0.1</v>
      </c>
    </row>
    <row r="1277" spans="1:7" x14ac:dyDescent="0.3">
      <c r="A1277" t="s">
        <v>79</v>
      </c>
      <c r="B1277" t="s">
        <v>128</v>
      </c>
      <c r="C1277" s="1">
        <v>44390.5</v>
      </c>
      <c r="D1277" t="s">
        <v>148</v>
      </c>
      <c r="E1277" t="s">
        <v>116</v>
      </c>
      <c r="F1277">
        <v>49</v>
      </c>
      <c r="G1277">
        <v>0.1</v>
      </c>
    </row>
    <row r="1278" spans="1:7" x14ac:dyDescent="0.3">
      <c r="A1278" t="s">
        <v>79</v>
      </c>
      <c r="B1278" t="s">
        <v>128</v>
      </c>
      <c r="C1278" s="1">
        <v>44390.5</v>
      </c>
      <c r="D1278" t="s">
        <v>149</v>
      </c>
      <c r="E1278" t="s">
        <v>117</v>
      </c>
      <c r="F1278">
        <v>35</v>
      </c>
      <c r="G1278">
        <v>0.19500000000000001</v>
      </c>
    </row>
    <row r="1279" spans="1:7" x14ac:dyDescent="0.3">
      <c r="A1279" t="s">
        <v>79</v>
      </c>
      <c r="B1279" t="s">
        <v>128</v>
      </c>
      <c r="C1279" s="1">
        <v>44390.5</v>
      </c>
      <c r="D1279" t="s">
        <v>150</v>
      </c>
      <c r="E1279" t="s">
        <v>118</v>
      </c>
      <c r="F1279">
        <v>36</v>
      </c>
      <c r="G1279">
        <v>0.19500000000000001</v>
      </c>
    </row>
    <row r="1280" spans="1:7" x14ac:dyDescent="0.3">
      <c r="A1280" t="s">
        <v>79</v>
      </c>
      <c r="B1280" t="s">
        <v>128</v>
      </c>
      <c r="C1280" s="1">
        <v>44390.5</v>
      </c>
      <c r="D1280" t="s">
        <v>151</v>
      </c>
      <c r="E1280" t="s">
        <v>119</v>
      </c>
      <c r="F1280">
        <v>46</v>
      </c>
      <c r="G1280">
        <v>0.1</v>
      </c>
    </row>
    <row r="1281" spans="1:7" x14ac:dyDescent="0.3">
      <c r="A1281" t="s">
        <v>79</v>
      </c>
      <c r="B1281" t="s">
        <v>128</v>
      </c>
      <c r="C1281" s="1">
        <v>44390.5</v>
      </c>
      <c r="D1281" t="s">
        <v>152</v>
      </c>
      <c r="E1281" t="s">
        <v>120</v>
      </c>
      <c r="F1281">
        <v>37</v>
      </c>
      <c r="G1281">
        <v>0.245</v>
      </c>
    </row>
    <row r="1282" spans="1:7" x14ac:dyDescent="0.3">
      <c r="A1282" t="s">
        <v>79</v>
      </c>
      <c r="B1282" t="s">
        <v>128</v>
      </c>
      <c r="C1282" s="1">
        <v>44390.5</v>
      </c>
      <c r="D1282" t="s">
        <v>153</v>
      </c>
      <c r="E1282" t="s">
        <v>121</v>
      </c>
      <c r="F1282">
        <v>38</v>
      </c>
      <c r="G1282">
        <v>1.25</v>
      </c>
    </row>
    <row r="1283" spans="1:7" x14ac:dyDescent="0.3">
      <c r="A1283" t="s">
        <v>79</v>
      </c>
      <c r="B1283" t="s">
        <v>128</v>
      </c>
      <c r="C1283" s="1">
        <v>44390.5</v>
      </c>
      <c r="D1283" t="s">
        <v>154</v>
      </c>
      <c r="E1283" t="s">
        <v>122</v>
      </c>
      <c r="F1283">
        <v>39</v>
      </c>
      <c r="G1283">
        <v>1.25</v>
      </c>
    </row>
    <row r="1284" spans="1:7" x14ac:dyDescent="0.3">
      <c r="A1284" t="s">
        <v>79</v>
      </c>
      <c r="B1284" t="s">
        <v>128</v>
      </c>
      <c r="C1284" s="1">
        <v>44390.5</v>
      </c>
      <c r="D1284" t="s">
        <v>155</v>
      </c>
      <c r="E1284" t="s">
        <v>123</v>
      </c>
      <c r="F1284">
        <v>19</v>
      </c>
      <c r="G1284">
        <v>4.9000000000000002E-2</v>
      </c>
    </row>
    <row r="1285" spans="1:7" x14ac:dyDescent="0.3">
      <c r="A1285" t="s">
        <v>79</v>
      </c>
      <c r="B1285" t="s">
        <v>128</v>
      </c>
      <c r="C1285" s="1">
        <v>44390.5</v>
      </c>
      <c r="D1285" t="s">
        <v>156</v>
      </c>
      <c r="E1285" t="s">
        <v>124</v>
      </c>
      <c r="F1285">
        <v>48</v>
      </c>
      <c r="G1285">
        <v>0.1</v>
      </c>
    </row>
    <row r="1286" spans="1:7" x14ac:dyDescent="0.3">
      <c r="A1286" t="s">
        <v>80</v>
      </c>
      <c r="B1286" t="s">
        <v>126</v>
      </c>
      <c r="C1286" s="1">
        <v>44390.5</v>
      </c>
      <c r="D1286" t="s">
        <v>9</v>
      </c>
      <c r="E1286" t="s">
        <v>85</v>
      </c>
      <c r="F1286">
        <v>1</v>
      </c>
      <c r="G1286">
        <v>0.2</v>
      </c>
    </row>
    <row r="1287" spans="1:7" x14ac:dyDescent="0.3">
      <c r="A1287" t="s">
        <v>80</v>
      </c>
      <c r="B1287" t="s">
        <v>126</v>
      </c>
      <c r="C1287" s="1">
        <v>44390.5</v>
      </c>
      <c r="D1287" t="s">
        <v>10</v>
      </c>
      <c r="E1287" t="s">
        <v>86</v>
      </c>
      <c r="F1287">
        <v>2</v>
      </c>
      <c r="G1287">
        <v>0.1</v>
      </c>
    </row>
    <row r="1288" spans="1:7" x14ac:dyDescent="0.3">
      <c r="A1288" t="s">
        <v>80</v>
      </c>
      <c r="B1288" t="s">
        <v>126</v>
      </c>
      <c r="C1288" s="1">
        <v>44390.5</v>
      </c>
      <c r="D1288" t="s">
        <v>12</v>
      </c>
      <c r="E1288" t="s">
        <v>87</v>
      </c>
      <c r="F1288">
        <v>3</v>
      </c>
      <c r="G1288">
        <v>0.15</v>
      </c>
    </row>
    <row r="1289" spans="1:7" x14ac:dyDescent="0.3">
      <c r="A1289" t="s">
        <v>80</v>
      </c>
      <c r="B1289" t="s">
        <v>126</v>
      </c>
      <c r="C1289" s="1">
        <v>44390.5</v>
      </c>
      <c r="D1289" t="s">
        <v>14</v>
      </c>
      <c r="E1289" t="s">
        <v>88</v>
      </c>
      <c r="F1289">
        <v>4</v>
      </c>
      <c r="G1289">
        <v>0.09</v>
      </c>
    </row>
    <row r="1290" spans="1:7" x14ac:dyDescent="0.3">
      <c r="A1290" t="s">
        <v>80</v>
      </c>
      <c r="B1290" t="s">
        <v>126</v>
      </c>
      <c r="C1290" s="1">
        <v>44390.5</v>
      </c>
      <c r="D1290" t="s">
        <v>16</v>
      </c>
      <c r="E1290" t="s">
        <v>89</v>
      </c>
      <c r="F1290">
        <v>5</v>
      </c>
      <c r="G1290">
        <v>0.27</v>
      </c>
    </row>
    <row r="1291" spans="1:7" x14ac:dyDescent="0.3">
      <c r="A1291" t="s">
        <v>80</v>
      </c>
      <c r="B1291" t="s">
        <v>126</v>
      </c>
      <c r="C1291" s="1">
        <v>44390.5</v>
      </c>
      <c r="D1291" t="s">
        <v>18</v>
      </c>
      <c r="E1291" t="s">
        <v>90</v>
      </c>
      <c r="F1291">
        <v>6</v>
      </c>
      <c r="G1291">
        <v>8.8999999999999996E-2</v>
      </c>
    </row>
    <row r="1292" spans="1:7" x14ac:dyDescent="0.3">
      <c r="A1292" t="s">
        <v>80</v>
      </c>
      <c r="B1292" t="s">
        <v>126</v>
      </c>
      <c r="C1292" s="1">
        <v>44390.5</v>
      </c>
      <c r="D1292" t="s">
        <v>129</v>
      </c>
      <c r="E1292" t="s">
        <v>91</v>
      </c>
      <c r="F1292">
        <v>7</v>
      </c>
      <c r="G1292">
        <v>6.3E-2</v>
      </c>
    </row>
    <row r="1293" spans="1:7" x14ac:dyDescent="0.3">
      <c r="A1293" t="s">
        <v>80</v>
      </c>
      <c r="B1293" t="s">
        <v>126</v>
      </c>
      <c r="C1293" s="1">
        <v>44390.5</v>
      </c>
      <c r="D1293" t="s">
        <v>130</v>
      </c>
      <c r="E1293" t="s">
        <v>92</v>
      </c>
      <c r="F1293">
        <v>8</v>
      </c>
      <c r="G1293">
        <v>0.19</v>
      </c>
    </row>
    <row r="1294" spans="1:7" x14ac:dyDescent="0.3">
      <c r="A1294" t="s">
        <v>80</v>
      </c>
      <c r="B1294" t="s">
        <v>126</v>
      </c>
      <c r="C1294" s="1">
        <v>44390.5</v>
      </c>
      <c r="D1294" t="s">
        <v>131</v>
      </c>
      <c r="E1294" t="s">
        <v>93</v>
      </c>
      <c r="F1294">
        <v>9</v>
      </c>
      <c r="G1294">
        <v>0.47</v>
      </c>
    </row>
    <row r="1295" spans="1:7" x14ac:dyDescent="0.3">
      <c r="A1295" t="s">
        <v>80</v>
      </c>
      <c r="B1295" t="s">
        <v>126</v>
      </c>
      <c r="C1295" s="1">
        <v>44390.5</v>
      </c>
      <c r="D1295" t="s">
        <v>132</v>
      </c>
      <c r="E1295" t="s">
        <v>94</v>
      </c>
      <c r="F1295">
        <v>10</v>
      </c>
      <c r="G1295">
        <v>0.53</v>
      </c>
    </row>
    <row r="1296" spans="1:7" x14ac:dyDescent="0.3">
      <c r="A1296" t="s">
        <v>80</v>
      </c>
      <c r="B1296" t="s">
        <v>126</v>
      </c>
      <c r="C1296" s="1">
        <v>44390.5</v>
      </c>
      <c r="D1296" t="s">
        <v>133</v>
      </c>
      <c r="E1296" t="s">
        <v>95</v>
      </c>
      <c r="F1296">
        <v>11</v>
      </c>
      <c r="G1296">
        <v>0.36</v>
      </c>
    </row>
    <row r="1297" spans="1:7" x14ac:dyDescent="0.3">
      <c r="A1297" t="s">
        <v>80</v>
      </c>
      <c r="B1297" t="s">
        <v>126</v>
      </c>
      <c r="C1297" s="1">
        <v>44390.5</v>
      </c>
      <c r="D1297" t="s">
        <v>11</v>
      </c>
      <c r="E1297" t="s">
        <v>96</v>
      </c>
      <c r="F1297">
        <v>13</v>
      </c>
      <c r="G1297">
        <v>4.9500000000000002E-2</v>
      </c>
    </row>
    <row r="1298" spans="1:7" x14ac:dyDescent="0.3">
      <c r="A1298" t="s">
        <v>80</v>
      </c>
      <c r="B1298" t="s">
        <v>126</v>
      </c>
      <c r="C1298" s="1">
        <v>44390.5</v>
      </c>
      <c r="D1298" t="s">
        <v>13</v>
      </c>
      <c r="E1298" t="s">
        <v>97</v>
      </c>
      <c r="F1298">
        <v>14</v>
      </c>
      <c r="G1298">
        <v>4.9500000000000002E-2</v>
      </c>
    </row>
    <row r="1299" spans="1:7" x14ac:dyDescent="0.3">
      <c r="A1299" t="s">
        <v>80</v>
      </c>
      <c r="B1299" t="s">
        <v>126</v>
      </c>
      <c r="C1299" s="1">
        <v>44390.5</v>
      </c>
      <c r="D1299" t="s">
        <v>15</v>
      </c>
      <c r="E1299" t="s">
        <v>98</v>
      </c>
      <c r="F1299">
        <v>15</v>
      </c>
      <c r="G1299">
        <v>0.56999999999999995</v>
      </c>
    </row>
    <row r="1300" spans="1:7" x14ac:dyDescent="0.3">
      <c r="A1300" t="s">
        <v>80</v>
      </c>
      <c r="B1300" t="s">
        <v>126</v>
      </c>
      <c r="C1300" s="1">
        <v>44390.5</v>
      </c>
      <c r="D1300" t="s">
        <v>17</v>
      </c>
      <c r="E1300" t="s">
        <v>99</v>
      </c>
      <c r="F1300">
        <v>16</v>
      </c>
      <c r="G1300">
        <v>4.9500000000000002E-2</v>
      </c>
    </row>
    <row r="1301" spans="1:7" x14ac:dyDescent="0.3">
      <c r="A1301" t="s">
        <v>80</v>
      </c>
      <c r="B1301" t="s">
        <v>126</v>
      </c>
      <c r="C1301" s="1">
        <v>44390.5</v>
      </c>
      <c r="D1301" t="s">
        <v>19</v>
      </c>
      <c r="E1301" t="s">
        <v>100</v>
      </c>
      <c r="F1301">
        <v>17</v>
      </c>
      <c r="G1301">
        <v>10</v>
      </c>
    </row>
    <row r="1302" spans="1:7" x14ac:dyDescent="0.3">
      <c r="A1302" t="s">
        <v>80</v>
      </c>
      <c r="B1302" t="s">
        <v>126</v>
      </c>
      <c r="C1302" s="1">
        <v>44390.5</v>
      </c>
      <c r="D1302" t="s">
        <v>134</v>
      </c>
      <c r="E1302" t="s">
        <v>101</v>
      </c>
      <c r="F1302">
        <v>18</v>
      </c>
      <c r="G1302">
        <v>4.9500000000000002E-2</v>
      </c>
    </row>
    <row r="1303" spans="1:7" x14ac:dyDescent="0.3">
      <c r="A1303" t="s">
        <v>80</v>
      </c>
      <c r="B1303" t="s">
        <v>126</v>
      </c>
      <c r="C1303" s="1">
        <v>44390.5</v>
      </c>
      <c r="D1303" t="s">
        <v>135</v>
      </c>
      <c r="E1303" t="s">
        <v>102</v>
      </c>
      <c r="F1303">
        <v>20</v>
      </c>
      <c r="G1303">
        <v>0.28000000000000003</v>
      </c>
    </row>
    <row r="1304" spans="1:7" x14ac:dyDescent="0.3">
      <c r="A1304" t="s">
        <v>80</v>
      </c>
      <c r="B1304" t="s">
        <v>126</v>
      </c>
      <c r="C1304" s="1">
        <v>44390.5</v>
      </c>
      <c r="D1304" t="s">
        <v>136</v>
      </c>
      <c r="E1304" t="s">
        <v>103</v>
      </c>
      <c r="F1304">
        <v>21</v>
      </c>
      <c r="G1304">
        <v>0.2</v>
      </c>
    </row>
    <row r="1305" spans="1:7" x14ac:dyDescent="0.3">
      <c r="A1305" t="s">
        <v>80</v>
      </c>
      <c r="B1305" t="s">
        <v>126</v>
      </c>
      <c r="C1305" s="1">
        <v>44390.5</v>
      </c>
      <c r="D1305" t="s">
        <v>60</v>
      </c>
      <c r="E1305" t="s">
        <v>104</v>
      </c>
      <c r="F1305">
        <v>22</v>
      </c>
      <c r="G1305">
        <v>0.43</v>
      </c>
    </row>
    <row r="1306" spans="1:7" x14ac:dyDescent="0.3">
      <c r="A1306" t="s">
        <v>80</v>
      </c>
      <c r="B1306" t="s">
        <v>126</v>
      </c>
      <c r="C1306" s="1">
        <v>44390.5</v>
      </c>
      <c r="D1306" t="s">
        <v>137</v>
      </c>
      <c r="E1306" t="s">
        <v>105</v>
      </c>
      <c r="F1306">
        <v>23</v>
      </c>
      <c r="G1306">
        <v>0.4</v>
      </c>
    </row>
    <row r="1307" spans="1:7" x14ac:dyDescent="0.3">
      <c r="A1307" t="s">
        <v>80</v>
      </c>
      <c r="B1307" t="s">
        <v>126</v>
      </c>
      <c r="C1307" s="1">
        <v>44390.5</v>
      </c>
      <c r="D1307" t="s">
        <v>138</v>
      </c>
      <c r="E1307" t="s">
        <v>106</v>
      </c>
      <c r="F1307">
        <v>27</v>
      </c>
      <c r="G1307">
        <v>0.28999999999999998</v>
      </c>
    </row>
    <row r="1308" spans="1:7" x14ac:dyDescent="0.3">
      <c r="A1308" t="s">
        <v>80</v>
      </c>
      <c r="B1308" t="s">
        <v>126</v>
      </c>
      <c r="C1308" s="1">
        <v>44390.5</v>
      </c>
      <c r="D1308" t="s">
        <v>139</v>
      </c>
      <c r="E1308" t="s">
        <v>107</v>
      </c>
      <c r="F1308">
        <v>29</v>
      </c>
      <c r="G1308">
        <v>4.9500000000000002E-2</v>
      </c>
    </row>
    <row r="1309" spans="1:7" x14ac:dyDescent="0.3">
      <c r="A1309" t="s">
        <v>80</v>
      </c>
      <c r="B1309" t="s">
        <v>126</v>
      </c>
      <c r="C1309" s="1">
        <v>44390.5</v>
      </c>
      <c r="D1309" t="s">
        <v>140</v>
      </c>
      <c r="E1309" t="s">
        <v>108</v>
      </c>
      <c r="F1309">
        <v>25</v>
      </c>
      <c r="G1309">
        <v>4.9500000000000002E-2</v>
      </c>
    </row>
    <row r="1310" spans="1:7" x14ac:dyDescent="0.3">
      <c r="A1310" t="s">
        <v>80</v>
      </c>
      <c r="B1310" t="s">
        <v>126</v>
      </c>
      <c r="C1310" s="1">
        <v>44390.5</v>
      </c>
      <c r="D1310" t="s">
        <v>141</v>
      </c>
      <c r="E1310" t="s">
        <v>109</v>
      </c>
      <c r="F1310">
        <v>30</v>
      </c>
      <c r="G1310">
        <v>4.9500000000000002E-2</v>
      </c>
    </row>
    <row r="1311" spans="1:7" x14ac:dyDescent="0.3">
      <c r="A1311" t="s">
        <v>80</v>
      </c>
      <c r="B1311" t="s">
        <v>126</v>
      </c>
      <c r="C1311" s="1">
        <v>44390.5</v>
      </c>
      <c r="D1311" t="s">
        <v>142</v>
      </c>
      <c r="E1311" t="s">
        <v>110</v>
      </c>
      <c r="F1311">
        <v>26</v>
      </c>
      <c r="G1311">
        <v>4.9500000000000002E-2</v>
      </c>
    </row>
    <row r="1312" spans="1:7" x14ac:dyDescent="0.3">
      <c r="A1312" t="s">
        <v>80</v>
      </c>
      <c r="B1312" t="s">
        <v>126</v>
      </c>
      <c r="C1312" s="1">
        <v>44390.5</v>
      </c>
      <c r="D1312" t="s">
        <v>143</v>
      </c>
      <c r="E1312" t="s">
        <v>111</v>
      </c>
      <c r="F1312">
        <v>31</v>
      </c>
      <c r="G1312">
        <v>0.495</v>
      </c>
    </row>
    <row r="1313" spans="1:7" x14ac:dyDescent="0.3">
      <c r="A1313" t="s">
        <v>80</v>
      </c>
      <c r="B1313" t="s">
        <v>126</v>
      </c>
      <c r="C1313" s="1">
        <v>44390.5</v>
      </c>
      <c r="D1313" t="s">
        <v>144</v>
      </c>
      <c r="E1313" t="s">
        <v>112</v>
      </c>
      <c r="F1313">
        <v>32</v>
      </c>
      <c r="G1313">
        <v>0.495</v>
      </c>
    </row>
    <row r="1314" spans="1:7" x14ac:dyDescent="0.3">
      <c r="A1314" t="s">
        <v>80</v>
      </c>
      <c r="B1314" t="s">
        <v>126</v>
      </c>
      <c r="C1314" s="1">
        <v>44390.5</v>
      </c>
      <c r="D1314" t="s">
        <v>145</v>
      </c>
      <c r="E1314" t="s">
        <v>113</v>
      </c>
      <c r="F1314">
        <v>33</v>
      </c>
      <c r="G1314">
        <v>0.3</v>
      </c>
    </row>
    <row r="1315" spans="1:7" x14ac:dyDescent="0.3">
      <c r="A1315" t="s">
        <v>80</v>
      </c>
      <c r="B1315" t="s">
        <v>126</v>
      </c>
      <c r="C1315" s="1">
        <v>44390.5</v>
      </c>
      <c r="D1315" t="s">
        <v>146</v>
      </c>
      <c r="E1315" t="s">
        <v>114</v>
      </c>
      <c r="F1315">
        <v>34</v>
      </c>
      <c r="G1315">
        <v>0.2</v>
      </c>
    </row>
    <row r="1316" spans="1:7" x14ac:dyDescent="0.3">
      <c r="A1316" t="s">
        <v>80</v>
      </c>
      <c r="B1316" t="s">
        <v>126</v>
      </c>
      <c r="C1316" s="1">
        <v>44390.5</v>
      </c>
      <c r="D1316" t="s">
        <v>147</v>
      </c>
      <c r="E1316" t="s">
        <v>115</v>
      </c>
      <c r="F1316">
        <v>47</v>
      </c>
      <c r="G1316">
        <v>0.1</v>
      </c>
    </row>
    <row r="1317" spans="1:7" x14ac:dyDescent="0.3">
      <c r="A1317" t="s">
        <v>80</v>
      </c>
      <c r="B1317" t="s">
        <v>126</v>
      </c>
      <c r="C1317" s="1">
        <v>44390.5</v>
      </c>
      <c r="D1317" t="s">
        <v>148</v>
      </c>
      <c r="E1317" t="s">
        <v>116</v>
      </c>
      <c r="F1317">
        <v>49</v>
      </c>
      <c r="G1317">
        <v>0.1</v>
      </c>
    </row>
    <row r="1318" spans="1:7" x14ac:dyDescent="0.3">
      <c r="A1318" t="s">
        <v>80</v>
      </c>
      <c r="B1318" t="s">
        <v>126</v>
      </c>
      <c r="C1318" s="1">
        <v>44390.5</v>
      </c>
      <c r="D1318" t="s">
        <v>149</v>
      </c>
      <c r="E1318" t="s">
        <v>117</v>
      </c>
      <c r="F1318">
        <v>35</v>
      </c>
      <c r="G1318">
        <v>0.2</v>
      </c>
    </row>
    <row r="1319" spans="1:7" x14ac:dyDescent="0.3">
      <c r="A1319" t="s">
        <v>80</v>
      </c>
      <c r="B1319" t="s">
        <v>126</v>
      </c>
      <c r="C1319" s="1">
        <v>44390.5</v>
      </c>
      <c r="D1319" t="s">
        <v>150</v>
      </c>
      <c r="E1319" t="s">
        <v>118</v>
      </c>
      <c r="F1319">
        <v>36</v>
      </c>
      <c r="G1319">
        <v>0.2</v>
      </c>
    </row>
    <row r="1320" spans="1:7" x14ac:dyDescent="0.3">
      <c r="A1320" t="s">
        <v>80</v>
      </c>
      <c r="B1320" t="s">
        <v>126</v>
      </c>
      <c r="C1320" s="1">
        <v>44390.5</v>
      </c>
      <c r="D1320" t="s">
        <v>151</v>
      </c>
      <c r="E1320" t="s">
        <v>119</v>
      </c>
      <c r="F1320">
        <v>46</v>
      </c>
      <c r="G1320">
        <v>0.1</v>
      </c>
    </row>
    <row r="1321" spans="1:7" x14ac:dyDescent="0.3">
      <c r="A1321" t="s">
        <v>80</v>
      </c>
      <c r="B1321" t="s">
        <v>126</v>
      </c>
      <c r="C1321" s="1">
        <v>44390.5</v>
      </c>
      <c r="D1321" t="s">
        <v>152</v>
      </c>
      <c r="E1321" t="s">
        <v>120</v>
      </c>
      <c r="F1321">
        <v>37</v>
      </c>
      <c r="G1321">
        <v>0.25</v>
      </c>
    </row>
    <row r="1322" spans="1:7" x14ac:dyDescent="0.3">
      <c r="A1322" t="s">
        <v>80</v>
      </c>
      <c r="B1322" t="s">
        <v>126</v>
      </c>
      <c r="C1322" s="1">
        <v>44390.5</v>
      </c>
      <c r="D1322" t="s">
        <v>153</v>
      </c>
      <c r="E1322" t="s">
        <v>121</v>
      </c>
      <c r="F1322">
        <v>38</v>
      </c>
      <c r="G1322">
        <v>1.25</v>
      </c>
    </row>
    <row r="1323" spans="1:7" x14ac:dyDescent="0.3">
      <c r="A1323" t="s">
        <v>80</v>
      </c>
      <c r="B1323" t="s">
        <v>126</v>
      </c>
      <c r="C1323" s="1">
        <v>44390.5</v>
      </c>
      <c r="D1323" t="s">
        <v>154</v>
      </c>
      <c r="E1323" t="s">
        <v>122</v>
      </c>
      <c r="F1323">
        <v>39</v>
      </c>
      <c r="G1323">
        <v>1.25</v>
      </c>
    </row>
    <row r="1324" spans="1:7" x14ac:dyDescent="0.3">
      <c r="A1324" t="s">
        <v>80</v>
      </c>
      <c r="B1324" t="s">
        <v>126</v>
      </c>
      <c r="C1324" s="1">
        <v>44390.5</v>
      </c>
      <c r="D1324" t="s">
        <v>155</v>
      </c>
      <c r="E1324" t="s">
        <v>123</v>
      </c>
      <c r="F1324">
        <v>19</v>
      </c>
      <c r="G1324">
        <v>0.25</v>
      </c>
    </row>
    <row r="1325" spans="1:7" x14ac:dyDescent="0.3">
      <c r="A1325" t="s">
        <v>80</v>
      </c>
      <c r="B1325" t="s">
        <v>126</v>
      </c>
      <c r="C1325" s="1">
        <v>44390.5</v>
      </c>
      <c r="D1325" t="s">
        <v>156</v>
      </c>
      <c r="E1325" t="s">
        <v>124</v>
      </c>
      <c r="F1325">
        <v>48</v>
      </c>
      <c r="G1325">
        <v>0.1</v>
      </c>
    </row>
    <row r="1326" spans="1:7" x14ac:dyDescent="0.3">
      <c r="A1326" t="s">
        <v>81</v>
      </c>
      <c r="B1326" t="s">
        <v>127</v>
      </c>
      <c r="C1326" s="1">
        <v>44390.5</v>
      </c>
      <c r="D1326" t="s">
        <v>9</v>
      </c>
      <c r="E1326" t="s">
        <v>85</v>
      </c>
      <c r="F1326">
        <v>1</v>
      </c>
      <c r="G1326">
        <v>0.2</v>
      </c>
    </row>
    <row r="1327" spans="1:7" x14ac:dyDescent="0.3">
      <c r="A1327" t="s">
        <v>81</v>
      </c>
      <c r="B1327" t="s">
        <v>127</v>
      </c>
      <c r="C1327" s="1">
        <v>44390.5</v>
      </c>
      <c r="D1327" t="s">
        <v>10</v>
      </c>
      <c r="E1327" t="s">
        <v>86</v>
      </c>
      <c r="F1327">
        <v>2</v>
      </c>
      <c r="G1327">
        <v>0.1</v>
      </c>
    </row>
    <row r="1328" spans="1:7" x14ac:dyDescent="0.3">
      <c r="A1328" t="s">
        <v>81</v>
      </c>
      <c r="B1328" t="s">
        <v>127</v>
      </c>
      <c r="C1328" s="1">
        <v>44390.5</v>
      </c>
      <c r="D1328" t="s">
        <v>12</v>
      </c>
      <c r="E1328" t="s">
        <v>87</v>
      </c>
      <c r="F1328">
        <v>3</v>
      </c>
      <c r="G1328">
        <v>9.1999999999999998E-2</v>
      </c>
    </row>
    <row r="1329" spans="1:7" x14ac:dyDescent="0.3">
      <c r="A1329" t="s">
        <v>81</v>
      </c>
      <c r="B1329" t="s">
        <v>127</v>
      </c>
      <c r="C1329" s="1">
        <v>44390.5</v>
      </c>
      <c r="D1329" t="s">
        <v>14</v>
      </c>
      <c r="E1329" t="s">
        <v>88</v>
      </c>
      <c r="F1329">
        <v>4</v>
      </c>
      <c r="G1329">
        <v>0.09</v>
      </c>
    </row>
    <row r="1330" spans="1:7" x14ac:dyDescent="0.3">
      <c r="A1330" t="s">
        <v>81</v>
      </c>
      <c r="B1330" t="s">
        <v>127</v>
      </c>
      <c r="C1330" s="1">
        <v>44390.5</v>
      </c>
      <c r="D1330" t="s">
        <v>16</v>
      </c>
      <c r="E1330" t="s">
        <v>89</v>
      </c>
      <c r="F1330">
        <v>5</v>
      </c>
      <c r="G1330">
        <v>0.21</v>
      </c>
    </row>
    <row r="1331" spans="1:7" x14ac:dyDescent="0.3">
      <c r="A1331" t="s">
        <v>81</v>
      </c>
      <c r="B1331" t="s">
        <v>127</v>
      </c>
      <c r="C1331" s="1">
        <v>44390.5</v>
      </c>
      <c r="D1331" t="s">
        <v>18</v>
      </c>
      <c r="E1331" t="s">
        <v>90</v>
      </c>
      <c r="F1331">
        <v>6</v>
      </c>
      <c r="G1331">
        <v>0.17</v>
      </c>
    </row>
    <row r="1332" spans="1:7" x14ac:dyDescent="0.3">
      <c r="A1332" t="s">
        <v>81</v>
      </c>
      <c r="B1332" t="s">
        <v>127</v>
      </c>
      <c r="C1332" s="1">
        <v>44390.5</v>
      </c>
      <c r="D1332" t="s">
        <v>129</v>
      </c>
      <c r="E1332" t="s">
        <v>91</v>
      </c>
      <c r="F1332">
        <v>7</v>
      </c>
      <c r="G1332">
        <v>0.48</v>
      </c>
    </row>
    <row r="1333" spans="1:7" x14ac:dyDescent="0.3">
      <c r="A1333" t="s">
        <v>81</v>
      </c>
      <c r="B1333" t="s">
        <v>127</v>
      </c>
      <c r="C1333" s="1">
        <v>44390.5</v>
      </c>
      <c r="D1333" t="s">
        <v>130</v>
      </c>
      <c r="E1333" t="s">
        <v>92</v>
      </c>
      <c r="F1333">
        <v>8</v>
      </c>
      <c r="G1333">
        <v>0.47</v>
      </c>
    </row>
    <row r="1334" spans="1:7" x14ac:dyDescent="0.3">
      <c r="A1334" t="s">
        <v>81</v>
      </c>
      <c r="B1334" t="s">
        <v>127</v>
      </c>
      <c r="C1334" s="1">
        <v>44390.5</v>
      </c>
      <c r="D1334" t="s">
        <v>131</v>
      </c>
      <c r="E1334" t="s">
        <v>93</v>
      </c>
      <c r="F1334">
        <v>9</v>
      </c>
      <c r="G1334">
        <v>0.12</v>
      </c>
    </row>
    <row r="1335" spans="1:7" x14ac:dyDescent="0.3">
      <c r="A1335" t="s">
        <v>81</v>
      </c>
      <c r="B1335" t="s">
        <v>127</v>
      </c>
      <c r="C1335" s="1">
        <v>44390.5</v>
      </c>
      <c r="D1335" t="s">
        <v>132</v>
      </c>
      <c r="E1335" t="s">
        <v>94</v>
      </c>
      <c r="F1335">
        <v>10</v>
      </c>
      <c r="G1335">
        <v>4.9500000000000002E-2</v>
      </c>
    </row>
    <row r="1336" spans="1:7" x14ac:dyDescent="0.3">
      <c r="A1336" t="s">
        <v>81</v>
      </c>
      <c r="B1336" t="s">
        <v>127</v>
      </c>
      <c r="C1336" s="1">
        <v>44390.5</v>
      </c>
      <c r="D1336" t="s">
        <v>133</v>
      </c>
      <c r="E1336" t="s">
        <v>95</v>
      </c>
      <c r="F1336">
        <v>11</v>
      </c>
      <c r="G1336">
        <v>4.9500000000000002E-2</v>
      </c>
    </row>
    <row r="1337" spans="1:7" x14ac:dyDescent="0.3">
      <c r="A1337" t="s">
        <v>81</v>
      </c>
      <c r="B1337" t="s">
        <v>127</v>
      </c>
      <c r="C1337" s="1">
        <v>44390.5</v>
      </c>
      <c r="D1337" t="s">
        <v>11</v>
      </c>
      <c r="E1337" t="s">
        <v>96</v>
      </c>
      <c r="F1337">
        <v>13</v>
      </c>
      <c r="G1337">
        <v>4.9500000000000002E-2</v>
      </c>
    </row>
    <row r="1338" spans="1:7" x14ac:dyDescent="0.3">
      <c r="A1338" t="s">
        <v>81</v>
      </c>
      <c r="B1338" t="s">
        <v>127</v>
      </c>
      <c r="C1338" s="1">
        <v>44390.5</v>
      </c>
      <c r="D1338" t="s">
        <v>13</v>
      </c>
      <c r="E1338" t="s">
        <v>97</v>
      </c>
      <c r="F1338">
        <v>14</v>
      </c>
      <c r="G1338">
        <v>5.2999999999999999E-2</v>
      </c>
    </row>
    <row r="1339" spans="1:7" x14ac:dyDescent="0.3">
      <c r="A1339" t="s">
        <v>81</v>
      </c>
      <c r="B1339" t="s">
        <v>127</v>
      </c>
      <c r="C1339" s="1">
        <v>44390.5</v>
      </c>
      <c r="D1339" t="s">
        <v>15</v>
      </c>
      <c r="E1339" t="s">
        <v>98</v>
      </c>
      <c r="F1339">
        <v>15</v>
      </c>
      <c r="G1339">
        <v>0.8</v>
      </c>
    </row>
    <row r="1340" spans="1:7" x14ac:dyDescent="0.3">
      <c r="A1340" t="s">
        <v>81</v>
      </c>
      <c r="B1340" t="s">
        <v>127</v>
      </c>
      <c r="C1340" s="1">
        <v>44390.5</v>
      </c>
      <c r="D1340" t="s">
        <v>17</v>
      </c>
      <c r="E1340" t="s">
        <v>99</v>
      </c>
      <c r="F1340">
        <v>16</v>
      </c>
      <c r="G1340">
        <v>5.8999999999999997E-2</v>
      </c>
    </row>
    <row r="1341" spans="1:7" x14ac:dyDescent="0.3">
      <c r="A1341" t="s">
        <v>81</v>
      </c>
      <c r="B1341" t="s">
        <v>127</v>
      </c>
      <c r="C1341" s="1">
        <v>44390.5</v>
      </c>
      <c r="D1341" t="s">
        <v>19</v>
      </c>
      <c r="E1341" t="s">
        <v>100</v>
      </c>
      <c r="F1341">
        <v>17</v>
      </c>
      <c r="G1341">
        <v>9.6</v>
      </c>
    </row>
    <row r="1342" spans="1:7" x14ac:dyDescent="0.3">
      <c r="A1342" t="s">
        <v>81</v>
      </c>
      <c r="B1342" t="s">
        <v>127</v>
      </c>
      <c r="C1342" s="1">
        <v>44390.5</v>
      </c>
      <c r="D1342" t="s">
        <v>134</v>
      </c>
      <c r="E1342" t="s">
        <v>101</v>
      </c>
      <c r="F1342">
        <v>18</v>
      </c>
      <c r="G1342">
        <v>0.31</v>
      </c>
    </row>
    <row r="1343" spans="1:7" x14ac:dyDescent="0.3">
      <c r="A1343" t="s">
        <v>81</v>
      </c>
      <c r="B1343" t="s">
        <v>127</v>
      </c>
      <c r="C1343" s="1">
        <v>44390.5</v>
      </c>
      <c r="D1343" t="s">
        <v>135</v>
      </c>
      <c r="E1343" t="s">
        <v>102</v>
      </c>
      <c r="F1343">
        <v>20</v>
      </c>
      <c r="G1343">
        <v>4.9500000000000002E-2</v>
      </c>
    </row>
    <row r="1344" spans="1:7" x14ac:dyDescent="0.3">
      <c r="A1344" t="s">
        <v>81</v>
      </c>
      <c r="B1344" t="s">
        <v>127</v>
      </c>
      <c r="C1344" s="1">
        <v>44390.5</v>
      </c>
      <c r="D1344" t="s">
        <v>136</v>
      </c>
      <c r="E1344" t="s">
        <v>103</v>
      </c>
      <c r="F1344">
        <v>21</v>
      </c>
      <c r="G1344">
        <v>0.2</v>
      </c>
    </row>
    <row r="1345" spans="1:7" x14ac:dyDescent="0.3">
      <c r="A1345" t="s">
        <v>81</v>
      </c>
      <c r="B1345" t="s">
        <v>127</v>
      </c>
      <c r="C1345" s="1">
        <v>44390.5</v>
      </c>
      <c r="D1345" t="s">
        <v>60</v>
      </c>
      <c r="E1345" t="s">
        <v>104</v>
      </c>
      <c r="F1345">
        <v>22</v>
      </c>
      <c r="G1345">
        <v>0.52</v>
      </c>
    </row>
    <row r="1346" spans="1:7" x14ac:dyDescent="0.3">
      <c r="A1346" t="s">
        <v>81</v>
      </c>
      <c r="B1346" t="s">
        <v>127</v>
      </c>
      <c r="C1346" s="1">
        <v>44390.5</v>
      </c>
      <c r="D1346" t="s">
        <v>137</v>
      </c>
      <c r="E1346" t="s">
        <v>105</v>
      </c>
      <c r="F1346">
        <v>23</v>
      </c>
      <c r="G1346">
        <v>0.92</v>
      </c>
    </row>
    <row r="1347" spans="1:7" x14ac:dyDescent="0.3">
      <c r="A1347" t="s">
        <v>81</v>
      </c>
      <c r="B1347" t="s">
        <v>127</v>
      </c>
      <c r="C1347" s="1">
        <v>44390.5</v>
      </c>
      <c r="D1347" t="s">
        <v>138</v>
      </c>
      <c r="E1347" t="s">
        <v>106</v>
      </c>
      <c r="F1347">
        <v>27</v>
      </c>
      <c r="G1347">
        <v>1.7</v>
      </c>
    </row>
    <row r="1348" spans="1:7" x14ac:dyDescent="0.3">
      <c r="A1348" t="s">
        <v>81</v>
      </c>
      <c r="B1348" t="s">
        <v>127</v>
      </c>
      <c r="C1348" s="1">
        <v>44390.5</v>
      </c>
      <c r="D1348" t="s">
        <v>139</v>
      </c>
      <c r="E1348" t="s">
        <v>107</v>
      </c>
      <c r="F1348">
        <v>29</v>
      </c>
      <c r="G1348">
        <v>4.9500000000000002E-2</v>
      </c>
    </row>
    <row r="1349" spans="1:7" x14ac:dyDescent="0.3">
      <c r="A1349" t="s">
        <v>81</v>
      </c>
      <c r="B1349" t="s">
        <v>127</v>
      </c>
      <c r="C1349" s="1">
        <v>44390.5</v>
      </c>
      <c r="D1349" t="s">
        <v>140</v>
      </c>
      <c r="E1349" t="s">
        <v>108</v>
      </c>
      <c r="F1349">
        <v>25</v>
      </c>
      <c r="G1349">
        <v>4.9500000000000002E-2</v>
      </c>
    </row>
    <row r="1350" spans="1:7" x14ac:dyDescent="0.3">
      <c r="A1350" t="s">
        <v>81</v>
      </c>
      <c r="B1350" t="s">
        <v>127</v>
      </c>
      <c r="C1350" s="1">
        <v>44390.5</v>
      </c>
      <c r="D1350" t="s">
        <v>141</v>
      </c>
      <c r="E1350" t="s">
        <v>109</v>
      </c>
      <c r="F1350">
        <v>30</v>
      </c>
      <c r="G1350">
        <v>4.9500000000000002E-2</v>
      </c>
    </row>
    <row r="1351" spans="1:7" x14ac:dyDescent="0.3">
      <c r="A1351" t="s">
        <v>81</v>
      </c>
      <c r="B1351" t="s">
        <v>127</v>
      </c>
      <c r="C1351" s="1">
        <v>44390.5</v>
      </c>
      <c r="D1351" t="s">
        <v>142</v>
      </c>
      <c r="E1351" t="s">
        <v>110</v>
      </c>
      <c r="F1351">
        <v>26</v>
      </c>
      <c r="G1351">
        <v>4.9500000000000002E-2</v>
      </c>
    </row>
    <row r="1352" spans="1:7" x14ac:dyDescent="0.3">
      <c r="A1352" t="s">
        <v>81</v>
      </c>
      <c r="B1352" t="s">
        <v>127</v>
      </c>
      <c r="C1352" s="1">
        <v>44390.5</v>
      </c>
      <c r="D1352" t="s">
        <v>143</v>
      </c>
      <c r="E1352" t="s">
        <v>111</v>
      </c>
      <c r="F1352">
        <v>31</v>
      </c>
      <c r="G1352">
        <v>0.495</v>
      </c>
    </row>
    <row r="1353" spans="1:7" x14ac:dyDescent="0.3">
      <c r="A1353" t="s">
        <v>81</v>
      </c>
      <c r="B1353" t="s">
        <v>127</v>
      </c>
      <c r="C1353" s="1">
        <v>44390.5</v>
      </c>
      <c r="D1353" t="s">
        <v>144</v>
      </c>
      <c r="E1353" t="s">
        <v>112</v>
      </c>
      <c r="F1353">
        <v>32</v>
      </c>
      <c r="G1353">
        <v>0.495</v>
      </c>
    </row>
    <row r="1354" spans="1:7" x14ac:dyDescent="0.3">
      <c r="A1354" t="s">
        <v>81</v>
      </c>
      <c r="B1354" t="s">
        <v>127</v>
      </c>
      <c r="C1354" s="1">
        <v>44390.5</v>
      </c>
      <c r="D1354" t="s">
        <v>145</v>
      </c>
      <c r="E1354" t="s">
        <v>113</v>
      </c>
      <c r="F1354">
        <v>33</v>
      </c>
      <c r="G1354">
        <v>0.3</v>
      </c>
    </row>
    <row r="1355" spans="1:7" x14ac:dyDescent="0.3">
      <c r="A1355" t="s">
        <v>81</v>
      </c>
      <c r="B1355" t="s">
        <v>127</v>
      </c>
      <c r="C1355" s="1">
        <v>44390.5</v>
      </c>
      <c r="D1355" t="s">
        <v>146</v>
      </c>
      <c r="E1355" t="s">
        <v>114</v>
      </c>
      <c r="F1355">
        <v>34</v>
      </c>
      <c r="G1355">
        <v>0.2</v>
      </c>
    </row>
    <row r="1356" spans="1:7" x14ac:dyDescent="0.3">
      <c r="A1356" t="s">
        <v>81</v>
      </c>
      <c r="B1356" t="s">
        <v>127</v>
      </c>
      <c r="C1356" s="1">
        <v>44390.5</v>
      </c>
      <c r="D1356" t="s">
        <v>147</v>
      </c>
      <c r="E1356" t="s">
        <v>115</v>
      </c>
      <c r="F1356">
        <v>47</v>
      </c>
      <c r="G1356">
        <v>0.1</v>
      </c>
    </row>
    <row r="1357" spans="1:7" x14ac:dyDescent="0.3">
      <c r="A1357" t="s">
        <v>81</v>
      </c>
      <c r="B1357" t="s">
        <v>127</v>
      </c>
      <c r="C1357" s="1">
        <v>44390.5</v>
      </c>
      <c r="D1357" t="s">
        <v>148</v>
      </c>
      <c r="E1357" t="s">
        <v>116</v>
      </c>
      <c r="F1357">
        <v>49</v>
      </c>
      <c r="G1357">
        <v>0.1</v>
      </c>
    </row>
    <row r="1358" spans="1:7" x14ac:dyDescent="0.3">
      <c r="A1358" t="s">
        <v>81</v>
      </c>
      <c r="B1358" t="s">
        <v>127</v>
      </c>
      <c r="C1358" s="1">
        <v>44390.5</v>
      </c>
      <c r="D1358" t="s">
        <v>149</v>
      </c>
      <c r="E1358" t="s">
        <v>117</v>
      </c>
      <c r="F1358">
        <v>35</v>
      </c>
      <c r="G1358">
        <v>0.2</v>
      </c>
    </row>
    <row r="1359" spans="1:7" x14ac:dyDescent="0.3">
      <c r="A1359" t="s">
        <v>81</v>
      </c>
      <c r="B1359" t="s">
        <v>127</v>
      </c>
      <c r="C1359" s="1">
        <v>44390.5</v>
      </c>
      <c r="D1359" t="s">
        <v>150</v>
      </c>
      <c r="E1359" t="s">
        <v>118</v>
      </c>
      <c r="F1359">
        <v>36</v>
      </c>
      <c r="G1359">
        <v>0.2</v>
      </c>
    </row>
    <row r="1360" spans="1:7" x14ac:dyDescent="0.3">
      <c r="A1360" t="s">
        <v>81</v>
      </c>
      <c r="B1360" t="s">
        <v>127</v>
      </c>
      <c r="C1360" s="1">
        <v>44390.5</v>
      </c>
      <c r="D1360" t="s">
        <v>151</v>
      </c>
      <c r="E1360" t="s">
        <v>119</v>
      </c>
      <c r="F1360">
        <v>46</v>
      </c>
      <c r="G1360">
        <v>0.1</v>
      </c>
    </row>
    <row r="1361" spans="1:7" x14ac:dyDescent="0.3">
      <c r="A1361" t="s">
        <v>81</v>
      </c>
      <c r="B1361" t="s">
        <v>127</v>
      </c>
      <c r="C1361" s="1">
        <v>44390.5</v>
      </c>
      <c r="D1361" t="s">
        <v>152</v>
      </c>
      <c r="E1361" t="s">
        <v>120</v>
      </c>
      <c r="F1361">
        <v>37</v>
      </c>
      <c r="G1361">
        <v>0.25</v>
      </c>
    </row>
    <row r="1362" spans="1:7" x14ac:dyDescent="0.3">
      <c r="A1362" t="s">
        <v>81</v>
      </c>
      <c r="B1362" t="s">
        <v>127</v>
      </c>
      <c r="C1362" s="1">
        <v>44390.5</v>
      </c>
      <c r="D1362" t="s">
        <v>153</v>
      </c>
      <c r="E1362" t="s">
        <v>121</v>
      </c>
      <c r="F1362">
        <v>38</v>
      </c>
      <c r="G1362">
        <v>1.25</v>
      </c>
    </row>
    <row r="1363" spans="1:7" x14ac:dyDescent="0.3">
      <c r="A1363" t="s">
        <v>81</v>
      </c>
      <c r="B1363" t="s">
        <v>127</v>
      </c>
      <c r="C1363" s="1">
        <v>44390.5</v>
      </c>
      <c r="D1363" t="s">
        <v>154</v>
      </c>
      <c r="E1363" t="s">
        <v>122</v>
      </c>
      <c r="F1363">
        <v>39</v>
      </c>
      <c r="G1363">
        <v>1</v>
      </c>
    </row>
    <row r="1364" spans="1:7" x14ac:dyDescent="0.3">
      <c r="A1364" t="s">
        <v>81</v>
      </c>
      <c r="B1364" t="s">
        <v>127</v>
      </c>
      <c r="C1364" s="1">
        <v>44390.5</v>
      </c>
      <c r="D1364" t="s">
        <v>155</v>
      </c>
      <c r="E1364" t="s">
        <v>123</v>
      </c>
      <c r="F1364">
        <v>19</v>
      </c>
      <c r="G1364">
        <v>0.45</v>
      </c>
    </row>
    <row r="1365" spans="1:7" x14ac:dyDescent="0.3">
      <c r="A1365" t="s">
        <v>81</v>
      </c>
      <c r="B1365" t="s">
        <v>127</v>
      </c>
      <c r="C1365" s="1">
        <v>44390.5</v>
      </c>
      <c r="D1365" t="s">
        <v>156</v>
      </c>
      <c r="E1365" t="s">
        <v>124</v>
      </c>
      <c r="F1365">
        <v>48</v>
      </c>
      <c r="G1365">
        <v>0.1</v>
      </c>
    </row>
    <row r="1366" spans="1:7" x14ac:dyDescent="0.3">
      <c r="A1366" t="s">
        <v>82</v>
      </c>
      <c r="B1366" t="s">
        <v>125</v>
      </c>
      <c r="C1366" s="1">
        <v>44390.5</v>
      </c>
      <c r="D1366" t="s">
        <v>9</v>
      </c>
      <c r="E1366" t="s">
        <v>85</v>
      </c>
      <c r="F1366">
        <v>1</v>
      </c>
      <c r="G1366">
        <v>0.2</v>
      </c>
    </row>
    <row r="1367" spans="1:7" x14ac:dyDescent="0.3">
      <c r="A1367" t="s">
        <v>82</v>
      </c>
      <c r="B1367" t="s">
        <v>125</v>
      </c>
      <c r="C1367" s="1">
        <v>44390.5</v>
      </c>
      <c r="D1367" t="s">
        <v>10</v>
      </c>
      <c r="E1367" t="s">
        <v>86</v>
      </c>
      <c r="F1367">
        <v>2</v>
      </c>
      <c r="G1367">
        <v>0.1</v>
      </c>
    </row>
    <row r="1368" spans="1:7" x14ac:dyDescent="0.3">
      <c r="A1368" t="s">
        <v>82</v>
      </c>
      <c r="B1368" t="s">
        <v>125</v>
      </c>
      <c r="C1368" s="1">
        <v>44390.5</v>
      </c>
      <c r="D1368" t="s">
        <v>12</v>
      </c>
      <c r="E1368" t="s">
        <v>87</v>
      </c>
      <c r="F1368">
        <v>3</v>
      </c>
      <c r="G1368">
        <v>0.12</v>
      </c>
    </row>
    <row r="1369" spans="1:7" x14ac:dyDescent="0.3">
      <c r="A1369" t="s">
        <v>82</v>
      </c>
      <c r="B1369" t="s">
        <v>125</v>
      </c>
      <c r="C1369" s="1">
        <v>44390.5</v>
      </c>
      <c r="D1369" t="s">
        <v>14</v>
      </c>
      <c r="E1369" t="s">
        <v>88</v>
      </c>
      <c r="F1369">
        <v>4</v>
      </c>
      <c r="G1369">
        <v>0.09</v>
      </c>
    </row>
    <row r="1370" spans="1:7" x14ac:dyDescent="0.3">
      <c r="A1370" t="s">
        <v>82</v>
      </c>
      <c r="B1370" t="s">
        <v>125</v>
      </c>
      <c r="C1370" s="1">
        <v>44390.5</v>
      </c>
      <c r="D1370" t="s">
        <v>16</v>
      </c>
      <c r="E1370" t="s">
        <v>89</v>
      </c>
      <c r="F1370">
        <v>5</v>
      </c>
      <c r="G1370">
        <v>0.39</v>
      </c>
    </row>
    <row r="1371" spans="1:7" x14ac:dyDescent="0.3">
      <c r="A1371" t="s">
        <v>82</v>
      </c>
      <c r="B1371" t="s">
        <v>125</v>
      </c>
      <c r="C1371" s="1">
        <v>44390.5</v>
      </c>
      <c r="D1371" t="s">
        <v>18</v>
      </c>
      <c r="E1371" t="s">
        <v>90</v>
      </c>
      <c r="F1371">
        <v>6</v>
      </c>
      <c r="G1371">
        <v>0.21</v>
      </c>
    </row>
    <row r="1372" spans="1:7" x14ac:dyDescent="0.3">
      <c r="A1372" t="s">
        <v>82</v>
      </c>
      <c r="B1372" t="s">
        <v>125</v>
      </c>
      <c r="C1372" s="1">
        <v>44390.5</v>
      </c>
      <c r="D1372" t="s">
        <v>129</v>
      </c>
      <c r="E1372" t="s">
        <v>91</v>
      </c>
      <c r="F1372">
        <v>7</v>
      </c>
      <c r="G1372">
        <v>0.28000000000000003</v>
      </c>
    </row>
    <row r="1373" spans="1:7" x14ac:dyDescent="0.3">
      <c r="A1373" t="s">
        <v>82</v>
      </c>
      <c r="B1373" t="s">
        <v>125</v>
      </c>
      <c r="C1373" s="1">
        <v>44390.5</v>
      </c>
      <c r="D1373" t="s">
        <v>130</v>
      </c>
      <c r="E1373" t="s">
        <v>92</v>
      </c>
      <c r="F1373">
        <v>8</v>
      </c>
      <c r="G1373">
        <v>0.6</v>
      </c>
    </row>
    <row r="1374" spans="1:7" x14ac:dyDescent="0.3">
      <c r="A1374" t="s">
        <v>82</v>
      </c>
      <c r="B1374" t="s">
        <v>125</v>
      </c>
      <c r="C1374" s="1">
        <v>44390.5</v>
      </c>
      <c r="D1374" t="s">
        <v>131</v>
      </c>
      <c r="E1374" t="s">
        <v>93</v>
      </c>
      <c r="F1374">
        <v>9</v>
      </c>
      <c r="G1374">
        <v>0.81</v>
      </c>
    </row>
    <row r="1375" spans="1:7" x14ac:dyDescent="0.3">
      <c r="A1375" t="s">
        <v>82</v>
      </c>
      <c r="B1375" t="s">
        <v>125</v>
      </c>
      <c r="C1375" s="1">
        <v>44390.5</v>
      </c>
      <c r="D1375" t="s">
        <v>132</v>
      </c>
      <c r="E1375" t="s">
        <v>94</v>
      </c>
      <c r="F1375">
        <v>10</v>
      </c>
      <c r="G1375">
        <v>0.65</v>
      </c>
    </row>
    <row r="1376" spans="1:7" x14ac:dyDescent="0.3">
      <c r="A1376" t="s">
        <v>82</v>
      </c>
      <c r="B1376" t="s">
        <v>125</v>
      </c>
      <c r="C1376" s="1">
        <v>44390.5</v>
      </c>
      <c r="D1376" t="s">
        <v>133</v>
      </c>
      <c r="E1376" t="s">
        <v>95</v>
      </c>
      <c r="F1376">
        <v>11</v>
      </c>
      <c r="G1376">
        <v>0.49</v>
      </c>
    </row>
    <row r="1377" spans="1:7" x14ac:dyDescent="0.3">
      <c r="A1377" t="s">
        <v>82</v>
      </c>
      <c r="B1377" t="s">
        <v>125</v>
      </c>
      <c r="C1377" s="1">
        <v>44390.5</v>
      </c>
      <c r="D1377" t="s">
        <v>11</v>
      </c>
      <c r="E1377" t="s">
        <v>96</v>
      </c>
      <c r="F1377">
        <v>13</v>
      </c>
      <c r="G1377">
        <v>4.9500000000000002E-2</v>
      </c>
    </row>
    <row r="1378" spans="1:7" x14ac:dyDescent="0.3">
      <c r="A1378" t="s">
        <v>82</v>
      </c>
      <c r="B1378" t="s">
        <v>125</v>
      </c>
      <c r="C1378" s="1">
        <v>44390.5</v>
      </c>
      <c r="D1378" t="s">
        <v>13</v>
      </c>
      <c r="E1378" t="s">
        <v>97</v>
      </c>
      <c r="F1378">
        <v>14</v>
      </c>
      <c r="G1378">
        <v>8.2000000000000003E-2</v>
      </c>
    </row>
    <row r="1379" spans="1:7" x14ac:dyDescent="0.3">
      <c r="A1379" t="s">
        <v>82</v>
      </c>
      <c r="B1379" t="s">
        <v>125</v>
      </c>
      <c r="C1379" s="1">
        <v>44390.5</v>
      </c>
      <c r="D1379" t="s">
        <v>15</v>
      </c>
      <c r="E1379" t="s">
        <v>98</v>
      </c>
      <c r="F1379">
        <v>15</v>
      </c>
      <c r="G1379">
        <v>1.1000000000000001</v>
      </c>
    </row>
    <row r="1380" spans="1:7" x14ac:dyDescent="0.3">
      <c r="A1380" t="s">
        <v>82</v>
      </c>
      <c r="B1380" t="s">
        <v>125</v>
      </c>
      <c r="C1380" s="1">
        <v>44390.5</v>
      </c>
      <c r="D1380" t="s">
        <v>17</v>
      </c>
      <c r="E1380" t="s">
        <v>99</v>
      </c>
      <c r="F1380">
        <v>16</v>
      </c>
      <c r="G1380">
        <v>0.1</v>
      </c>
    </row>
    <row r="1381" spans="1:7" x14ac:dyDescent="0.3">
      <c r="A1381" t="s">
        <v>82</v>
      </c>
      <c r="B1381" t="s">
        <v>125</v>
      </c>
      <c r="C1381" s="1">
        <v>44390.5</v>
      </c>
      <c r="D1381" t="s">
        <v>19</v>
      </c>
      <c r="E1381" t="s">
        <v>100</v>
      </c>
      <c r="F1381">
        <v>17</v>
      </c>
      <c r="G1381">
        <v>29</v>
      </c>
    </row>
    <row r="1382" spans="1:7" x14ac:dyDescent="0.3">
      <c r="A1382" t="s">
        <v>82</v>
      </c>
      <c r="B1382" t="s">
        <v>125</v>
      </c>
      <c r="C1382" s="1">
        <v>44390.5</v>
      </c>
      <c r="D1382" t="s">
        <v>134</v>
      </c>
      <c r="E1382" t="s">
        <v>101</v>
      </c>
      <c r="F1382">
        <v>18</v>
      </c>
      <c r="G1382">
        <v>0.2</v>
      </c>
    </row>
    <row r="1383" spans="1:7" x14ac:dyDescent="0.3">
      <c r="A1383" t="s">
        <v>82</v>
      </c>
      <c r="B1383" t="s">
        <v>125</v>
      </c>
      <c r="C1383" s="1">
        <v>44390.5</v>
      </c>
      <c r="D1383" t="s">
        <v>135</v>
      </c>
      <c r="E1383" t="s">
        <v>102</v>
      </c>
      <c r="F1383">
        <v>20</v>
      </c>
      <c r="G1383">
        <v>0.3</v>
      </c>
    </row>
    <row r="1384" spans="1:7" x14ac:dyDescent="0.3">
      <c r="A1384" t="s">
        <v>82</v>
      </c>
      <c r="B1384" t="s">
        <v>125</v>
      </c>
      <c r="C1384" s="1">
        <v>44390.5</v>
      </c>
      <c r="D1384" t="s">
        <v>136</v>
      </c>
      <c r="E1384" t="s">
        <v>103</v>
      </c>
      <c r="F1384">
        <v>21</v>
      </c>
      <c r="G1384">
        <v>0.2</v>
      </c>
    </row>
    <row r="1385" spans="1:7" x14ac:dyDescent="0.3">
      <c r="A1385" t="s">
        <v>82</v>
      </c>
      <c r="B1385" t="s">
        <v>125</v>
      </c>
      <c r="C1385" s="1">
        <v>44390.5</v>
      </c>
      <c r="D1385" t="s">
        <v>60</v>
      </c>
      <c r="E1385" t="s">
        <v>104</v>
      </c>
      <c r="F1385">
        <v>22</v>
      </c>
      <c r="G1385">
        <v>0.4</v>
      </c>
    </row>
    <row r="1386" spans="1:7" x14ac:dyDescent="0.3">
      <c r="A1386" t="s">
        <v>82</v>
      </c>
      <c r="B1386" t="s">
        <v>125</v>
      </c>
      <c r="C1386" s="1">
        <v>44390.5</v>
      </c>
      <c r="D1386" t="s">
        <v>137</v>
      </c>
      <c r="E1386" t="s">
        <v>105</v>
      </c>
      <c r="F1386">
        <v>23</v>
      </c>
      <c r="G1386">
        <v>0.5</v>
      </c>
    </row>
    <row r="1387" spans="1:7" x14ac:dyDescent="0.3">
      <c r="A1387" t="s">
        <v>82</v>
      </c>
      <c r="B1387" t="s">
        <v>125</v>
      </c>
      <c r="C1387" s="1">
        <v>44390.5</v>
      </c>
      <c r="D1387" t="s">
        <v>138</v>
      </c>
      <c r="E1387" t="s">
        <v>106</v>
      </c>
      <c r="F1387">
        <v>27</v>
      </c>
      <c r="G1387">
        <v>0.38</v>
      </c>
    </row>
    <row r="1388" spans="1:7" x14ac:dyDescent="0.3">
      <c r="A1388" t="s">
        <v>82</v>
      </c>
      <c r="B1388" t="s">
        <v>125</v>
      </c>
      <c r="C1388" s="1">
        <v>44390.5</v>
      </c>
      <c r="D1388" t="s">
        <v>139</v>
      </c>
      <c r="E1388" t="s">
        <v>107</v>
      </c>
      <c r="F1388">
        <v>29</v>
      </c>
      <c r="G1388">
        <v>4.9500000000000002E-2</v>
      </c>
    </row>
    <row r="1389" spans="1:7" x14ac:dyDescent="0.3">
      <c r="A1389" t="s">
        <v>82</v>
      </c>
      <c r="B1389" t="s">
        <v>125</v>
      </c>
      <c r="C1389" s="1">
        <v>44390.5</v>
      </c>
      <c r="D1389" t="s">
        <v>140</v>
      </c>
      <c r="E1389" t="s">
        <v>108</v>
      </c>
      <c r="F1389">
        <v>25</v>
      </c>
      <c r="G1389">
        <v>4.9500000000000002E-2</v>
      </c>
    </row>
    <row r="1390" spans="1:7" x14ac:dyDescent="0.3">
      <c r="A1390" t="s">
        <v>82</v>
      </c>
      <c r="B1390" t="s">
        <v>125</v>
      </c>
      <c r="C1390" s="1">
        <v>44390.5</v>
      </c>
      <c r="D1390" t="s">
        <v>141</v>
      </c>
      <c r="E1390" t="s">
        <v>109</v>
      </c>
      <c r="F1390">
        <v>30</v>
      </c>
      <c r="G1390">
        <v>4.9500000000000002E-2</v>
      </c>
    </row>
    <row r="1391" spans="1:7" x14ac:dyDescent="0.3">
      <c r="A1391" t="s">
        <v>82</v>
      </c>
      <c r="B1391" t="s">
        <v>125</v>
      </c>
      <c r="C1391" s="1">
        <v>44390.5</v>
      </c>
      <c r="D1391" t="s">
        <v>142</v>
      </c>
      <c r="E1391" t="s">
        <v>110</v>
      </c>
      <c r="F1391">
        <v>26</v>
      </c>
      <c r="G1391">
        <v>4.9500000000000002E-2</v>
      </c>
    </row>
    <row r="1392" spans="1:7" x14ac:dyDescent="0.3">
      <c r="A1392" t="s">
        <v>82</v>
      </c>
      <c r="B1392" t="s">
        <v>125</v>
      </c>
      <c r="C1392" s="1">
        <v>44390.5</v>
      </c>
      <c r="D1392" t="s">
        <v>143</v>
      </c>
      <c r="E1392" t="s">
        <v>111</v>
      </c>
      <c r="F1392">
        <v>31</v>
      </c>
      <c r="G1392">
        <v>2</v>
      </c>
    </row>
    <row r="1393" spans="1:7" x14ac:dyDescent="0.3">
      <c r="A1393" t="s">
        <v>82</v>
      </c>
      <c r="B1393" t="s">
        <v>125</v>
      </c>
      <c r="C1393" s="1">
        <v>44390.5</v>
      </c>
      <c r="D1393" t="s">
        <v>144</v>
      </c>
      <c r="E1393" t="s">
        <v>112</v>
      </c>
      <c r="F1393">
        <v>32</v>
      </c>
      <c r="G1393">
        <v>0.495</v>
      </c>
    </row>
    <row r="1394" spans="1:7" x14ac:dyDescent="0.3">
      <c r="A1394" t="s">
        <v>82</v>
      </c>
      <c r="B1394" t="s">
        <v>125</v>
      </c>
      <c r="C1394" s="1">
        <v>44390.5</v>
      </c>
      <c r="D1394" t="s">
        <v>145</v>
      </c>
      <c r="E1394" t="s">
        <v>113</v>
      </c>
      <c r="F1394">
        <v>33</v>
      </c>
      <c r="G1394">
        <v>0.3</v>
      </c>
    </row>
    <row r="1395" spans="1:7" x14ac:dyDescent="0.3">
      <c r="A1395" t="s">
        <v>82</v>
      </c>
      <c r="B1395" t="s">
        <v>125</v>
      </c>
      <c r="C1395" s="1">
        <v>44390.5</v>
      </c>
      <c r="D1395" t="s">
        <v>146</v>
      </c>
      <c r="E1395" t="s">
        <v>114</v>
      </c>
      <c r="F1395">
        <v>34</v>
      </c>
      <c r="G1395">
        <v>0.2</v>
      </c>
    </row>
    <row r="1396" spans="1:7" x14ac:dyDescent="0.3">
      <c r="A1396" t="s">
        <v>82</v>
      </c>
      <c r="B1396" t="s">
        <v>125</v>
      </c>
      <c r="C1396" s="1">
        <v>44390.5</v>
      </c>
      <c r="D1396" t="s">
        <v>147</v>
      </c>
      <c r="E1396" t="s">
        <v>115</v>
      </c>
      <c r="F1396">
        <v>47</v>
      </c>
      <c r="G1396">
        <v>0.1</v>
      </c>
    </row>
    <row r="1397" spans="1:7" x14ac:dyDescent="0.3">
      <c r="A1397" t="s">
        <v>82</v>
      </c>
      <c r="B1397" t="s">
        <v>125</v>
      </c>
      <c r="C1397" s="1">
        <v>44390.5</v>
      </c>
      <c r="D1397" t="s">
        <v>148</v>
      </c>
      <c r="E1397" t="s">
        <v>116</v>
      </c>
      <c r="F1397">
        <v>49</v>
      </c>
      <c r="G1397">
        <v>0.1</v>
      </c>
    </row>
    <row r="1398" spans="1:7" x14ac:dyDescent="0.3">
      <c r="A1398" t="s">
        <v>82</v>
      </c>
      <c r="B1398" t="s">
        <v>125</v>
      </c>
      <c r="C1398" s="1">
        <v>44390.5</v>
      </c>
      <c r="D1398" t="s">
        <v>149</v>
      </c>
      <c r="E1398" t="s">
        <v>117</v>
      </c>
      <c r="F1398">
        <v>35</v>
      </c>
      <c r="G1398">
        <v>0.2</v>
      </c>
    </row>
    <row r="1399" spans="1:7" x14ac:dyDescent="0.3">
      <c r="A1399" t="s">
        <v>82</v>
      </c>
      <c r="B1399" t="s">
        <v>125</v>
      </c>
      <c r="C1399" s="1">
        <v>44390.5</v>
      </c>
      <c r="D1399" t="s">
        <v>150</v>
      </c>
      <c r="E1399" t="s">
        <v>118</v>
      </c>
      <c r="F1399">
        <v>36</v>
      </c>
      <c r="G1399">
        <v>0.2</v>
      </c>
    </row>
    <row r="1400" spans="1:7" x14ac:dyDescent="0.3">
      <c r="A1400" t="s">
        <v>82</v>
      </c>
      <c r="B1400" t="s">
        <v>125</v>
      </c>
      <c r="C1400" s="1">
        <v>44390.5</v>
      </c>
      <c r="D1400" t="s">
        <v>151</v>
      </c>
      <c r="E1400" t="s">
        <v>119</v>
      </c>
      <c r="F1400">
        <v>46</v>
      </c>
      <c r="G1400">
        <v>0.1</v>
      </c>
    </row>
    <row r="1401" spans="1:7" x14ac:dyDescent="0.3">
      <c r="A1401" t="s">
        <v>82</v>
      </c>
      <c r="B1401" t="s">
        <v>125</v>
      </c>
      <c r="C1401" s="1">
        <v>44390.5</v>
      </c>
      <c r="D1401" t="s">
        <v>152</v>
      </c>
      <c r="E1401" t="s">
        <v>120</v>
      </c>
      <c r="F1401">
        <v>37</v>
      </c>
      <c r="G1401">
        <v>0.25</v>
      </c>
    </row>
    <row r="1402" spans="1:7" x14ac:dyDescent="0.3">
      <c r="A1402" t="s">
        <v>82</v>
      </c>
      <c r="B1402" t="s">
        <v>125</v>
      </c>
      <c r="C1402" s="1">
        <v>44390.5</v>
      </c>
      <c r="D1402" t="s">
        <v>153</v>
      </c>
      <c r="E1402" t="s">
        <v>121</v>
      </c>
      <c r="F1402">
        <v>38</v>
      </c>
      <c r="G1402">
        <v>1.25</v>
      </c>
    </row>
    <row r="1403" spans="1:7" x14ac:dyDescent="0.3">
      <c r="A1403" t="s">
        <v>82</v>
      </c>
      <c r="B1403" t="s">
        <v>125</v>
      </c>
      <c r="C1403" s="1">
        <v>44390.5</v>
      </c>
      <c r="D1403" t="s">
        <v>154</v>
      </c>
      <c r="E1403" t="s">
        <v>122</v>
      </c>
      <c r="F1403">
        <v>39</v>
      </c>
      <c r="G1403">
        <v>1</v>
      </c>
    </row>
    <row r="1404" spans="1:7" x14ac:dyDescent="0.3">
      <c r="A1404" t="s">
        <v>82</v>
      </c>
      <c r="B1404" t="s">
        <v>125</v>
      </c>
      <c r="C1404" s="1">
        <v>44390.5</v>
      </c>
      <c r="D1404" t="s">
        <v>155</v>
      </c>
      <c r="E1404" t="s">
        <v>123</v>
      </c>
      <c r="F1404">
        <v>19</v>
      </c>
      <c r="G1404">
        <v>0.57999999999999996</v>
      </c>
    </row>
    <row r="1405" spans="1:7" x14ac:dyDescent="0.3">
      <c r="A1405" t="s">
        <v>82</v>
      </c>
      <c r="B1405" t="s">
        <v>125</v>
      </c>
      <c r="C1405" s="1">
        <v>44390.5</v>
      </c>
      <c r="D1405" t="s">
        <v>156</v>
      </c>
      <c r="E1405" t="s">
        <v>124</v>
      </c>
      <c r="F1405">
        <v>48</v>
      </c>
      <c r="G1405">
        <v>0.1</v>
      </c>
    </row>
    <row r="1406" spans="1:7" x14ac:dyDescent="0.3">
      <c r="A1406" s="2" t="s">
        <v>198</v>
      </c>
      <c r="B1406" t="s">
        <v>125</v>
      </c>
      <c r="C1406" s="1">
        <v>44244</v>
      </c>
      <c r="D1406" s="2" t="str">
        <f>_xlfn.XLOOKUP(Table1_1[[#This Row],[CAS_rn]],[1]analyte_order!$C:$C,[1]analyte_order!$B:$B)</f>
        <v>PFBA</v>
      </c>
      <c r="E1406" s="2" t="s">
        <v>85</v>
      </c>
      <c r="F1406" s="2">
        <f>_xlfn.XLOOKUP(Table1_1[[#This Row],[CAS_rn]],[1]analyte_order!$C:$C,[1]analyte_order!$E:$E)</f>
        <v>1</v>
      </c>
      <c r="G1406">
        <v>0.37</v>
      </c>
    </row>
    <row r="1407" spans="1:7" x14ac:dyDescent="0.3">
      <c r="A1407" s="2" t="s">
        <v>198</v>
      </c>
      <c r="B1407" t="s">
        <v>125</v>
      </c>
      <c r="C1407" s="1">
        <v>44244</v>
      </c>
      <c r="D1407" s="2" t="str">
        <f>_xlfn.XLOOKUP(Table1_1[[#This Row],[CAS_rn]],[1]analyte_order!$C:$C,[1]analyte_order!$B:$B)</f>
        <v>PFPeA</v>
      </c>
      <c r="E1407" s="2" t="s">
        <v>86</v>
      </c>
      <c r="F1407" s="2">
        <f>_xlfn.XLOOKUP(Table1_1[[#This Row],[CAS_rn]],[1]analyte_order!$C:$C,[1]analyte_order!$E:$E)</f>
        <v>2</v>
      </c>
      <c r="G1407">
        <v>0.65100000000000002</v>
      </c>
    </row>
    <row r="1408" spans="1:7" x14ac:dyDescent="0.3">
      <c r="A1408" s="2" t="s">
        <v>198</v>
      </c>
      <c r="B1408" t="s">
        <v>125</v>
      </c>
      <c r="C1408" s="1">
        <v>44244</v>
      </c>
      <c r="D1408" s="2" t="str">
        <f>_xlfn.XLOOKUP(Table1_1[[#This Row],[CAS_rn]],[1]analyte_order!$C:$C,[1]analyte_order!$B:$B)</f>
        <v>PFHxA</v>
      </c>
      <c r="E1408" s="2" t="s">
        <v>87</v>
      </c>
      <c r="F1408" s="2">
        <f>_xlfn.XLOOKUP(Table1_1[[#This Row],[CAS_rn]],[1]analyte_order!$C:$C,[1]analyte_order!$E:$E)</f>
        <v>3</v>
      </c>
      <c r="G1408">
        <v>0.32800000000000001</v>
      </c>
    </row>
    <row r="1409" spans="1:7" x14ac:dyDescent="0.3">
      <c r="A1409" s="2" t="s">
        <v>198</v>
      </c>
      <c r="B1409" t="s">
        <v>125</v>
      </c>
      <c r="C1409" s="1">
        <v>44244</v>
      </c>
      <c r="D1409" s="2" t="str">
        <f>_xlfn.XLOOKUP(Table1_1[[#This Row],[CAS_rn]],[1]analyte_order!$C:$C,[1]analyte_order!$B:$B)</f>
        <v>PFHpA</v>
      </c>
      <c r="E1409" s="2" t="s">
        <v>88</v>
      </c>
      <c r="F1409" s="2">
        <f>_xlfn.XLOOKUP(Table1_1[[#This Row],[CAS_rn]],[1]analyte_order!$C:$C,[1]analyte_order!$E:$E)</f>
        <v>4</v>
      </c>
      <c r="G1409">
        <v>0.223</v>
      </c>
    </row>
    <row r="1410" spans="1:7" x14ac:dyDescent="0.3">
      <c r="A1410" s="2" t="s">
        <v>198</v>
      </c>
      <c r="B1410" t="s">
        <v>125</v>
      </c>
      <c r="C1410" s="1">
        <v>44244</v>
      </c>
      <c r="D1410" s="2" t="str">
        <f>_xlfn.XLOOKUP(Table1_1[[#This Row],[CAS_rn]],[1]analyte_order!$C:$C,[1]analyte_order!$B:$B)</f>
        <v>PFOA</v>
      </c>
      <c r="E1410" s="2" t="s">
        <v>89</v>
      </c>
      <c r="F1410" s="2">
        <f>_xlfn.XLOOKUP(Table1_1[[#This Row],[CAS_rn]],[1]analyte_order!$C:$C,[1]analyte_order!$E:$E)</f>
        <v>5</v>
      </c>
      <c r="G1410">
        <v>0.501</v>
      </c>
    </row>
    <row r="1411" spans="1:7" x14ac:dyDescent="0.3">
      <c r="A1411" s="2" t="s">
        <v>198</v>
      </c>
      <c r="B1411" t="s">
        <v>125</v>
      </c>
      <c r="C1411" s="1">
        <v>44244</v>
      </c>
      <c r="D1411" s="2" t="str">
        <f>_xlfn.XLOOKUP(Table1_1[[#This Row],[CAS_rn]],[1]analyte_order!$C:$C,[1]analyte_order!$B:$B)</f>
        <v>PFNA</v>
      </c>
      <c r="E1411" s="2" t="s">
        <v>90</v>
      </c>
      <c r="F1411" s="2">
        <f>_xlfn.XLOOKUP(Table1_1[[#This Row],[CAS_rn]],[1]analyte_order!$C:$C,[1]analyte_order!$E:$E)</f>
        <v>6</v>
      </c>
      <c r="G1411">
        <v>0.35799999999999998</v>
      </c>
    </row>
    <row r="1412" spans="1:7" x14ac:dyDescent="0.3">
      <c r="A1412" s="2" t="s">
        <v>198</v>
      </c>
      <c r="B1412" t="s">
        <v>125</v>
      </c>
      <c r="C1412" s="1">
        <v>44244</v>
      </c>
      <c r="D1412" s="2" t="str">
        <f>_xlfn.XLOOKUP(Table1_1[[#This Row],[CAS_rn]],[1]analyte_order!$C:$C,[1]analyte_order!$B:$B)</f>
        <v>PFDA</v>
      </c>
      <c r="E1412" s="2" t="s">
        <v>91</v>
      </c>
      <c r="F1412" s="2">
        <f>_xlfn.XLOOKUP(Table1_1[[#This Row],[CAS_rn]],[1]analyte_order!$C:$C,[1]analyte_order!$E:$E)</f>
        <v>7</v>
      </c>
      <c r="G1412">
        <v>0.16400000000000001</v>
      </c>
    </row>
    <row r="1413" spans="1:7" x14ac:dyDescent="0.3">
      <c r="A1413" s="2" t="s">
        <v>198</v>
      </c>
      <c r="B1413" t="s">
        <v>125</v>
      </c>
      <c r="C1413" s="1">
        <v>44244</v>
      </c>
      <c r="D1413" s="2" t="str">
        <f>_xlfn.XLOOKUP(Table1_1[[#This Row],[CAS_rn]],[1]analyte_order!$C:$C,[1]analyte_order!$B:$B)</f>
        <v>PFUnA</v>
      </c>
      <c r="E1413" s="2" t="s">
        <v>92</v>
      </c>
      <c r="F1413" s="2">
        <f>_xlfn.XLOOKUP(Table1_1[[#This Row],[CAS_rn]],[1]analyte_order!$C:$C,[1]analyte_order!$E:$E)</f>
        <v>8</v>
      </c>
      <c r="G1413">
        <v>0.47499999999999998</v>
      </c>
    </row>
    <row r="1414" spans="1:7" x14ac:dyDescent="0.3">
      <c r="A1414" s="2" t="s">
        <v>198</v>
      </c>
      <c r="B1414" t="s">
        <v>125</v>
      </c>
      <c r="C1414" s="1">
        <v>44244</v>
      </c>
      <c r="D1414" s="2" t="str">
        <f>_xlfn.XLOOKUP(Table1_1[[#This Row],[CAS_rn]],[1]analyte_order!$C:$C,[1]analyte_order!$B:$B)</f>
        <v>PFDoA</v>
      </c>
      <c r="E1414" s="2" t="s">
        <v>93</v>
      </c>
      <c r="F1414" s="2">
        <f>_xlfn.XLOOKUP(Table1_1[[#This Row],[CAS_rn]],[1]analyte_order!$C:$C,[1]analyte_order!$E:$E)</f>
        <v>9</v>
      </c>
      <c r="G1414">
        <v>0.26100000000000001</v>
      </c>
    </row>
    <row r="1415" spans="1:7" x14ac:dyDescent="0.3">
      <c r="A1415" s="2" t="s">
        <v>198</v>
      </c>
      <c r="B1415" t="s">
        <v>125</v>
      </c>
      <c r="C1415" s="1">
        <v>44244</v>
      </c>
      <c r="D1415" s="2" t="str">
        <f>_xlfn.XLOOKUP(Table1_1[[#This Row],[CAS_rn]],[1]analyte_order!$C:$C,[1]analyte_order!$B:$B)</f>
        <v>PFTrDA</v>
      </c>
      <c r="E1415" s="2" t="s">
        <v>94</v>
      </c>
      <c r="F1415" s="2">
        <f>_xlfn.XLOOKUP(Table1_1[[#This Row],[CAS_rn]],[1]analyte_order!$C:$C,[1]analyte_order!$E:$E)</f>
        <v>10</v>
      </c>
      <c r="G1415">
        <v>0.191</v>
      </c>
    </row>
    <row r="1416" spans="1:7" x14ac:dyDescent="0.3">
      <c r="A1416" s="2" t="s">
        <v>198</v>
      </c>
      <c r="B1416" t="s">
        <v>125</v>
      </c>
      <c r="C1416" s="1">
        <v>44244</v>
      </c>
      <c r="D1416" s="2" t="str">
        <f>_xlfn.XLOOKUP(Table1_1[[#This Row],[CAS_rn]],[1]analyte_order!$C:$C,[1]analyte_order!$B:$B)</f>
        <v>PFTeDA</v>
      </c>
      <c r="E1416" s="2" t="s">
        <v>95</v>
      </c>
      <c r="F1416" s="2">
        <f>_xlfn.XLOOKUP(Table1_1[[#This Row],[CAS_rn]],[1]analyte_order!$C:$C,[1]analyte_order!$E:$E)</f>
        <v>11</v>
      </c>
      <c r="G1416">
        <v>7.9000000000000001E-2</v>
      </c>
    </row>
    <row r="1417" spans="1:7" x14ac:dyDescent="0.3">
      <c r="A1417" s="2" t="s">
        <v>198</v>
      </c>
      <c r="B1417" t="s">
        <v>125</v>
      </c>
      <c r="C1417" s="1">
        <v>44244</v>
      </c>
      <c r="D1417" s="2" t="str">
        <f>_xlfn.XLOOKUP(Table1_1[[#This Row],[CAS_rn]],[1]analyte_order!$C:$C,[1]analyte_order!$B:$B)</f>
        <v>PFBS</v>
      </c>
      <c r="E1417" s="2" t="s">
        <v>96</v>
      </c>
      <c r="F1417" s="2">
        <f>_xlfn.XLOOKUP(Table1_1[[#This Row],[CAS_rn]],[1]analyte_order!$C:$C,[1]analyte_order!$E:$E)</f>
        <v>13</v>
      </c>
      <c r="G1417">
        <v>1.8100000000000002E-2</v>
      </c>
    </row>
    <row r="1418" spans="1:7" x14ac:dyDescent="0.3">
      <c r="A1418" s="2" t="s">
        <v>198</v>
      </c>
      <c r="B1418" t="s">
        <v>125</v>
      </c>
      <c r="C1418" s="1">
        <v>44244</v>
      </c>
      <c r="D1418" s="2" t="str">
        <f>_xlfn.XLOOKUP(Table1_1[[#This Row],[CAS_rn]],[1]analyte_order!$C:$C,[1]analyte_order!$B:$B)</f>
        <v>PFPeS</v>
      </c>
      <c r="E1418" s="2" t="s">
        <v>97</v>
      </c>
      <c r="F1418" s="2">
        <f>_xlfn.XLOOKUP(Table1_1[[#This Row],[CAS_rn]],[1]analyte_order!$C:$C,[1]analyte_order!$E:$E)</f>
        <v>14</v>
      </c>
      <c r="G1418">
        <v>5.7000000000000002E-2</v>
      </c>
    </row>
    <row r="1419" spans="1:7" x14ac:dyDescent="0.3">
      <c r="A1419" s="2" t="s">
        <v>198</v>
      </c>
      <c r="B1419" t="s">
        <v>125</v>
      </c>
      <c r="C1419" s="1">
        <v>44244</v>
      </c>
      <c r="D1419" s="2" t="str">
        <f>_xlfn.XLOOKUP(Table1_1[[#This Row],[CAS_rn]],[1]analyte_order!$C:$C,[1]analyte_order!$B:$B)</f>
        <v>PFHxS</v>
      </c>
      <c r="E1419" s="2" t="s">
        <v>98</v>
      </c>
      <c r="F1419" s="2">
        <f>_xlfn.XLOOKUP(Table1_1[[#This Row],[CAS_rn]],[1]analyte_order!$C:$C,[1]analyte_order!$E:$E)</f>
        <v>15</v>
      </c>
      <c r="G1419">
        <v>0.88500000000000001</v>
      </c>
    </row>
    <row r="1420" spans="1:7" x14ac:dyDescent="0.3">
      <c r="A1420" s="2" t="s">
        <v>198</v>
      </c>
      <c r="B1420" t="s">
        <v>125</v>
      </c>
      <c r="C1420" s="1">
        <v>44244</v>
      </c>
      <c r="D1420" s="2" t="str">
        <f>_xlfn.XLOOKUP(Table1_1[[#This Row],[CAS_rn]],[1]analyte_order!$C:$C,[1]analyte_order!$B:$B)</f>
        <v>PFHpS</v>
      </c>
      <c r="E1420" s="2" t="s">
        <v>99</v>
      </c>
      <c r="F1420" s="2">
        <f>_xlfn.XLOOKUP(Table1_1[[#This Row],[CAS_rn]],[1]analyte_order!$C:$C,[1]analyte_order!$E:$E)</f>
        <v>16</v>
      </c>
      <c r="G1420">
        <v>7.0000000000000007E-2</v>
      </c>
    </row>
    <row r="1421" spans="1:7" x14ac:dyDescent="0.3">
      <c r="A1421" s="2" t="s">
        <v>198</v>
      </c>
      <c r="B1421" t="s">
        <v>125</v>
      </c>
      <c r="C1421" s="1">
        <v>44244</v>
      </c>
      <c r="D1421" s="2" t="str">
        <f>_xlfn.XLOOKUP(Table1_1[[#This Row],[CAS_rn]],[1]analyte_order!$C:$C,[1]analyte_order!$B:$B)</f>
        <v>PFOS</v>
      </c>
      <c r="E1421" s="2" t="s">
        <v>100</v>
      </c>
      <c r="F1421" s="2">
        <f>_xlfn.XLOOKUP(Table1_1[[#This Row],[CAS_rn]],[1]analyte_order!$C:$C,[1]analyte_order!$E:$E)</f>
        <v>17</v>
      </c>
      <c r="G1421">
        <v>14.7</v>
      </c>
    </row>
    <row r="1422" spans="1:7" x14ac:dyDescent="0.3">
      <c r="A1422" s="2" t="s">
        <v>198</v>
      </c>
      <c r="B1422" t="s">
        <v>125</v>
      </c>
      <c r="C1422" s="1">
        <v>44244</v>
      </c>
      <c r="D1422" s="2" t="str">
        <f>_xlfn.XLOOKUP(Table1_1[[#This Row],[CAS_rn]],[1]analyte_order!$C:$C,[1]analyte_order!$B:$B)</f>
        <v>PFNS</v>
      </c>
      <c r="E1422" s="2" t="s">
        <v>101</v>
      </c>
      <c r="F1422" s="2">
        <f>_xlfn.XLOOKUP(Table1_1[[#This Row],[CAS_rn]],[1]analyte_order!$C:$C,[1]analyte_order!$E:$E)</f>
        <v>18</v>
      </c>
      <c r="G1422">
        <v>0.122</v>
      </c>
    </row>
    <row r="1423" spans="1:7" x14ac:dyDescent="0.3">
      <c r="A1423" s="2" t="s">
        <v>198</v>
      </c>
      <c r="B1423" t="s">
        <v>125</v>
      </c>
      <c r="C1423" s="1">
        <v>44244</v>
      </c>
      <c r="D1423" s="2" t="str">
        <f>_xlfn.XLOOKUP(Table1_1[[#This Row],[CAS_rn]],[1]analyte_order!$C:$C,[1]analyte_order!$B:$B)</f>
        <v>PFDS</v>
      </c>
      <c r="E1423" s="2" t="s">
        <v>123</v>
      </c>
      <c r="F1423" s="2">
        <f>_xlfn.XLOOKUP(Table1_1[[#This Row],[CAS_rn]],[1]analyte_order!$C:$C,[1]analyte_order!$E:$E)</f>
        <v>19</v>
      </c>
      <c r="G1423">
        <v>0.49099999999999999</v>
      </c>
    </row>
    <row r="1424" spans="1:7" x14ac:dyDescent="0.3">
      <c r="A1424" s="2" t="s">
        <v>198</v>
      </c>
      <c r="B1424" t="s">
        <v>125</v>
      </c>
      <c r="C1424" s="1">
        <v>44244</v>
      </c>
      <c r="D1424" s="2" t="str">
        <f>_xlfn.XLOOKUP(Table1_1[[#This Row],[CAS_rn]],[1]analyte_order!$C:$C,[1]analyte_order!$B:$B)</f>
        <v>PFDoS</v>
      </c>
      <c r="E1424" s="2" t="s">
        <v>102</v>
      </c>
      <c r="F1424" s="2">
        <f>_xlfn.XLOOKUP(Table1_1[[#This Row],[CAS_rn]],[1]analyte_order!$C:$C,[1]analyte_order!$E:$E)</f>
        <v>20</v>
      </c>
      <c r="G1424">
        <v>7.6999999999999999E-2</v>
      </c>
    </row>
    <row r="1425" spans="1:7" x14ac:dyDescent="0.3">
      <c r="A1425" s="2" t="s">
        <v>198</v>
      </c>
      <c r="B1425" t="s">
        <v>125</v>
      </c>
      <c r="C1425" s="1">
        <v>44244</v>
      </c>
      <c r="D1425" s="2" t="str">
        <f>_xlfn.XLOOKUP(Table1_1[[#This Row],[CAS_rn]],[1]analyte_order!$C:$C,[1]analyte_order!$B:$B)</f>
        <v>4:2 FTS</v>
      </c>
      <c r="E1425" s="2" t="s">
        <v>103</v>
      </c>
      <c r="F1425" s="2">
        <f>_xlfn.XLOOKUP(Table1_1[[#This Row],[CAS_rn]],[1]analyte_order!$C:$C,[1]analyte_order!$E:$E)</f>
        <v>21</v>
      </c>
      <c r="G1425">
        <v>7.2499999999999995E-2</v>
      </c>
    </row>
    <row r="1426" spans="1:7" x14ac:dyDescent="0.3">
      <c r="A1426" s="2" t="s">
        <v>198</v>
      </c>
      <c r="B1426" t="s">
        <v>125</v>
      </c>
      <c r="C1426" s="1">
        <v>44244</v>
      </c>
      <c r="D1426" s="2" t="str">
        <f>_xlfn.XLOOKUP(Table1_1[[#This Row],[CAS_rn]],[1]analyte_order!$C:$C,[1]analyte_order!$B:$B)</f>
        <v>6:2 FTS</v>
      </c>
      <c r="E1426" s="2" t="s">
        <v>104</v>
      </c>
      <c r="F1426" s="2">
        <f>_xlfn.XLOOKUP(Table1_1[[#This Row],[CAS_rn]],[1]analyte_order!$C:$C,[1]analyte_order!$E:$E)</f>
        <v>22</v>
      </c>
      <c r="G1426">
        <v>6.5500000000000003E-2</v>
      </c>
    </row>
    <row r="1427" spans="1:7" x14ac:dyDescent="0.3">
      <c r="A1427" s="2" t="s">
        <v>198</v>
      </c>
      <c r="B1427" t="s">
        <v>125</v>
      </c>
      <c r="C1427" s="1">
        <v>44244</v>
      </c>
      <c r="D1427" s="2" t="str">
        <f>_xlfn.XLOOKUP(Table1_1[[#This Row],[CAS_rn]],[1]analyte_order!$C:$C,[1]analyte_order!$B:$B)</f>
        <v>8:2 FTS</v>
      </c>
      <c r="E1427" s="2" t="s">
        <v>105</v>
      </c>
      <c r="F1427" s="2">
        <f>_xlfn.XLOOKUP(Table1_1[[#This Row],[CAS_rn]],[1]analyte_order!$C:$C,[1]analyte_order!$E:$E)</f>
        <v>23</v>
      </c>
      <c r="G1427">
        <v>0.29199999999999998</v>
      </c>
    </row>
    <row r="1428" spans="1:7" x14ac:dyDescent="0.3">
      <c r="A1428" s="2" t="s">
        <v>198</v>
      </c>
      <c r="B1428" t="s">
        <v>125</v>
      </c>
      <c r="C1428" s="1">
        <v>44244</v>
      </c>
      <c r="D1428" s="2" t="str">
        <f>_xlfn.XLOOKUP(Table1_1[[#This Row],[CAS_rn]],[1]analyte_order!$C:$C,[1]analyte_order!$B:$B)</f>
        <v>FOSA</v>
      </c>
      <c r="E1428" s="2" t="s">
        <v>106</v>
      </c>
      <c r="F1428" s="2">
        <f>_xlfn.XLOOKUP(Table1_1[[#This Row],[CAS_rn]],[1]analyte_order!$C:$C,[1]analyte_order!$E:$E)</f>
        <v>27</v>
      </c>
      <c r="G1428">
        <v>0.41</v>
      </c>
    </row>
    <row r="1429" spans="1:7" x14ac:dyDescent="0.3">
      <c r="A1429" s="2" t="s">
        <v>198</v>
      </c>
      <c r="B1429" t="s">
        <v>125</v>
      </c>
      <c r="C1429" s="1">
        <v>44244</v>
      </c>
      <c r="D1429" s="2" t="str">
        <f>_xlfn.XLOOKUP(Table1_1[[#This Row],[CAS_rn]],[1]analyte_order!$C:$C,[1]analyte_order!$B:$B)</f>
        <v>N-MeFOSA</v>
      </c>
      <c r="E1429" s="2" t="s">
        <v>107</v>
      </c>
      <c r="F1429" s="2">
        <f>_xlfn.XLOOKUP(Table1_1[[#This Row],[CAS_rn]],[1]analyte_order!$C:$C,[1]analyte_order!$E:$E)</f>
        <v>29</v>
      </c>
      <c r="G1429">
        <v>1.8100000000000002E-2</v>
      </c>
    </row>
    <row r="1430" spans="1:7" x14ac:dyDescent="0.3">
      <c r="A1430" s="2" t="s">
        <v>198</v>
      </c>
      <c r="B1430" t="s">
        <v>125</v>
      </c>
      <c r="C1430" s="1">
        <v>44244</v>
      </c>
      <c r="D1430" s="2" t="str">
        <f>_xlfn.XLOOKUP(Table1_1[[#This Row],[CAS_rn]],[1]analyte_order!$C:$C,[1]analyte_order!$B:$B)</f>
        <v>N-EtFOSA</v>
      </c>
      <c r="E1430" s="2" t="s">
        <v>109</v>
      </c>
      <c r="F1430" s="2">
        <f>_xlfn.XLOOKUP(Table1_1[[#This Row],[CAS_rn]],[1]analyte_order!$C:$C,[1]analyte_order!$E:$E)</f>
        <v>30</v>
      </c>
      <c r="G1430">
        <v>5.0500000000000003E-2</v>
      </c>
    </row>
    <row r="1431" spans="1:7" x14ac:dyDescent="0.3">
      <c r="A1431" s="2" t="s">
        <v>198</v>
      </c>
      <c r="B1431" t="s">
        <v>125</v>
      </c>
      <c r="C1431" s="1">
        <v>44244</v>
      </c>
      <c r="D1431" s="2" t="str">
        <f>_xlfn.XLOOKUP(Table1_1[[#This Row],[CAS_rn]],[1]analyte_order!$C:$C,[1]analyte_order!$B:$B)</f>
        <v>N-MeFOSAA</v>
      </c>
      <c r="E1431" s="2" t="s">
        <v>108</v>
      </c>
      <c r="F1431" s="2">
        <f>_xlfn.XLOOKUP(Table1_1[[#This Row],[CAS_rn]],[1]analyte_order!$C:$C,[1]analyte_order!$E:$E)</f>
        <v>25</v>
      </c>
      <c r="G1431">
        <v>1.8100000000000002E-2</v>
      </c>
    </row>
    <row r="1432" spans="1:7" x14ac:dyDescent="0.3">
      <c r="A1432" s="2" t="s">
        <v>198</v>
      </c>
      <c r="B1432" t="s">
        <v>125</v>
      </c>
      <c r="C1432" s="1">
        <v>44244</v>
      </c>
      <c r="D1432" s="2" t="str">
        <f>_xlfn.XLOOKUP(Table1_1[[#This Row],[CAS_rn]],[1]analyte_order!$C:$C,[1]analyte_order!$B:$B)</f>
        <v>N-EtFOSAA</v>
      </c>
      <c r="E1432" s="2" t="s">
        <v>110</v>
      </c>
      <c r="F1432" s="2">
        <f>_xlfn.XLOOKUP(Table1_1[[#This Row],[CAS_rn]],[1]analyte_order!$C:$C,[1]analyte_order!$E:$E)</f>
        <v>26</v>
      </c>
      <c r="G1432">
        <v>1.8100000000000002E-2</v>
      </c>
    </row>
    <row r="1433" spans="1:7" x14ac:dyDescent="0.3">
      <c r="A1433" s="2" t="s">
        <v>198</v>
      </c>
      <c r="B1433" t="s">
        <v>125</v>
      </c>
      <c r="C1433" s="1">
        <v>44244</v>
      </c>
      <c r="D1433" s="2" t="str">
        <f>_xlfn.XLOOKUP(Table1_1[[#This Row],[CAS_rn]],[1]analyte_order!$C:$C,[1]analyte_order!$B:$B)</f>
        <v>N-MeFOSE</v>
      </c>
      <c r="E1433" s="2" t="s">
        <v>111</v>
      </c>
      <c r="F1433" s="2">
        <f>_xlfn.XLOOKUP(Table1_1[[#This Row],[CAS_rn]],[1]analyte_order!$C:$C,[1]analyte_order!$E:$E)</f>
        <v>31</v>
      </c>
      <c r="G1433">
        <v>0.18099999999999999</v>
      </c>
    </row>
    <row r="1434" spans="1:7" x14ac:dyDescent="0.3">
      <c r="A1434" s="2" t="s">
        <v>198</v>
      </c>
      <c r="B1434" t="s">
        <v>125</v>
      </c>
      <c r="C1434" s="1">
        <v>44244</v>
      </c>
      <c r="D1434" s="2" t="str">
        <f>_xlfn.XLOOKUP(Table1_1[[#This Row],[CAS_rn]],[1]analyte_order!$C:$C,[1]analyte_order!$B:$B)</f>
        <v>N-EtFOSE</v>
      </c>
      <c r="E1434" s="2" t="s">
        <v>112</v>
      </c>
      <c r="F1434" s="2">
        <f>_xlfn.XLOOKUP(Table1_1[[#This Row],[CAS_rn]],[1]analyte_order!$C:$C,[1]analyte_order!$E:$E)</f>
        <v>32</v>
      </c>
      <c r="G1434">
        <v>0.18099999999999999</v>
      </c>
    </row>
    <row r="1435" spans="1:7" x14ac:dyDescent="0.3">
      <c r="A1435" s="2" t="s">
        <v>198</v>
      </c>
      <c r="B1435" t="s">
        <v>125</v>
      </c>
      <c r="C1435" s="1">
        <v>44244</v>
      </c>
      <c r="D1435" s="2" t="str">
        <f>_xlfn.XLOOKUP(Table1_1[[#This Row],[CAS_rn]],[1]analyte_order!$C:$C,[1]analyte_order!$B:$B)</f>
        <v>HFPO-DA</v>
      </c>
      <c r="E1435" s="2" t="s">
        <v>113</v>
      </c>
      <c r="F1435" s="2">
        <f>_xlfn.XLOOKUP(Table1_1[[#This Row],[CAS_rn]],[1]analyte_order!$C:$C,[1]analyte_order!$E:$E)</f>
        <v>33</v>
      </c>
      <c r="G1435">
        <v>7.2499999999999995E-2</v>
      </c>
    </row>
    <row r="1436" spans="1:7" x14ac:dyDescent="0.3">
      <c r="A1436" s="2" t="s">
        <v>198</v>
      </c>
      <c r="B1436" t="s">
        <v>125</v>
      </c>
      <c r="C1436" s="1">
        <v>44244</v>
      </c>
      <c r="D1436" s="2" t="str">
        <f>_xlfn.XLOOKUP(Table1_1[[#This Row],[CAS_rn]],[1]analyte_order!$C:$C,[1]analyte_order!$B:$B)</f>
        <v>ADONA</v>
      </c>
      <c r="E1436" s="2" t="s">
        <v>114</v>
      </c>
      <c r="F1436" s="2">
        <f>_xlfn.XLOOKUP(Table1_1[[#This Row],[CAS_rn]],[1]analyte_order!$C:$C,[1]analyte_order!$E:$E)</f>
        <v>34</v>
      </c>
      <c r="G1436">
        <v>7.2499999999999995E-2</v>
      </c>
    </row>
    <row r="1437" spans="1:7" x14ac:dyDescent="0.3">
      <c r="A1437" s="2" t="s">
        <v>198</v>
      </c>
      <c r="B1437" t="s">
        <v>125</v>
      </c>
      <c r="C1437" s="1">
        <v>44244</v>
      </c>
      <c r="D1437" s="2" t="str">
        <f>_xlfn.XLOOKUP(Table1_1[[#This Row],[CAS_rn]],[1]analyte_order!$C:$C,[1]analyte_order!$B:$B)</f>
        <v>9Cl-PF3ONS</v>
      </c>
      <c r="E1437" s="2" t="s">
        <v>117</v>
      </c>
      <c r="F1437" s="2">
        <f>_xlfn.XLOOKUP(Table1_1[[#This Row],[CAS_rn]],[1]analyte_order!$C:$C,[1]analyte_order!$E:$E)</f>
        <v>35</v>
      </c>
      <c r="G1437">
        <v>7.2499999999999995E-2</v>
      </c>
    </row>
    <row r="1438" spans="1:7" x14ac:dyDescent="0.3">
      <c r="A1438" s="2" t="s">
        <v>198</v>
      </c>
      <c r="B1438" t="s">
        <v>125</v>
      </c>
      <c r="C1438" s="1">
        <v>44244</v>
      </c>
      <c r="D1438" s="2" t="str">
        <f>_xlfn.XLOOKUP(Table1_1[[#This Row],[CAS_rn]],[1]analyte_order!$C:$C,[1]analyte_order!$B:$B)</f>
        <v>11Cl-PF3OUdS</v>
      </c>
      <c r="E1438" s="2" t="s">
        <v>118</v>
      </c>
      <c r="F1438" s="2">
        <f>_xlfn.XLOOKUP(Table1_1[[#This Row],[CAS_rn]],[1]analyte_order!$C:$C,[1]analyte_order!$E:$E)</f>
        <v>36</v>
      </c>
      <c r="G1438">
        <v>7.2499999999999995E-2</v>
      </c>
    </row>
    <row r="1439" spans="1:7" x14ac:dyDescent="0.3">
      <c r="A1439" s="2" t="s">
        <v>198</v>
      </c>
      <c r="B1439" t="s">
        <v>125</v>
      </c>
      <c r="C1439" s="1">
        <v>44244</v>
      </c>
      <c r="D1439" s="2" t="str">
        <f>_xlfn.XLOOKUP(Table1_1[[#This Row],[CAS_rn]],[1]analyte_order!$C:$C,[1]analyte_order!$B:$B)</f>
        <v>3:3 FTCA</v>
      </c>
      <c r="E1439" s="2" t="s">
        <v>120</v>
      </c>
      <c r="F1439" s="2">
        <f>_xlfn.XLOOKUP(Table1_1[[#This Row],[CAS_rn]],[1]analyte_order!$C:$C,[1]analyte_order!$E:$E)</f>
        <v>37</v>
      </c>
      <c r="G1439">
        <v>7.2499999999999995E-2</v>
      </c>
    </row>
    <row r="1440" spans="1:7" x14ac:dyDescent="0.3">
      <c r="A1440" s="2" t="s">
        <v>198</v>
      </c>
      <c r="B1440" t="s">
        <v>125</v>
      </c>
      <c r="C1440" s="1">
        <v>44244</v>
      </c>
      <c r="D1440" s="2" t="str">
        <f>_xlfn.XLOOKUP(Table1_1[[#This Row],[CAS_rn]],[1]analyte_order!$C:$C,[1]analyte_order!$B:$B)</f>
        <v>5:3 FTCA</v>
      </c>
      <c r="E1440" s="2" t="s">
        <v>121</v>
      </c>
      <c r="F1440" s="2">
        <f>_xlfn.XLOOKUP(Table1_1[[#This Row],[CAS_rn]],[1]analyte_order!$C:$C,[1]analyte_order!$E:$E)</f>
        <v>38</v>
      </c>
      <c r="G1440">
        <v>0.45300000000000001</v>
      </c>
    </row>
    <row r="1441" spans="1:7" x14ac:dyDescent="0.3">
      <c r="A1441" s="2" t="s">
        <v>198</v>
      </c>
      <c r="B1441" t="s">
        <v>125</v>
      </c>
      <c r="C1441" s="1">
        <v>44244</v>
      </c>
      <c r="D1441" s="2" t="str">
        <f>_xlfn.XLOOKUP(Table1_1[[#This Row],[CAS_rn]],[1]analyte_order!$C:$C,[1]analyte_order!$B:$B)</f>
        <v>7:3 FTCA</v>
      </c>
      <c r="E1441" s="2" t="s">
        <v>122</v>
      </c>
      <c r="F1441" s="2">
        <f>_xlfn.XLOOKUP(Table1_1[[#This Row],[CAS_rn]],[1]analyte_order!$C:$C,[1]analyte_order!$E:$E)</f>
        <v>39</v>
      </c>
      <c r="G1441">
        <v>0.45300000000000001</v>
      </c>
    </row>
    <row r="1442" spans="1:7" x14ac:dyDescent="0.3">
      <c r="A1442" s="2" t="s">
        <v>198</v>
      </c>
      <c r="B1442" t="s">
        <v>125</v>
      </c>
      <c r="C1442" s="1">
        <v>44244</v>
      </c>
      <c r="D1442" s="2" t="str">
        <f>_xlfn.XLOOKUP(Table1_1[[#This Row],[CAS_rn]],[1]analyte_order!$C:$C,[1]analyte_order!$B:$B)</f>
        <v>PFEESA</v>
      </c>
      <c r="E1442" s="2" t="s">
        <v>119</v>
      </c>
      <c r="F1442" s="2">
        <f>_xlfn.XLOOKUP(Table1_1[[#This Row],[CAS_rn]],[1]analyte_order!$C:$C,[1]analyte_order!$E:$E)</f>
        <v>46</v>
      </c>
      <c r="G1442">
        <v>1.8100000000000002E-2</v>
      </c>
    </row>
    <row r="1443" spans="1:7" x14ac:dyDescent="0.3">
      <c r="A1443" s="2" t="s">
        <v>198</v>
      </c>
      <c r="B1443" t="s">
        <v>125</v>
      </c>
      <c r="C1443" s="1">
        <v>44244</v>
      </c>
      <c r="D1443" s="2" t="str">
        <f>_xlfn.XLOOKUP(Table1_1[[#This Row],[CAS_rn]],[1]analyte_order!$C:$C,[1]analyte_order!$B:$B)</f>
        <v>PFMPA</v>
      </c>
      <c r="E1443" s="2" t="s">
        <v>124</v>
      </c>
      <c r="F1443" s="2">
        <f>_xlfn.XLOOKUP(Table1_1[[#This Row],[CAS_rn]],[1]analyte_order!$C:$C,[1]analyte_order!$E:$E)</f>
        <v>48</v>
      </c>
      <c r="G1443">
        <v>3.6249999999999998E-2</v>
      </c>
    </row>
    <row r="1444" spans="1:7" x14ac:dyDescent="0.3">
      <c r="A1444" s="2" t="s">
        <v>198</v>
      </c>
      <c r="B1444" t="s">
        <v>125</v>
      </c>
      <c r="C1444" s="1">
        <v>44244</v>
      </c>
      <c r="D1444" s="2" t="str">
        <f>_xlfn.XLOOKUP(Table1_1[[#This Row],[CAS_rn]],[1]analyte_order!$C:$C,[1]analyte_order!$B:$B)</f>
        <v>PFMBA</v>
      </c>
      <c r="E1444" s="2" t="s">
        <v>115</v>
      </c>
      <c r="F1444" s="2">
        <f>_xlfn.XLOOKUP(Table1_1[[#This Row],[CAS_rn]],[1]analyte_order!$C:$C,[1]analyte_order!$E:$E)</f>
        <v>47</v>
      </c>
      <c r="G1444">
        <v>1.8100000000000002E-2</v>
      </c>
    </row>
    <row r="1445" spans="1:7" x14ac:dyDescent="0.3">
      <c r="A1445" s="2" t="s">
        <v>198</v>
      </c>
      <c r="B1445" t="s">
        <v>125</v>
      </c>
      <c r="C1445" s="1">
        <v>44244</v>
      </c>
      <c r="D1445" s="2" t="str">
        <f>_xlfn.XLOOKUP(Table1_1[[#This Row],[CAS_rn]],[1]analyte_order!$C:$C,[1]analyte_order!$B:$B)</f>
        <v>NFDHA</v>
      </c>
      <c r="E1445" s="2" t="s">
        <v>116</v>
      </c>
      <c r="F1445" s="2">
        <f>_xlfn.XLOOKUP(Table1_1[[#This Row],[CAS_rn]],[1]analyte_order!$C:$C,[1]analyte_order!$E:$E)</f>
        <v>49</v>
      </c>
      <c r="G1445">
        <v>3.6249999999999998E-2</v>
      </c>
    </row>
    <row r="1446" spans="1:7" x14ac:dyDescent="0.3">
      <c r="A1446" s="2" t="s">
        <v>199</v>
      </c>
      <c r="B1446" s="2" t="s">
        <v>126</v>
      </c>
      <c r="C1446" s="1">
        <v>44244</v>
      </c>
      <c r="D1446" s="2" t="str">
        <f>_xlfn.XLOOKUP(Table1_1[[#This Row],[CAS_rn]],[1]analyte_order!$C:$C,[1]analyte_order!$B:$B)</f>
        <v>PFBA</v>
      </c>
      <c r="E1446" s="2" t="s">
        <v>85</v>
      </c>
      <c r="F1446" s="2">
        <f>_xlfn.XLOOKUP(Table1_1[[#This Row],[CAS_rn]],[1]analyte_order!$C:$C,[1]analyte_order!$E:$E)</f>
        <v>1</v>
      </c>
      <c r="G1446">
        <v>0.20300000000000001</v>
      </c>
    </row>
    <row r="1447" spans="1:7" x14ac:dyDescent="0.3">
      <c r="A1447" s="2" t="s">
        <v>199</v>
      </c>
      <c r="B1447" s="2" t="s">
        <v>126</v>
      </c>
      <c r="C1447" s="1">
        <v>44244</v>
      </c>
      <c r="D1447" s="2" t="str">
        <f>_xlfn.XLOOKUP(Table1_1[[#This Row],[CAS_rn]],[1]analyte_order!$C:$C,[1]analyte_order!$B:$B)</f>
        <v>PFPeA</v>
      </c>
      <c r="E1447" s="2" t="s">
        <v>86</v>
      </c>
      <c r="F1447" s="2">
        <f>_xlfn.XLOOKUP(Table1_1[[#This Row],[CAS_rn]],[1]analyte_order!$C:$C,[1]analyte_order!$E:$E)</f>
        <v>2</v>
      </c>
      <c r="G1447">
        <v>0.36899999999999999</v>
      </c>
    </row>
    <row r="1448" spans="1:7" x14ac:dyDescent="0.3">
      <c r="A1448" s="2" t="s">
        <v>199</v>
      </c>
      <c r="B1448" s="2" t="s">
        <v>126</v>
      </c>
      <c r="C1448" s="1">
        <v>44244</v>
      </c>
      <c r="D1448" s="2" t="str">
        <f>_xlfn.XLOOKUP(Table1_1[[#This Row],[CAS_rn]],[1]analyte_order!$C:$C,[1]analyte_order!$B:$B)</f>
        <v>PFHxA</v>
      </c>
      <c r="E1448" s="2" t="s">
        <v>87</v>
      </c>
      <c r="F1448" s="2">
        <f>_xlfn.XLOOKUP(Table1_1[[#This Row],[CAS_rn]],[1]analyte_order!$C:$C,[1]analyte_order!$E:$E)</f>
        <v>3</v>
      </c>
      <c r="G1448">
        <v>0.26200000000000001</v>
      </c>
    </row>
    <row r="1449" spans="1:7" x14ac:dyDescent="0.3">
      <c r="A1449" s="2" t="s">
        <v>199</v>
      </c>
      <c r="B1449" s="2" t="s">
        <v>126</v>
      </c>
      <c r="C1449" s="1">
        <v>44244</v>
      </c>
      <c r="D1449" s="2" t="str">
        <f>_xlfn.XLOOKUP(Table1_1[[#This Row],[CAS_rn]],[1]analyte_order!$C:$C,[1]analyte_order!$B:$B)</f>
        <v>PFHpA</v>
      </c>
      <c r="E1449" s="2" t="s">
        <v>88</v>
      </c>
      <c r="F1449" s="2">
        <f>_xlfn.XLOOKUP(Table1_1[[#This Row],[CAS_rn]],[1]analyte_order!$C:$C,[1]analyte_order!$E:$E)</f>
        <v>4</v>
      </c>
      <c r="G1449">
        <v>0.14299999999999999</v>
      </c>
    </row>
    <row r="1450" spans="1:7" x14ac:dyDescent="0.3">
      <c r="A1450" s="2" t="s">
        <v>199</v>
      </c>
      <c r="B1450" s="2" t="s">
        <v>126</v>
      </c>
      <c r="C1450" s="1">
        <v>44244</v>
      </c>
      <c r="D1450" s="2" t="str">
        <f>_xlfn.XLOOKUP(Table1_1[[#This Row],[CAS_rn]],[1]analyte_order!$C:$C,[1]analyte_order!$B:$B)</f>
        <v>PFOA</v>
      </c>
      <c r="E1450" s="2" t="s">
        <v>89</v>
      </c>
      <c r="F1450" s="2">
        <f>_xlfn.XLOOKUP(Table1_1[[#This Row],[CAS_rn]],[1]analyte_order!$C:$C,[1]analyte_order!$E:$E)</f>
        <v>5</v>
      </c>
      <c r="G1450">
        <v>0.53200000000000003</v>
      </c>
    </row>
    <row r="1451" spans="1:7" x14ac:dyDescent="0.3">
      <c r="A1451" s="2" t="s">
        <v>199</v>
      </c>
      <c r="B1451" s="2" t="s">
        <v>126</v>
      </c>
      <c r="C1451" s="1">
        <v>44244</v>
      </c>
      <c r="D1451" s="2" t="str">
        <f>_xlfn.XLOOKUP(Table1_1[[#This Row],[CAS_rn]],[1]analyte_order!$C:$C,[1]analyte_order!$B:$B)</f>
        <v>PFNA</v>
      </c>
      <c r="E1451" s="2" t="s">
        <v>90</v>
      </c>
      <c r="F1451" s="2">
        <f>_xlfn.XLOOKUP(Table1_1[[#This Row],[CAS_rn]],[1]analyte_order!$C:$C,[1]analyte_order!$E:$E)</f>
        <v>6</v>
      </c>
      <c r="G1451">
        <v>0.33300000000000002</v>
      </c>
    </row>
    <row r="1452" spans="1:7" x14ac:dyDescent="0.3">
      <c r="A1452" s="2" t="s">
        <v>199</v>
      </c>
      <c r="B1452" s="2" t="s">
        <v>126</v>
      </c>
      <c r="C1452" s="1">
        <v>44244</v>
      </c>
      <c r="D1452" s="2" t="str">
        <f>_xlfn.XLOOKUP(Table1_1[[#This Row],[CAS_rn]],[1]analyte_order!$C:$C,[1]analyte_order!$B:$B)</f>
        <v>PFDA</v>
      </c>
      <c r="E1452" s="2" t="s">
        <v>91</v>
      </c>
      <c r="F1452" s="2">
        <f>_xlfn.XLOOKUP(Table1_1[[#This Row],[CAS_rn]],[1]analyte_order!$C:$C,[1]analyte_order!$E:$E)</f>
        <v>7</v>
      </c>
      <c r="G1452">
        <v>0.36699999999999999</v>
      </c>
    </row>
    <row r="1453" spans="1:7" x14ac:dyDescent="0.3">
      <c r="A1453" s="2" t="s">
        <v>199</v>
      </c>
      <c r="B1453" s="2" t="s">
        <v>126</v>
      </c>
      <c r="C1453" s="1">
        <v>44244</v>
      </c>
      <c r="D1453" s="2" t="str">
        <f>_xlfn.XLOOKUP(Table1_1[[#This Row],[CAS_rn]],[1]analyte_order!$C:$C,[1]analyte_order!$B:$B)</f>
        <v>PFUnA</v>
      </c>
      <c r="E1453" s="2" t="s">
        <v>92</v>
      </c>
      <c r="F1453" s="2">
        <f>_xlfn.XLOOKUP(Table1_1[[#This Row],[CAS_rn]],[1]analyte_order!$C:$C,[1]analyte_order!$E:$E)</f>
        <v>8</v>
      </c>
      <c r="G1453">
        <v>0.97899999999999998</v>
      </c>
    </row>
    <row r="1454" spans="1:7" x14ac:dyDescent="0.3">
      <c r="A1454" s="2" t="s">
        <v>199</v>
      </c>
      <c r="B1454" s="2" t="s">
        <v>126</v>
      </c>
      <c r="C1454" s="1">
        <v>44244</v>
      </c>
      <c r="D1454" s="2" t="str">
        <f>_xlfn.XLOOKUP(Table1_1[[#This Row],[CAS_rn]],[1]analyte_order!$C:$C,[1]analyte_order!$B:$B)</f>
        <v>PFDoA</v>
      </c>
      <c r="E1454" s="2" t="s">
        <v>93</v>
      </c>
      <c r="F1454" s="2">
        <f>_xlfn.XLOOKUP(Table1_1[[#This Row],[CAS_rn]],[1]analyte_order!$C:$C,[1]analyte_order!$E:$E)</f>
        <v>9</v>
      </c>
      <c r="G1454">
        <v>1.03</v>
      </c>
    </row>
    <row r="1455" spans="1:7" x14ac:dyDescent="0.3">
      <c r="A1455" s="2" t="s">
        <v>199</v>
      </c>
      <c r="B1455" s="2" t="s">
        <v>126</v>
      </c>
      <c r="C1455" s="1">
        <v>44244</v>
      </c>
      <c r="D1455" s="2" t="str">
        <f>_xlfn.XLOOKUP(Table1_1[[#This Row],[CAS_rn]],[1]analyte_order!$C:$C,[1]analyte_order!$B:$B)</f>
        <v>PFTrDA</v>
      </c>
      <c r="E1455" s="2" t="s">
        <v>94</v>
      </c>
      <c r="F1455" s="2">
        <f>_xlfn.XLOOKUP(Table1_1[[#This Row],[CAS_rn]],[1]analyte_order!$C:$C,[1]analyte_order!$E:$E)</f>
        <v>10</v>
      </c>
      <c r="G1455">
        <v>0.93300000000000005</v>
      </c>
    </row>
    <row r="1456" spans="1:7" x14ac:dyDescent="0.3">
      <c r="A1456" s="2" t="s">
        <v>199</v>
      </c>
      <c r="B1456" s="2" t="s">
        <v>126</v>
      </c>
      <c r="C1456" s="1">
        <v>44244</v>
      </c>
      <c r="D1456" s="2" t="str">
        <f>_xlfn.XLOOKUP(Table1_1[[#This Row],[CAS_rn]],[1]analyte_order!$C:$C,[1]analyte_order!$B:$B)</f>
        <v>PFTeDA</v>
      </c>
      <c r="E1456" s="2" t="s">
        <v>95</v>
      </c>
      <c r="F1456" s="2">
        <f>_xlfn.XLOOKUP(Table1_1[[#This Row],[CAS_rn]],[1]analyte_order!$C:$C,[1]analyte_order!$E:$E)</f>
        <v>11</v>
      </c>
      <c r="G1456">
        <v>0.52400000000000002</v>
      </c>
    </row>
    <row r="1457" spans="1:7" x14ac:dyDescent="0.3">
      <c r="A1457" s="2" t="s">
        <v>199</v>
      </c>
      <c r="B1457" s="2" t="s">
        <v>126</v>
      </c>
      <c r="C1457" s="1">
        <v>44244</v>
      </c>
      <c r="D1457" s="2" t="str">
        <f>_xlfn.XLOOKUP(Table1_1[[#This Row],[CAS_rn]],[1]analyte_order!$C:$C,[1]analyte_order!$B:$B)</f>
        <v>PFBS</v>
      </c>
      <c r="E1457" s="2" t="s">
        <v>96</v>
      </c>
      <c r="F1457" s="2">
        <f>_xlfn.XLOOKUP(Table1_1[[#This Row],[CAS_rn]],[1]analyte_order!$C:$C,[1]analyte_order!$E:$E)</f>
        <v>13</v>
      </c>
      <c r="G1457">
        <v>5.0999999999999997E-2</v>
      </c>
    </row>
    <row r="1458" spans="1:7" x14ac:dyDescent="0.3">
      <c r="A1458" s="2" t="s">
        <v>199</v>
      </c>
      <c r="B1458" s="2" t="s">
        <v>126</v>
      </c>
      <c r="C1458" s="1">
        <v>44244</v>
      </c>
      <c r="D1458" s="2" t="str">
        <f>_xlfn.XLOOKUP(Table1_1[[#This Row],[CAS_rn]],[1]analyte_order!$C:$C,[1]analyte_order!$B:$B)</f>
        <v>PFPeS</v>
      </c>
      <c r="E1458" s="2" t="s">
        <v>97</v>
      </c>
      <c r="F1458" s="2">
        <f>_xlfn.XLOOKUP(Table1_1[[#This Row],[CAS_rn]],[1]analyte_order!$C:$C,[1]analyte_order!$E:$E)</f>
        <v>14</v>
      </c>
      <c r="G1458">
        <v>0.08</v>
      </c>
    </row>
    <row r="1459" spans="1:7" x14ac:dyDescent="0.3">
      <c r="A1459" s="2" t="s">
        <v>199</v>
      </c>
      <c r="B1459" s="2" t="s">
        <v>126</v>
      </c>
      <c r="C1459" s="1">
        <v>44244</v>
      </c>
      <c r="D1459" s="2" t="str">
        <f>_xlfn.XLOOKUP(Table1_1[[#This Row],[CAS_rn]],[1]analyte_order!$C:$C,[1]analyte_order!$B:$B)</f>
        <v>PFHxS</v>
      </c>
      <c r="E1459" s="2" t="s">
        <v>98</v>
      </c>
      <c r="F1459" s="2">
        <f>_xlfn.XLOOKUP(Table1_1[[#This Row],[CAS_rn]],[1]analyte_order!$C:$C,[1]analyte_order!$E:$E)</f>
        <v>15</v>
      </c>
      <c r="G1459">
        <v>1.29</v>
      </c>
    </row>
    <row r="1460" spans="1:7" x14ac:dyDescent="0.3">
      <c r="A1460" s="2" t="s">
        <v>199</v>
      </c>
      <c r="B1460" s="2" t="s">
        <v>126</v>
      </c>
      <c r="C1460" s="1">
        <v>44244</v>
      </c>
      <c r="D1460" s="2" t="str">
        <f>_xlfn.XLOOKUP(Table1_1[[#This Row],[CAS_rn]],[1]analyte_order!$C:$C,[1]analyte_order!$B:$B)</f>
        <v>PFHpS</v>
      </c>
      <c r="E1460" s="2" t="s">
        <v>99</v>
      </c>
      <c r="F1460" s="2">
        <f>_xlfn.XLOOKUP(Table1_1[[#This Row],[CAS_rn]],[1]analyte_order!$C:$C,[1]analyte_order!$E:$E)</f>
        <v>16</v>
      </c>
      <c r="G1460">
        <v>0.14099999999999999</v>
      </c>
    </row>
    <row r="1461" spans="1:7" x14ac:dyDescent="0.3">
      <c r="A1461" s="2" t="s">
        <v>199</v>
      </c>
      <c r="B1461" s="2" t="s">
        <v>126</v>
      </c>
      <c r="C1461" s="1">
        <v>44244</v>
      </c>
      <c r="D1461" s="2" t="str">
        <f>_xlfn.XLOOKUP(Table1_1[[#This Row],[CAS_rn]],[1]analyte_order!$C:$C,[1]analyte_order!$B:$B)</f>
        <v>PFOS</v>
      </c>
      <c r="E1461" s="2" t="s">
        <v>100</v>
      </c>
      <c r="F1461" s="2">
        <f>_xlfn.XLOOKUP(Table1_1[[#This Row],[CAS_rn]],[1]analyte_order!$C:$C,[1]analyte_order!$E:$E)</f>
        <v>17</v>
      </c>
      <c r="G1461">
        <v>25</v>
      </c>
    </row>
    <row r="1462" spans="1:7" x14ac:dyDescent="0.3">
      <c r="A1462" s="2" t="s">
        <v>199</v>
      </c>
      <c r="B1462" s="2" t="s">
        <v>126</v>
      </c>
      <c r="C1462" s="1">
        <v>44244</v>
      </c>
      <c r="D1462" s="2" t="str">
        <f>_xlfn.XLOOKUP(Table1_1[[#This Row],[CAS_rn]],[1]analyte_order!$C:$C,[1]analyte_order!$B:$B)</f>
        <v>PFNS</v>
      </c>
      <c r="E1462" s="2" t="s">
        <v>101</v>
      </c>
      <c r="F1462" s="2">
        <f>_xlfn.XLOOKUP(Table1_1[[#This Row],[CAS_rn]],[1]analyte_order!$C:$C,[1]analyte_order!$E:$E)</f>
        <v>18</v>
      </c>
      <c r="G1462">
        <v>0.11799999999999999</v>
      </c>
    </row>
    <row r="1463" spans="1:7" x14ac:dyDescent="0.3">
      <c r="A1463" s="2" t="s">
        <v>199</v>
      </c>
      <c r="B1463" s="2" t="s">
        <v>126</v>
      </c>
      <c r="C1463" s="1">
        <v>44244</v>
      </c>
      <c r="D1463" s="2" t="str">
        <f>_xlfn.XLOOKUP(Table1_1[[#This Row],[CAS_rn]],[1]analyte_order!$C:$C,[1]analyte_order!$B:$B)</f>
        <v>PFDS</v>
      </c>
      <c r="E1463" s="2" t="s">
        <v>123</v>
      </c>
      <c r="F1463" s="2">
        <f>_xlfn.XLOOKUP(Table1_1[[#This Row],[CAS_rn]],[1]analyte_order!$C:$C,[1]analyte_order!$E:$E)</f>
        <v>19</v>
      </c>
      <c r="G1463">
        <v>0.56399999999999995</v>
      </c>
    </row>
    <row r="1464" spans="1:7" x14ac:dyDescent="0.3">
      <c r="A1464" s="2" t="s">
        <v>199</v>
      </c>
      <c r="B1464" s="2" t="s">
        <v>126</v>
      </c>
      <c r="C1464" s="1">
        <v>44244</v>
      </c>
      <c r="D1464" s="2" t="str">
        <f>_xlfn.XLOOKUP(Table1_1[[#This Row],[CAS_rn]],[1]analyte_order!$C:$C,[1]analyte_order!$B:$B)</f>
        <v>PFDoS</v>
      </c>
      <c r="E1464" s="2" t="s">
        <v>102</v>
      </c>
      <c r="F1464" s="2">
        <f>_xlfn.XLOOKUP(Table1_1[[#This Row],[CAS_rn]],[1]analyte_order!$C:$C,[1]analyte_order!$E:$E)</f>
        <v>20</v>
      </c>
      <c r="G1464">
        <v>0.39400000000000002</v>
      </c>
    </row>
    <row r="1465" spans="1:7" x14ac:dyDescent="0.3">
      <c r="A1465" s="2" t="s">
        <v>199</v>
      </c>
      <c r="B1465" s="2" t="s">
        <v>126</v>
      </c>
      <c r="C1465" s="1">
        <v>44244</v>
      </c>
      <c r="D1465" s="2" t="str">
        <f>_xlfn.XLOOKUP(Table1_1[[#This Row],[CAS_rn]],[1]analyte_order!$C:$C,[1]analyte_order!$B:$B)</f>
        <v>4:2 FTS</v>
      </c>
      <c r="E1465" s="2" t="s">
        <v>103</v>
      </c>
      <c r="F1465" s="2">
        <f>_xlfn.XLOOKUP(Table1_1[[#This Row],[CAS_rn]],[1]analyte_order!$C:$C,[1]analyte_order!$E:$E)</f>
        <v>21</v>
      </c>
      <c r="G1465">
        <v>7.2999999999999995E-2</v>
      </c>
    </row>
    <row r="1466" spans="1:7" x14ac:dyDescent="0.3">
      <c r="A1466" s="2" t="s">
        <v>199</v>
      </c>
      <c r="B1466" s="2" t="s">
        <v>126</v>
      </c>
      <c r="C1466" s="1">
        <v>44244</v>
      </c>
      <c r="D1466" s="2" t="str">
        <f>_xlfn.XLOOKUP(Table1_1[[#This Row],[CAS_rn]],[1]analyte_order!$C:$C,[1]analyte_order!$B:$B)</f>
        <v>6:2 FTS</v>
      </c>
      <c r="E1466" s="2" t="s">
        <v>104</v>
      </c>
      <c r="F1466" s="2">
        <f>_xlfn.XLOOKUP(Table1_1[[#This Row],[CAS_rn]],[1]analyte_order!$C:$C,[1]analyte_order!$E:$E)</f>
        <v>22</v>
      </c>
      <c r="G1466">
        <v>7.48</v>
      </c>
    </row>
    <row r="1467" spans="1:7" x14ac:dyDescent="0.3">
      <c r="A1467" s="2" t="s">
        <v>199</v>
      </c>
      <c r="B1467" s="2" t="s">
        <v>126</v>
      </c>
      <c r="C1467" s="1">
        <v>44244</v>
      </c>
      <c r="D1467" s="2" t="str">
        <f>_xlfn.XLOOKUP(Table1_1[[#This Row],[CAS_rn]],[1]analyte_order!$C:$C,[1]analyte_order!$B:$B)</f>
        <v>8:2 FTS</v>
      </c>
      <c r="E1467" s="2" t="s">
        <v>105</v>
      </c>
      <c r="F1467" s="2">
        <f>_xlfn.XLOOKUP(Table1_1[[#This Row],[CAS_rn]],[1]analyte_order!$C:$C,[1]analyte_order!$E:$E)</f>
        <v>23</v>
      </c>
      <c r="G1467">
        <v>0.94599999999999995</v>
      </c>
    </row>
    <row r="1468" spans="1:7" x14ac:dyDescent="0.3">
      <c r="A1468" s="2" t="s">
        <v>199</v>
      </c>
      <c r="B1468" s="2" t="s">
        <v>126</v>
      </c>
      <c r="C1468" s="1">
        <v>44244</v>
      </c>
      <c r="D1468" s="2" t="str">
        <f>_xlfn.XLOOKUP(Table1_1[[#This Row],[CAS_rn]],[1]analyte_order!$C:$C,[1]analyte_order!$B:$B)</f>
        <v>FOSA</v>
      </c>
      <c r="E1468" s="2" t="s">
        <v>106</v>
      </c>
      <c r="F1468" s="2">
        <f>_xlfn.XLOOKUP(Table1_1[[#This Row],[CAS_rn]],[1]analyte_order!$C:$C,[1]analyte_order!$E:$E)</f>
        <v>27</v>
      </c>
      <c r="G1468">
        <v>0.28699999999999998</v>
      </c>
    </row>
    <row r="1469" spans="1:7" x14ac:dyDescent="0.3">
      <c r="A1469" s="2" t="s">
        <v>199</v>
      </c>
      <c r="B1469" s="2" t="s">
        <v>126</v>
      </c>
      <c r="C1469" s="1">
        <v>44244</v>
      </c>
      <c r="D1469" s="2" t="str">
        <f>_xlfn.XLOOKUP(Table1_1[[#This Row],[CAS_rn]],[1]analyte_order!$C:$C,[1]analyte_order!$B:$B)</f>
        <v>N-MeFOSA</v>
      </c>
      <c r="E1469" s="2" t="s">
        <v>107</v>
      </c>
      <c r="F1469" s="2">
        <f>_xlfn.XLOOKUP(Table1_1[[#This Row],[CAS_rn]],[1]analyte_order!$C:$C,[1]analyte_order!$E:$E)</f>
        <v>29</v>
      </c>
      <c r="G1469">
        <v>1.83E-2</v>
      </c>
    </row>
    <row r="1470" spans="1:7" x14ac:dyDescent="0.3">
      <c r="A1470" s="2" t="s">
        <v>199</v>
      </c>
      <c r="B1470" s="2" t="s">
        <v>126</v>
      </c>
      <c r="C1470" s="1">
        <v>44244</v>
      </c>
      <c r="D1470" s="2" t="str">
        <f>_xlfn.XLOOKUP(Table1_1[[#This Row],[CAS_rn]],[1]analyte_order!$C:$C,[1]analyte_order!$B:$B)</f>
        <v>N-EtFOSA</v>
      </c>
      <c r="E1470" s="2" t="s">
        <v>109</v>
      </c>
      <c r="F1470" s="2">
        <f>_xlfn.XLOOKUP(Table1_1[[#This Row],[CAS_rn]],[1]analyte_order!$C:$C,[1]analyte_order!$E:$E)</f>
        <v>30</v>
      </c>
      <c r="G1470">
        <v>5.0999999999999997E-2</v>
      </c>
    </row>
    <row r="1471" spans="1:7" x14ac:dyDescent="0.3">
      <c r="A1471" s="2" t="s">
        <v>199</v>
      </c>
      <c r="B1471" s="2" t="s">
        <v>126</v>
      </c>
      <c r="C1471" s="1">
        <v>44244</v>
      </c>
      <c r="D1471" s="2" t="str">
        <f>_xlfn.XLOOKUP(Table1_1[[#This Row],[CAS_rn]],[1]analyte_order!$C:$C,[1]analyte_order!$B:$B)</f>
        <v>N-MeFOSAA</v>
      </c>
      <c r="E1471" s="2" t="s">
        <v>108</v>
      </c>
      <c r="F1471" s="2">
        <f>_xlfn.XLOOKUP(Table1_1[[#This Row],[CAS_rn]],[1]analyte_order!$C:$C,[1]analyte_order!$E:$E)</f>
        <v>25</v>
      </c>
      <c r="G1471">
        <v>1.83E-2</v>
      </c>
    </row>
    <row r="1472" spans="1:7" x14ac:dyDescent="0.3">
      <c r="A1472" s="2" t="s">
        <v>199</v>
      </c>
      <c r="B1472" s="2" t="s">
        <v>126</v>
      </c>
      <c r="C1472" s="1">
        <v>44244</v>
      </c>
      <c r="D1472" s="2" t="str">
        <f>_xlfn.XLOOKUP(Table1_1[[#This Row],[CAS_rn]],[1]analyte_order!$C:$C,[1]analyte_order!$B:$B)</f>
        <v>N-EtFOSAA</v>
      </c>
      <c r="E1472" s="2" t="s">
        <v>110</v>
      </c>
      <c r="F1472" s="2">
        <f>_xlfn.XLOOKUP(Table1_1[[#This Row],[CAS_rn]],[1]analyte_order!$C:$C,[1]analyte_order!$E:$E)</f>
        <v>26</v>
      </c>
      <c r="G1472">
        <v>1.83E-2</v>
      </c>
    </row>
    <row r="1473" spans="1:7" x14ac:dyDescent="0.3">
      <c r="A1473" s="2" t="s">
        <v>199</v>
      </c>
      <c r="B1473" s="2" t="s">
        <v>126</v>
      </c>
      <c r="C1473" s="1">
        <v>44244</v>
      </c>
      <c r="D1473" s="2" t="str">
        <f>_xlfn.XLOOKUP(Table1_1[[#This Row],[CAS_rn]],[1]analyte_order!$C:$C,[1]analyte_order!$B:$B)</f>
        <v>N-MeFOSE</v>
      </c>
      <c r="E1473" s="2" t="s">
        <v>111</v>
      </c>
      <c r="F1473" s="2">
        <f>_xlfn.XLOOKUP(Table1_1[[#This Row],[CAS_rn]],[1]analyte_order!$C:$C,[1]analyte_order!$E:$E)</f>
        <v>31</v>
      </c>
      <c r="G1473">
        <v>0.183</v>
      </c>
    </row>
    <row r="1474" spans="1:7" x14ac:dyDescent="0.3">
      <c r="A1474" s="2" t="s">
        <v>199</v>
      </c>
      <c r="B1474" s="2" t="s">
        <v>126</v>
      </c>
      <c r="C1474" s="1">
        <v>44244</v>
      </c>
      <c r="D1474" s="2" t="str">
        <f>_xlfn.XLOOKUP(Table1_1[[#This Row],[CAS_rn]],[1]analyte_order!$C:$C,[1]analyte_order!$B:$B)</f>
        <v>N-EtFOSE</v>
      </c>
      <c r="E1474" s="2" t="s">
        <v>112</v>
      </c>
      <c r="F1474" s="2">
        <f>_xlfn.XLOOKUP(Table1_1[[#This Row],[CAS_rn]],[1]analyte_order!$C:$C,[1]analyte_order!$E:$E)</f>
        <v>32</v>
      </c>
      <c r="G1474">
        <v>0.183</v>
      </c>
    </row>
    <row r="1475" spans="1:7" x14ac:dyDescent="0.3">
      <c r="A1475" s="2" t="s">
        <v>199</v>
      </c>
      <c r="B1475" s="2" t="s">
        <v>126</v>
      </c>
      <c r="C1475" s="1">
        <v>44244</v>
      </c>
      <c r="D1475" s="2" t="str">
        <f>_xlfn.XLOOKUP(Table1_1[[#This Row],[CAS_rn]],[1]analyte_order!$C:$C,[1]analyte_order!$B:$B)</f>
        <v>HFPO-DA</v>
      </c>
      <c r="E1475" s="2" t="s">
        <v>113</v>
      </c>
      <c r="F1475" s="2">
        <f>_xlfn.XLOOKUP(Table1_1[[#This Row],[CAS_rn]],[1]analyte_order!$C:$C,[1]analyte_order!$E:$E)</f>
        <v>33</v>
      </c>
      <c r="G1475">
        <v>7.2999999999999995E-2</v>
      </c>
    </row>
    <row r="1476" spans="1:7" x14ac:dyDescent="0.3">
      <c r="A1476" s="2" t="s">
        <v>199</v>
      </c>
      <c r="B1476" s="2" t="s">
        <v>126</v>
      </c>
      <c r="C1476" s="1">
        <v>44244</v>
      </c>
      <c r="D1476" s="2" t="str">
        <f>_xlfn.XLOOKUP(Table1_1[[#This Row],[CAS_rn]],[1]analyte_order!$C:$C,[1]analyte_order!$B:$B)</f>
        <v>ADONA</v>
      </c>
      <c r="E1476" s="2" t="s">
        <v>114</v>
      </c>
      <c r="F1476" s="2">
        <f>_xlfn.XLOOKUP(Table1_1[[#This Row],[CAS_rn]],[1]analyte_order!$C:$C,[1]analyte_order!$E:$E)</f>
        <v>34</v>
      </c>
      <c r="G1476">
        <v>7.2999999999999995E-2</v>
      </c>
    </row>
    <row r="1477" spans="1:7" x14ac:dyDescent="0.3">
      <c r="A1477" s="2" t="s">
        <v>199</v>
      </c>
      <c r="B1477" s="2" t="s">
        <v>126</v>
      </c>
      <c r="C1477" s="1">
        <v>44244</v>
      </c>
      <c r="D1477" s="2" t="str">
        <f>_xlfn.XLOOKUP(Table1_1[[#This Row],[CAS_rn]],[1]analyte_order!$C:$C,[1]analyte_order!$B:$B)</f>
        <v>9Cl-PF3ONS</v>
      </c>
      <c r="E1477" s="2" t="s">
        <v>117</v>
      </c>
      <c r="F1477" s="2">
        <f>_xlfn.XLOOKUP(Table1_1[[#This Row],[CAS_rn]],[1]analyte_order!$C:$C,[1]analyte_order!$E:$E)</f>
        <v>35</v>
      </c>
      <c r="G1477">
        <v>7.3499999999999996E-2</v>
      </c>
    </row>
    <row r="1478" spans="1:7" x14ac:dyDescent="0.3">
      <c r="A1478" s="2" t="s">
        <v>199</v>
      </c>
      <c r="B1478" s="2" t="s">
        <v>126</v>
      </c>
      <c r="C1478" s="1">
        <v>44244</v>
      </c>
      <c r="D1478" s="2" t="str">
        <f>_xlfn.XLOOKUP(Table1_1[[#This Row],[CAS_rn]],[1]analyte_order!$C:$C,[1]analyte_order!$B:$B)</f>
        <v>11Cl-PF3OUdS</v>
      </c>
      <c r="E1478" s="2" t="s">
        <v>118</v>
      </c>
      <c r="F1478" s="2">
        <f>_xlfn.XLOOKUP(Table1_1[[#This Row],[CAS_rn]],[1]analyte_order!$C:$C,[1]analyte_order!$E:$E)</f>
        <v>36</v>
      </c>
      <c r="G1478">
        <v>7.3499999999999996E-2</v>
      </c>
    </row>
    <row r="1479" spans="1:7" x14ac:dyDescent="0.3">
      <c r="A1479" s="2" t="s">
        <v>199</v>
      </c>
      <c r="B1479" s="2" t="s">
        <v>126</v>
      </c>
      <c r="C1479" s="1">
        <v>44244</v>
      </c>
      <c r="D1479" s="2" t="str">
        <f>_xlfn.XLOOKUP(Table1_1[[#This Row],[CAS_rn]],[1]analyte_order!$C:$C,[1]analyte_order!$B:$B)</f>
        <v>3:3 FTCA</v>
      </c>
      <c r="E1479" s="2" t="s">
        <v>120</v>
      </c>
      <c r="F1479" s="2">
        <f>_xlfn.XLOOKUP(Table1_1[[#This Row],[CAS_rn]],[1]analyte_order!$C:$C,[1]analyte_order!$E:$E)</f>
        <v>37</v>
      </c>
      <c r="G1479">
        <v>7.2999999999999995E-2</v>
      </c>
    </row>
    <row r="1480" spans="1:7" x14ac:dyDescent="0.3">
      <c r="A1480" s="2" t="s">
        <v>199</v>
      </c>
      <c r="B1480" s="2" t="s">
        <v>126</v>
      </c>
      <c r="C1480" s="1">
        <v>44244</v>
      </c>
      <c r="D1480" s="2" t="str">
        <f>_xlfn.XLOOKUP(Table1_1[[#This Row],[CAS_rn]],[1]analyte_order!$C:$C,[1]analyte_order!$B:$B)</f>
        <v>5:3 FTCA</v>
      </c>
      <c r="E1480" s="2" t="s">
        <v>121</v>
      </c>
      <c r="F1480" s="2">
        <f>_xlfn.XLOOKUP(Table1_1[[#This Row],[CAS_rn]],[1]analyte_order!$C:$C,[1]analyte_order!$E:$E)</f>
        <v>38</v>
      </c>
      <c r="G1480">
        <v>0.45750000000000002</v>
      </c>
    </row>
    <row r="1481" spans="1:7" x14ac:dyDescent="0.3">
      <c r="A1481" s="2" t="s">
        <v>199</v>
      </c>
      <c r="B1481" s="2" t="s">
        <v>126</v>
      </c>
      <c r="C1481" s="1">
        <v>44244</v>
      </c>
      <c r="D1481" s="2" t="str">
        <f>_xlfn.XLOOKUP(Table1_1[[#This Row],[CAS_rn]],[1]analyte_order!$C:$C,[1]analyte_order!$B:$B)</f>
        <v>7:3 FTCA</v>
      </c>
      <c r="E1481" s="2" t="s">
        <v>122</v>
      </c>
      <c r="F1481" s="2">
        <f>_xlfn.XLOOKUP(Table1_1[[#This Row],[CAS_rn]],[1]analyte_order!$C:$C,[1]analyte_order!$E:$E)</f>
        <v>39</v>
      </c>
      <c r="G1481">
        <v>0.94499999999999995</v>
      </c>
    </row>
    <row r="1482" spans="1:7" x14ac:dyDescent="0.3">
      <c r="A1482" s="2" t="s">
        <v>199</v>
      </c>
      <c r="B1482" s="2" t="s">
        <v>126</v>
      </c>
      <c r="C1482" s="1">
        <v>44244</v>
      </c>
      <c r="D1482" s="2" t="str">
        <f>_xlfn.XLOOKUP(Table1_1[[#This Row],[CAS_rn]],[1]analyte_order!$C:$C,[1]analyte_order!$B:$B)</f>
        <v>PFEESA</v>
      </c>
      <c r="E1482" s="2" t="s">
        <v>119</v>
      </c>
      <c r="F1482" s="2">
        <f>_xlfn.XLOOKUP(Table1_1[[#This Row],[CAS_rn]],[1]analyte_order!$C:$C,[1]analyte_order!$E:$E)</f>
        <v>46</v>
      </c>
      <c r="G1482">
        <v>1.83E-2</v>
      </c>
    </row>
    <row r="1483" spans="1:7" x14ac:dyDescent="0.3">
      <c r="A1483" s="2" t="s">
        <v>199</v>
      </c>
      <c r="B1483" s="2" t="s">
        <v>126</v>
      </c>
      <c r="C1483" s="1">
        <v>44244</v>
      </c>
      <c r="D1483" s="2" t="str">
        <f>_xlfn.XLOOKUP(Table1_1[[#This Row],[CAS_rn]],[1]analyte_order!$C:$C,[1]analyte_order!$B:$B)</f>
        <v>PFMPA</v>
      </c>
      <c r="E1483" s="2" t="s">
        <v>124</v>
      </c>
      <c r="F1483" s="2">
        <f>_xlfn.XLOOKUP(Table1_1[[#This Row],[CAS_rn]],[1]analyte_order!$C:$C,[1]analyte_order!$E:$E)</f>
        <v>48</v>
      </c>
      <c r="G1483">
        <v>3.6600000000000001E-2</v>
      </c>
    </row>
    <row r="1484" spans="1:7" x14ac:dyDescent="0.3">
      <c r="A1484" s="2" t="s">
        <v>199</v>
      </c>
      <c r="B1484" s="2" t="s">
        <v>126</v>
      </c>
      <c r="C1484" s="1">
        <v>44244</v>
      </c>
      <c r="D1484" s="2" t="str">
        <f>_xlfn.XLOOKUP(Table1_1[[#This Row],[CAS_rn]],[1]analyte_order!$C:$C,[1]analyte_order!$B:$B)</f>
        <v>PFMBA</v>
      </c>
      <c r="E1484" s="2" t="s">
        <v>115</v>
      </c>
      <c r="F1484" s="2">
        <f>_xlfn.XLOOKUP(Table1_1[[#This Row],[CAS_rn]],[1]analyte_order!$C:$C,[1]analyte_order!$E:$E)</f>
        <v>47</v>
      </c>
      <c r="G1484">
        <v>1.83E-2</v>
      </c>
    </row>
    <row r="1485" spans="1:7" x14ac:dyDescent="0.3">
      <c r="A1485" s="2" t="s">
        <v>199</v>
      </c>
      <c r="B1485" s="2" t="s">
        <v>126</v>
      </c>
      <c r="C1485" s="1">
        <v>44244</v>
      </c>
      <c r="D1485" s="2" t="str">
        <f>_xlfn.XLOOKUP(Table1_1[[#This Row],[CAS_rn]],[1]analyte_order!$C:$C,[1]analyte_order!$B:$B)</f>
        <v>NFDHA</v>
      </c>
      <c r="E1485" s="2" t="s">
        <v>116</v>
      </c>
      <c r="F1485" s="2">
        <f>_xlfn.XLOOKUP(Table1_1[[#This Row],[CAS_rn]],[1]analyte_order!$C:$C,[1]analyte_order!$E:$E)</f>
        <v>49</v>
      </c>
      <c r="G1485">
        <v>3.6600000000000001E-2</v>
      </c>
    </row>
    <row r="1486" spans="1:7" x14ac:dyDescent="0.3">
      <c r="A1486" s="2" t="s">
        <v>200</v>
      </c>
      <c r="B1486" s="2" t="s">
        <v>128</v>
      </c>
      <c r="C1486" s="1">
        <v>44244</v>
      </c>
      <c r="D1486" s="2" t="str">
        <f>_xlfn.XLOOKUP(Table1_1[[#This Row],[CAS_rn]],[1]analyte_order!$C:$C,[1]analyte_order!$B:$B)</f>
        <v>PFBA</v>
      </c>
      <c r="E1486" s="2" t="s">
        <v>85</v>
      </c>
      <c r="F1486" s="2">
        <f>_xlfn.XLOOKUP(Table1_1[[#This Row],[CAS_rn]],[1]analyte_order!$C:$C,[1]analyte_order!$E:$E)</f>
        <v>1</v>
      </c>
      <c r="G1486">
        <v>7.1999999999999995E-2</v>
      </c>
    </row>
    <row r="1487" spans="1:7" x14ac:dyDescent="0.3">
      <c r="A1487" s="2" t="s">
        <v>200</v>
      </c>
      <c r="B1487" s="2" t="s">
        <v>128</v>
      </c>
      <c r="C1487" s="1">
        <v>44244</v>
      </c>
      <c r="D1487" s="2" t="str">
        <f>_xlfn.XLOOKUP(Table1_1[[#This Row],[CAS_rn]],[1]analyte_order!$C:$C,[1]analyte_order!$B:$B)</f>
        <v>PFPeA</v>
      </c>
      <c r="E1487" s="2" t="s">
        <v>86</v>
      </c>
      <c r="F1487" s="2">
        <f>_xlfn.XLOOKUP(Table1_1[[#This Row],[CAS_rn]],[1]analyte_order!$C:$C,[1]analyte_order!$E:$E)</f>
        <v>2</v>
      </c>
      <c r="G1487">
        <v>0.16900000000000001</v>
      </c>
    </row>
    <row r="1488" spans="1:7" x14ac:dyDescent="0.3">
      <c r="A1488" s="2" t="s">
        <v>200</v>
      </c>
      <c r="B1488" s="2" t="s">
        <v>128</v>
      </c>
      <c r="C1488" s="1">
        <v>44244</v>
      </c>
      <c r="D1488" s="2" t="str">
        <f>_xlfn.XLOOKUP(Table1_1[[#This Row],[CAS_rn]],[1]analyte_order!$C:$C,[1]analyte_order!$B:$B)</f>
        <v>PFHxA</v>
      </c>
      <c r="E1488" s="2" t="s">
        <v>87</v>
      </c>
      <c r="F1488" s="2">
        <f>_xlfn.XLOOKUP(Table1_1[[#This Row],[CAS_rn]],[1]analyte_order!$C:$C,[1]analyte_order!$E:$E)</f>
        <v>3</v>
      </c>
      <c r="G1488">
        <v>0.13100000000000001</v>
      </c>
    </row>
    <row r="1489" spans="1:7" x14ac:dyDescent="0.3">
      <c r="A1489" s="2" t="s">
        <v>200</v>
      </c>
      <c r="B1489" s="2" t="s">
        <v>128</v>
      </c>
      <c r="C1489" s="1">
        <v>44244</v>
      </c>
      <c r="D1489" s="2" t="str">
        <f>_xlfn.XLOOKUP(Table1_1[[#This Row],[CAS_rn]],[1]analyte_order!$C:$C,[1]analyte_order!$B:$B)</f>
        <v>PFHpA</v>
      </c>
      <c r="E1489" s="2" t="s">
        <v>88</v>
      </c>
      <c r="F1489" s="2">
        <f>_xlfn.XLOOKUP(Table1_1[[#This Row],[CAS_rn]],[1]analyte_order!$C:$C,[1]analyte_order!$E:$E)</f>
        <v>4</v>
      </c>
      <c r="G1489">
        <v>8.4000000000000005E-2</v>
      </c>
    </row>
    <row r="1490" spans="1:7" x14ac:dyDescent="0.3">
      <c r="A1490" s="2" t="s">
        <v>200</v>
      </c>
      <c r="B1490" s="2" t="s">
        <v>128</v>
      </c>
      <c r="C1490" s="1">
        <v>44244</v>
      </c>
      <c r="D1490" s="2" t="str">
        <f>_xlfn.XLOOKUP(Table1_1[[#This Row],[CAS_rn]],[1]analyte_order!$C:$C,[1]analyte_order!$B:$B)</f>
        <v>PFOA</v>
      </c>
      <c r="E1490" s="2" t="s">
        <v>89</v>
      </c>
      <c r="F1490" s="2">
        <f>_xlfn.XLOOKUP(Table1_1[[#This Row],[CAS_rn]],[1]analyte_order!$C:$C,[1]analyte_order!$E:$E)</f>
        <v>5</v>
      </c>
      <c r="G1490">
        <v>0.18099999999999999</v>
      </c>
    </row>
    <row r="1491" spans="1:7" x14ac:dyDescent="0.3">
      <c r="A1491" s="2" t="s">
        <v>200</v>
      </c>
      <c r="B1491" s="2" t="s">
        <v>128</v>
      </c>
      <c r="C1491" s="1">
        <v>44244</v>
      </c>
      <c r="D1491" s="2" t="str">
        <f>_xlfn.XLOOKUP(Table1_1[[#This Row],[CAS_rn]],[1]analyte_order!$C:$C,[1]analyte_order!$B:$B)</f>
        <v>PFNA</v>
      </c>
      <c r="E1491" s="2" t="s">
        <v>90</v>
      </c>
      <c r="F1491" s="2">
        <f>_xlfn.XLOOKUP(Table1_1[[#This Row],[CAS_rn]],[1]analyte_order!$C:$C,[1]analyte_order!$E:$E)</f>
        <v>6</v>
      </c>
      <c r="G1491">
        <v>0.17299999999999999</v>
      </c>
    </row>
    <row r="1492" spans="1:7" x14ac:dyDescent="0.3">
      <c r="A1492" s="2" t="s">
        <v>200</v>
      </c>
      <c r="B1492" s="2" t="s">
        <v>128</v>
      </c>
      <c r="C1492" s="1">
        <v>44244</v>
      </c>
      <c r="D1492" s="2" t="str">
        <f>_xlfn.XLOOKUP(Table1_1[[#This Row],[CAS_rn]],[1]analyte_order!$C:$C,[1]analyte_order!$B:$B)</f>
        <v>PFDA</v>
      </c>
      <c r="E1492" s="2" t="s">
        <v>91</v>
      </c>
      <c r="F1492" s="2">
        <f>_xlfn.XLOOKUP(Table1_1[[#This Row],[CAS_rn]],[1]analyte_order!$C:$C,[1]analyte_order!$E:$E)</f>
        <v>7</v>
      </c>
      <c r="G1492">
        <v>8.3000000000000004E-2</v>
      </c>
    </row>
    <row r="1493" spans="1:7" x14ac:dyDescent="0.3">
      <c r="A1493" s="2" t="s">
        <v>200</v>
      </c>
      <c r="B1493" s="2" t="s">
        <v>128</v>
      </c>
      <c r="C1493" s="1">
        <v>44244</v>
      </c>
      <c r="D1493" s="2" t="str">
        <f>_xlfn.XLOOKUP(Table1_1[[#This Row],[CAS_rn]],[1]analyte_order!$C:$C,[1]analyte_order!$B:$B)</f>
        <v>PFUnA</v>
      </c>
      <c r="E1493" s="2" t="s">
        <v>92</v>
      </c>
      <c r="F1493" s="2">
        <f>_xlfn.XLOOKUP(Table1_1[[#This Row],[CAS_rn]],[1]analyte_order!$C:$C,[1]analyte_order!$E:$E)</f>
        <v>8</v>
      </c>
      <c r="G1493">
        <v>0.126</v>
      </c>
    </row>
    <row r="1494" spans="1:7" x14ac:dyDescent="0.3">
      <c r="A1494" s="2" t="s">
        <v>200</v>
      </c>
      <c r="B1494" s="2" t="s">
        <v>128</v>
      </c>
      <c r="C1494" s="1">
        <v>44244</v>
      </c>
      <c r="D1494" s="2" t="str">
        <f>_xlfn.XLOOKUP(Table1_1[[#This Row],[CAS_rn]],[1]analyte_order!$C:$C,[1]analyte_order!$B:$B)</f>
        <v>PFDoA</v>
      </c>
      <c r="E1494" s="2" t="s">
        <v>93</v>
      </c>
      <c r="F1494" s="2">
        <f>_xlfn.XLOOKUP(Table1_1[[#This Row],[CAS_rn]],[1]analyte_order!$C:$C,[1]analyte_order!$E:$E)</f>
        <v>9</v>
      </c>
      <c r="G1494">
        <v>5.6000000000000001E-2</v>
      </c>
    </row>
    <row r="1495" spans="1:7" x14ac:dyDescent="0.3">
      <c r="A1495" s="2" t="s">
        <v>200</v>
      </c>
      <c r="B1495" s="2" t="s">
        <v>128</v>
      </c>
      <c r="C1495" s="1">
        <v>44244</v>
      </c>
      <c r="D1495" s="2" t="str">
        <f>_xlfn.XLOOKUP(Table1_1[[#This Row],[CAS_rn]],[1]analyte_order!$C:$C,[1]analyte_order!$B:$B)</f>
        <v>PFTrDA</v>
      </c>
      <c r="E1495" s="2" t="s">
        <v>94</v>
      </c>
      <c r="F1495" s="2">
        <f>_xlfn.XLOOKUP(Table1_1[[#This Row],[CAS_rn]],[1]analyte_order!$C:$C,[1]analyte_order!$E:$E)</f>
        <v>10</v>
      </c>
      <c r="G1495">
        <v>4.4999999999999998E-2</v>
      </c>
    </row>
    <row r="1496" spans="1:7" x14ac:dyDescent="0.3">
      <c r="A1496" s="2" t="s">
        <v>200</v>
      </c>
      <c r="B1496" s="2" t="s">
        <v>128</v>
      </c>
      <c r="C1496" s="1">
        <v>44244</v>
      </c>
      <c r="D1496" s="2" t="str">
        <f>_xlfn.XLOOKUP(Table1_1[[#This Row],[CAS_rn]],[1]analyte_order!$C:$C,[1]analyte_order!$B:$B)</f>
        <v>PFTeDA</v>
      </c>
      <c r="E1496" s="2" t="s">
        <v>95</v>
      </c>
      <c r="F1496" s="2">
        <f>_xlfn.XLOOKUP(Table1_1[[#This Row],[CAS_rn]],[1]analyte_order!$C:$C,[1]analyte_order!$E:$E)</f>
        <v>11</v>
      </c>
      <c r="G1496">
        <v>1.805E-2</v>
      </c>
    </row>
    <row r="1497" spans="1:7" x14ac:dyDescent="0.3">
      <c r="A1497" s="2" t="s">
        <v>200</v>
      </c>
      <c r="B1497" s="2" t="s">
        <v>128</v>
      </c>
      <c r="C1497" s="1">
        <v>44244</v>
      </c>
      <c r="D1497" s="2" t="str">
        <f>_xlfn.XLOOKUP(Table1_1[[#This Row],[CAS_rn]],[1]analyte_order!$C:$C,[1]analyte_order!$B:$B)</f>
        <v>PFBS</v>
      </c>
      <c r="E1497" s="2" t="s">
        <v>96</v>
      </c>
      <c r="F1497" s="2">
        <f>_xlfn.XLOOKUP(Table1_1[[#This Row],[CAS_rn]],[1]analyte_order!$C:$C,[1]analyte_order!$E:$E)</f>
        <v>13</v>
      </c>
      <c r="G1497">
        <v>1.805E-2</v>
      </c>
    </row>
    <row r="1498" spans="1:7" x14ac:dyDescent="0.3">
      <c r="A1498" s="2" t="s">
        <v>200</v>
      </c>
      <c r="B1498" s="2" t="s">
        <v>128</v>
      </c>
      <c r="C1498" s="1">
        <v>44244</v>
      </c>
      <c r="D1498" s="2" t="str">
        <f>_xlfn.XLOOKUP(Table1_1[[#This Row],[CAS_rn]],[1]analyte_order!$C:$C,[1]analyte_order!$B:$B)</f>
        <v>PFPeS</v>
      </c>
      <c r="E1498" s="2" t="s">
        <v>97</v>
      </c>
      <c r="F1498" s="2">
        <f>_xlfn.XLOOKUP(Table1_1[[#This Row],[CAS_rn]],[1]analyte_order!$C:$C,[1]analyte_order!$E:$E)</f>
        <v>14</v>
      </c>
      <c r="G1498">
        <v>6.5000000000000002E-2</v>
      </c>
    </row>
    <row r="1499" spans="1:7" x14ac:dyDescent="0.3">
      <c r="A1499" s="2" t="s">
        <v>200</v>
      </c>
      <c r="B1499" s="2" t="s">
        <v>128</v>
      </c>
      <c r="C1499" s="1">
        <v>44244</v>
      </c>
      <c r="D1499" s="2" t="str">
        <f>_xlfn.XLOOKUP(Table1_1[[#This Row],[CAS_rn]],[1]analyte_order!$C:$C,[1]analyte_order!$B:$B)</f>
        <v>PFHxS</v>
      </c>
      <c r="E1499" s="2" t="s">
        <v>98</v>
      </c>
      <c r="F1499" s="2">
        <f>_xlfn.XLOOKUP(Table1_1[[#This Row],[CAS_rn]],[1]analyte_order!$C:$C,[1]analyte_order!$E:$E)</f>
        <v>15</v>
      </c>
      <c r="G1499">
        <v>0.72</v>
      </c>
    </row>
    <row r="1500" spans="1:7" x14ac:dyDescent="0.3">
      <c r="A1500" s="2" t="s">
        <v>200</v>
      </c>
      <c r="B1500" s="2" t="s">
        <v>128</v>
      </c>
      <c r="C1500" s="1">
        <v>44244</v>
      </c>
      <c r="D1500" s="2" t="str">
        <f>_xlfn.XLOOKUP(Table1_1[[#This Row],[CAS_rn]],[1]analyte_order!$C:$C,[1]analyte_order!$B:$B)</f>
        <v>PFHpS</v>
      </c>
      <c r="E1500" s="2" t="s">
        <v>99</v>
      </c>
      <c r="F1500" s="2">
        <f>_xlfn.XLOOKUP(Table1_1[[#This Row],[CAS_rn]],[1]analyte_order!$C:$C,[1]analyte_order!$E:$E)</f>
        <v>16</v>
      </c>
      <c r="G1500">
        <v>0.05</v>
      </c>
    </row>
    <row r="1501" spans="1:7" x14ac:dyDescent="0.3">
      <c r="A1501" s="2" t="s">
        <v>200</v>
      </c>
      <c r="B1501" s="2" t="s">
        <v>128</v>
      </c>
      <c r="C1501" s="1">
        <v>44244</v>
      </c>
      <c r="D1501" s="2" t="str">
        <f>_xlfn.XLOOKUP(Table1_1[[#This Row],[CAS_rn]],[1]analyte_order!$C:$C,[1]analyte_order!$B:$B)</f>
        <v>PFOS</v>
      </c>
      <c r="E1501" s="2" t="s">
        <v>100</v>
      </c>
      <c r="F1501" s="2">
        <f>_xlfn.XLOOKUP(Table1_1[[#This Row],[CAS_rn]],[1]analyte_order!$C:$C,[1]analyte_order!$E:$E)</f>
        <v>17</v>
      </c>
      <c r="G1501">
        <v>10.199999999999999</v>
      </c>
    </row>
    <row r="1502" spans="1:7" x14ac:dyDescent="0.3">
      <c r="A1502" s="2" t="s">
        <v>200</v>
      </c>
      <c r="B1502" s="2" t="s">
        <v>128</v>
      </c>
      <c r="C1502" s="1">
        <v>44244</v>
      </c>
      <c r="D1502" s="2" t="str">
        <f>_xlfn.XLOOKUP(Table1_1[[#This Row],[CAS_rn]],[1]analyte_order!$C:$C,[1]analyte_order!$B:$B)</f>
        <v>PFNS</v>
      </c>
      <c r="E1502" s="2" t="s">
        <v>101</v>
      </c>
      <c r="F1502" s="2">
        <f>_xlfn.XLOOKUP(Table1_1[[#This Row],[CAS_rn]],[1]analyte_order!$C:$C,[1]analyte_order!$E:$E)</f>
        <v>18</v>
      </c>
      <c r="G1502">
        <v>9.6000000000000002E-2</v>
      </c>
    </row>
    <row r="1503" spans="1:7" x14ac:dyDescent="0.3">
      <c r="A1503" s="2" t="s">
        <v>200</v>
      </c>
      <c r="B1503" s="2" t="s">
        <v>128</v>
      </c>
      <c r="C1503" s="1">
        <v>44244</v>
      </c>
      <c r="D1503" s="2" t="str">
        <f>_xlfn.XLOOKUP(Table1_1[[#This Row],[CAS_rn]],[1]analyte_order!$C:$C,[1]analyte_order!$B:$B)</f>
        <v>PFDS</v>
      </c>
      <c r="E1503" s="2" t="s">
        <v>123</v>
      </c>
      <c r="F1503" s="2">
        <f>_xlfn.XLOOKUP(Table1_1[[#This Row],[CAS_rn]],[1]analyte_order!$C:$C,[1]analyte_order!$E:$E)</f>
        <v>19</v>
      </c>
      <c r="G1503">
        <v>7.1999999999999995E-2</v>
      </c>
    </row>
    <row r="1504" spans="1:7" x14ac:dyDescent="0.3">
      <c r="A1504" s="2" t="s">
        <v>200</v>
      </c>
      <c r="B1504" s="2" t="s">
        <v>128</v>
      </c>
      <c r="C1504" s="1">
        <v>44244</v>
      </c>
      <c r="D1504" s="2" t="str">
        <f>_xlfn.XLOOKUP(Table1_1[[#This Row],[CAS_rn]],[1]analyte_order!$C:$C,[1]analyte_order!$B:$B)</f>
        <v>PFDoS</v>
      </c>
      <c r="E1504" s="2" t="s">
        <v>102</v>
      </c>
      <c r="F1504" s="2">
        <f>_xlfn.XLOOKUP(Table1_1[[#This Row],[CAS_rn]],[1]analyte_order!$C:$C,[1]analyte_order!$E:$E)</f>
        <v>20</v>
      </c>
      <c r="G1504">
        <v>1.805E-2</v>
      </c>
    </row>
    <row r="1505" spans="1:7" x14ac:dyDescent="0.3">
      <c r="A1505" s="2" t="s">
        <v>200</v>
      </c>
      <c r="B1505" s="2" t="s">
        <v>128</v>
      </c>
      <c r="C1505" s="1">
        <v>44244</v>
      </c>
      <c r="D1505" s="2" t="str">
        <f>_xlfn.XLOOKUP(Table1_1[[#This Row],[CAS_rn]],[1]analyte_order!$C:$C,[1]analyte_order!$B:$B)</f>
        <v>4:2 FTS</v>
      </c>
      <c r="E1505" s="2" t="s">
        <v>103</v>
      </c>
      <c r="F1505" s="2">
        <f>_xlfn.XLOOKUP(Table1_1[[#This Row],[CAS_rn]],[1]analyte_order!$C:$C,[1]analyte_order!$E:$E)</f>
        <v>21</v>
      </c>
      <c r="G1505">
        <v>7.1999999999999995E-2</v>
      </c>
    </row>
    <row r="1506" spans="1:7" x14ac:dyDescent="0.3">
      <c r="A1506" s="2" t="s">
        <v>200</v>
      </c>
      <c r="B1506" s="2" t="s">
        <v>128</v>
      </c>
      <c r="C1506" s="1">
        <v>44244</v>
      </c>
      <c r="D1506" s="2" t="str">
        <f>_xlfn.XLOOKUP(Table1_1[[#This Row],[CAS_rn]],[1]analyte_order!$C:$C,[1]analyte_order!$B:$B)</f>
        <v>6:2 FTS</v>
      </c>
      <c r="E1506" s="2" t="s">
        <v>104</v>
      </c>
      <c r="F1506" s="2">
        <f>_xlfn.XLOOKUP(Table1_1[[#This Row],[CAS_rn]],[1]analyte_order!$C:$C,[1]analyte_order!$E:$E)</f>
        <v>22</v>
      </c>
      <c r="G1506">
        <v>0.16300000000000001</v>
      </c>
    </row>
    <row r="1507" spans="1:7" x14ac:dyDescent="0.3">
      <c r="A1507" s="2" t="s">
        <v>200</v>
      </c>
      <c r="B1507" s="2" t="s">
        <v>128</v>
      </c>
      <c r="C1507" s="1">
        <v>44244</v>
      </c>
      <c r="D1507" s="2" t="str">
        <f>_xlfn.XLOOKUP(Table1_1[[#This Row],[CAS_rn]],[1]analyte_order!$C:$C,[1]analyte_order!$B:$B)</f>
        <v>8:2 FTS</v>
      </c>
      <c r="E1507" s="2" t="s">
        <v>105</v>
      </c>
      <c r="F1507" s="2">
        <f>_xlfn.XLOOKUP(Table1_1[[#This Row],[CAS_rn]],[1]analyte_order!$C:$C,[1]analyte_order!$E:$E)</f>
        <v>23</v>
      </c>
      <c r="G1507">
        <v>0.189</v>
      </c>
    </row>
    <row r="1508" spans="1:7" x14ac:dyDescent="0.3">
      <c r="A1508" s="2" t="s">
        <v>200</v>
      </c>
      <c r="B1508" s="2" t="s">
        <v>128</v>
      </c>
      <c r="C1508" s="1">
        <v>44244</v>
      </c>
      <c r="D1508" s="2" t="str">
        <f>_xlfn.XLOOKUP(Table1_1[[#This Row],[CAS_rn]],[1]analyte_order!$C:$C,[1]analyte_order!$B:$B)</f>
        <v>FOSA</v>
      </c>
      <c r="E1508" s="2" t="s">
        <v>106</v>
      </c>
      <c r="F1508" s="2">
        <f>_xlfn.XLOOKUP(Table1_1[[#This Row],[CAS_rn]],[1]analyte_order!$C:$C,[1]analyte_order!$E:$E)</f>
        <v>27</v>
      </c>
      <c r="G1508">
        <v>8.5999999999999993E-2</v>
      </c>
    </row>
    <row r="1509" spans="1:7" x14ac:dyDescent="0.3">
      <c r="A1509" s="2" t="s">
        <v>200</v>
      </c>
      <c r="B1509" s="2" t="s">
        <v>128</v>
      </c>
      <c r="C1509" s="1">
        <v>44244</v>
      </c>
      <c r="D1509" s="2" t="str">
        <f>_xlfn.XLOOKUP(Table1_1[[#This Row],[CAS_rn]],[1]analyte_order!$C:$C,[1]analyte_order!$B:$B)</f>
        <v>N-MeFOSA</v>
      </c>
      <c r="E1509" s="2" t="s">
        <v>107</v>
      </c>
      <c r="F1509" s="2">
        <f>_xlfn.XLOOKUP(Table1_1[[#This Row],[CAS_rn]],[1]analyte_order!$C:$C,[1]analyte_order!$E:$E)</f>
        <v>29</v>
      </c>
      <c r="G1509">
        <v>1.805E-2</v>
      </c>
    </row>
    <row r="1510" spans="1:7" x14ac:dyDescent="0.3">
      <c r="A1510" s="2" t="s">
        <v>200</v>
      </c>
      <c r="B1510" s="2" t="s">
        <v>128</v>
      </c>
      <c r="C1510" s="1">
        <v>44244</v>
      </c>
      <c r="D1510" s="2" t="str">
        <f>_xlfn.XLOOKUP(Table1_1[[#This Row],[CAS_rn]],[1]analyte_order!$C:$C,[1]analyte_order!$B:$B)</f>
        <v>N-EtFOSA</v>
      </c>
      <c r="E1510" s="2" t="s">
        <v>109</v>
      </c>
      <c r="F1510" s="2">
        <f>_xlfn.XLOOKUP(Table1_1[[#This Row],[CAS_rn]],[1]analyte_order!$C:$C,[1]analyte_order!$E:$E)</f>
        <v>30</v>
      </c>
      <c r="G1510">
        <v>5.0500000000000003E-2</v>
      </c>
    </row>
    <row r="1511" spans="1:7" x14ac:dyDescent="0.3">
      <c r="A1511" s="2" t="s">
        <v>200</v>
      </c>
      <c r="B1511" s="2" t="s">
        <v>128</v>
      </c>
      <c r="C1511" s="1">
        <v>44244</v>
      </c>
      <c r="D1511" s="2" t="str">
        <f>_xlfn.XLOOKUP(Table1_1[[#This Row],[CAS_rn]],[1]analyte_order!$C:$C,[1]analyte_order!$B:$B)</f>
        <v>N-MeFOSAA</v>
      </c>
      <c r="E1511" s="2" t="s">
        <v>108</v>
      </c>
      <c r="F1511" s="2">
        <f>_xlfn.XLOOKUP(Table1_1[[#This Row],[CAS_rn]],[1]analyte_order!$C:$C,[1]analyte_order!$E:$E)</f>
        <v>25</v>
      </c>
      <c r="G1511">
        <v>1.805E-2</v>
      </c>
    </row>
    <row r="1512" spans="1:7" x14ac:dyDescent="0.3">
      <c r="A1512" s="2" t="s">
        <v>200</v>
      </c>
      <c r="B1512" s="2" t="s">
        <v>128</v>
      </c>
      <c r="C1512" s="1">
        <v>44244</v>
      </c>
      <c r="D1512" s="2" t="str">
        <f>_xlfn.XLOOKUP(Table1_1[[#This Row],[CAS_rn]],[1]analyte_order!$C:$C,[1]analyte_order!$B:$B)</f>
        <v>N-EtFOSAA</v>
      </c>
      <c r="E1512" s="2" t="s">
        <v>110</v>
      </c>
      <c r="F1512" s="2">
        <f>_xlfn.XLOOKUP(Table1_1[[#This Row],[CAS_rn]],[1]analyte_order!$C:$C,[1]analyte_order!$E:$E)</f>
        <v>26</v>
      </c>
      <c r="G1512">
        <v>1.805E-2</v>
      </c>
    </row>
    <row r="1513" spans="1:7" x14ac:dyDescent="0.3">
      <c r="A1513" s="2" t="s">
        <v>200</v>
      </c>
      <c r="B1513" s="2" t="s">
        <v>128</v>
      </c>
      <c r="C1513" s="1">
        <v>44244</v>
      </c>
      <c r="D1513" s="2" t="str">
        <f>_xlfn.XLOOKUP(Table1_1[[#This Row],[CAS_rn]],[1]analyte_order!$C:$C,[1]analyte_order!$B:$B)</f>
        <v>N-MeFOSE</v>
      </c>
      <c r="E1513" s="2" t="s">
        <v>111</v>
      </c>
      <c r="F1513" s="2">
        <f>_xlfn.XLOOKUP(Table1_1[[#This Row],[CAS_rn]],[1]analyte_order!$C:$C,[1]analyte_order!$E:$E)</f>
        <v>31</v>
      </c>
      <c r="G1513">
        <v>0.18049999999999999</v>
      </c>
    </row>
    <row r="1514" spans="1:7" x14ac:dyDescent="0.3">
      <c r="A1514" s="2" t="s">
        <v>200</v>
      </c>
      <c r="B1514" s="2" t="s">
        <v>128</v>
      </c>
      <c r="C1514" s="1">
        <v>44244</v>
      </c>
      <c r="D1514" s="2" t="str">
        <f>_xlfn.XLOOKUP(Table1_1[[#This Row],[CAS_rn]],[1]analyte_order!$C:$C,[1]analyte_order!$B:$B)</f>
        <v>N-EtFOSE</v>
      </c>
      <c r="E1514" s="2" t="s">
        <v>112</v>
      </c>
      <c r="F1514" s="2">
        <f>_xlfn.XLOOKUP(Table1_1[[#This Row],[CAS_rn]],[1]analyte_order!$C:$C,[1]analyte_order!$E:$E)</f>
        <v>32</v>
      </c>
      <c r="G1514">
        <v>0.18049999999999999</v>
      </c>
    </row>
    <row r="1515" spans="1:7" x14ac:dyDescent="0.3">
      <c r="A1515" s="2" t="s">
        <v>200</v>
      </c>
      <c r="B1515" s="2" t="s">
        <v>128</v>
      </c>
      <c r="C1515" s="1">
        <v>44244</v>
      </c>
      <c r="D1515" s="2" t="str">
        <f>_xlfn.XLOOKUP(Table1_1[[#This Row],[CAS_rn]],[1]analyte_order!$C:$C,[1]analyte_order!$B:$B)</f>
        <v>HFPO-DA</v>
      </c>
      <c r="E1515" s="2" t="s">
        <v>113</v>
      </c>
      <c r="F1515" s="2">
        <f>_xlfn.XLOOKUP(Table1_1[[#This Row],[CAS_rn]],[1]analyte_order!$C:$C,[1]analyte_order!$E:$E)</f>
        <v>33</v>
      </c>
      <c r="G1515">
        <v>7.1999999999999995E-2</v>
      </c>
    </row>
    <row r="1516" spans="1:7" x14ac:dyDescent="0.3">
      <c r="A1516" s="2" t="s">
        <v>200</v>
      </c>
      <c r="B1516" s="2" t="s">
        <v>128</v>
      </c>
      <c r="C1516" s="1">
        <v>44244</v>
      </c>
      <c r="D1516" s="2" t="str">
        <f>_xlfn.XLOOKUP(Table1_1[[#This Row],[CAS_rn]],[1]analyte_order!$C:$C,[1]analyte_order!$B:$B)</f>
        <v>ADONA</v>
      </c>
      <c r="E1516" s="2" t="s">
        <v>114</v>
      </c>
      <c r="F1516" s="2">
        <f>_xlfn.XLOOKUP(Table1_1[[#This Row],[CAS_rn]],[1]analyte_order!$C:$C,[1]analyte_order!$E:$E)</f>
        <v>34</v>
      </c>
      <c r="G1516">
        <v>7.1999999999999995E-2</v>
      </c>
    </row>
    <row r="1517" spans="1:7" x14ac:dyDescent="0.3">
      <c r="A1517" s="2" t="s">
        <v>200</v>
      </c>
      <c r="B1517" s="2" t="s">
        <v>128</v>
      </c>
      <c r="C1517" s="1">
        <v>44244</v>
      </c>
      <c r="D1517" s="2" t="str">
        <f>_xlfn.XLOOKUP(Table1_1[[#This Row],[CAS_rn]],[1]analyte_order!$C:$C,[1]analyte_order!$B:$B)</f>
        <v>9Cl-PF3ONS</v>
      </c>
      <c r="E1517" s="2" t="s">
        <v>117</v>
      </c>
      <c r="F1517" s="2">
        <f>_xlfn.XLOOKUP(Table1_1[[#This Row],[CAS_rn]],[1]analyte_order!$C:$C,[1]analyte_order!$E:$E)</f>
        <v>35</v>
      </c>
      <c r="G1517">
        <v>7.2499999999999995E-2</v>
      </c>
    </row>
    <row r="1518" spans="1:7" x14ac:dyDescent="0.3">
      <c r="A1518" s="2" t="s">
        <v>200</v>
      </c>
      <c r="B1518" s="2" t="s">
        <v>128</v>
      </c>
      <c r="C1518" s="1">
        <v>44244</v>
      </c>
      <c r="D1518" s="2" t="str">
        <f>_xlfn.XLOOKUP(Table1_1[[#This Row],[CAS_rn]],[1]analyte_order!$C:$C,[1]analyte_order!$B:$B)</f>
        <v>11Cl-PF3OUdS</v>
      </c>
      <c r="E1518" s="2" t="s">
        <v>118</v>
      </c>
      <c r="F1518" s="2">
        <f>_xlfn.XLOOKUP(Table1_1[[#This Row],[CAS_rn]],[1]analyte_order!$C:$C,[1]analyte_order!$E:$E)</f>
        <v>36</v>
      </c>
      <c r="G1518">
        <v>7.2499999999999995E-2</v>
      </c>
    </row>
    <row r="1519" spans="1:7" x14ac:dyDescent="0.3">
      <c r="A1519" s="2" t="s">
        <v>200</v>
      </c>
      <c r="B1519" s="2" t="s">
        <v>128</v>
      </c>
      <c r="C1519" s="1">
        <v>44244</v>
      </c>
      <c r="D1519" s="2" t="str">
        <f>_xlfn.XLOOKUP(Table1_1[[#This Row],[CAS_rn]],[1]analyte_order!$C:$C,[1]analyte_order!$B:$B)</f>
        <v>3:3 FTCA</v>
      </c>
      <c r="E1519" s="2" t="s">
        <v>120</v>
      </c>
      <c r="F1519" s="2">
        <f>_xlfn.XLOOKUP(Table1_1[[#This Row],[CAS_rn]],[1]analyte_order!$C:$C,[1]analyte_order!$E:$E)</f>
        <v>37</v>
      </c>
      <c r="G1519">
        <v>7.1999999999999995E-2</v>
      </c>
    </row>
    <row r="1520" spans="1:7" x14ac:dyDescent="0.3">
      <c r="A1520" s="2" t="s">
        <v>200</v>
      </c>
      <c r="B1520" s="2" t="s">
        <v>128</v>
      </c>
      <c r="C1520" s="1">
        <v>44244</v>
      </c>
      <c r="D1520" s="2" t="str">
        <f>_xlfn.XLOOKUP(Table1_1[[#This Row],[CAS_rn]],[1]analyte_order!$C:$C,[1]analyte_order!$B:$B)</f>
        <v>5:3 FTCA</v>
      </c>
      <c r="E1520" s="2" t="s">
        <v>121</v>
      </c>
      <c r="F1520" s="2">
        <f>_xlfn.XLOOKUP(Table1_1[[#This Row],[CAS_rn]],[1]analyte_order!$C:$C,[1]analyte_order!$E:$E)</f>
        <v>38</v>
      </c>
      <c r="G1520">
        <v>0.45150000000000001</v>
      </c>
    </row>
    <row r="1521" spans="1:7" x14ac:dyDescent="0.3">
      <c r="A1521" s="2" t="s">
        <v>200</v>
      </c>
      <c r="B1521" s="2" t="s">
        <v>128</v>
      </c>
      <c r="C1521" s="1">
        <v>44244</v>
      </c>
      <c r="D1521" s="2" t="str">
        <f>_xlfn.XLOOKUP(Table1_1[[#This Row],[CAS_rn]],[1]analyte_order!$C:$C,[1]analyte_order!$B:$B)</f>
        <v>7:3 FTCA</v>
      </c>
      <c r="E1521" s="2" t="s">
        <v>122</v>
      </c>
      <c r="F1521" s="2">
        <f>_xlfn.XLOOKUP(Table1_1[[#This Row],[CAS_rn]],[1]analyte_order!$C:$C,[1]analyte_order!$E:$E)</f>
        <v>39</v>
      </c>
      <c r="G1521">
        <v>0.45150000000000001</v>
      </c>
    </row>
    <row r="1522" spans="1:7" x14ac:dyDescent="0.3">
      <c r="A1522" s="2" t="s">
        <v>200</v>
      </c>
      <c r="B1522" s="2" t="s">
        <v>128</v>
      </c>
      <c r="C1522" s="1">
        <v>44244</v>
      </c>
      <c r="D1522" s="2" t="str">
        <f>_xlfn.XLOOKUP(Table1_1[[#This Row],[CAS_rn]],[1]analyte_order!$C:$C,[1]analyte_order!$B:$B)</f>
        <v>PFEESA</v>
      </c>
      <c r="E1522" s="2" t="s">
        <v>119</v>
      </c>
      <c r="F1522" s="2">
        <f>_xlfn.XLOOKUP(Table1_1[[#This Row],[CAS_rn]],[1]analyte_order!$C:$C,[1]analyte_order!$E:$E)</f>
        <v>46</v>
      </c>
      <c r="G1522">
        <v>1.805E-2</v>
      </c>
    </row>
    <row r="1523" spans="1:7" x14ac:dyDescent="0.3">
      <c r="A1523" s="2" t="s">
        <v>200</v>
      </c>
      <c r="B1523" s="2" t="s">
        <v>128</v>
      </c>
      <c r="C1523" s="1">
        <v>44244</v>
      </c>
      <c r="D1523" s="2" t="str">
        <f>_xlfn.XLOOKUP(Table1_1[[#This Row],[CAS_rn]],[1]analyte_order!$C:$C,[1]analyte_order!$B:$B)</f>
        <v>PFMPA</v>
      </c>
      <c r="E1523" s="2" t="s">
        <v>124</v>
      </c>
      <c r="F1523" s="2">
        <f>_xlfn.XLOOKUP(Table1_1[[#This Row],[CAS_rn]],[1]analyte_order!$C:$C,[1]analyte_order!$E:$E)</f>
        <v>48</v>
      </c>
      <c r="G1523">
        <v>3.61E-2</v>
      </c>
    </row>
    <row r="1524" spans="1:7" x14ac:dyDescent="0.3">
      <c r="A1524" s="2" t="s">
        <v>200</v>
      </c>
      <c r="B1524" s="2" t="s">
        <v>128</v>
      </c>
      <c r="C1524" s="1">
        <v>44244</v>
      </c>
      <c r="D1524" s="2" t="str">
        <f>_xlfn.XLOOKUP(Table1_1[[#This Row],[CAS_rn]],[1]analyte_order!$C:$C,[1]analyte_order!$B:$B)</f>
        <v>PFMBA</v>
      </c>
      <c r="E1524" s="2" t="s">
        <v>115</v>
      </c>
      <c r="F1524" s="2">
        <f>_xlfn.XLOOKUP(Table1_1[[#This Row],[CAS_rn]],[1]analyte_order!$C:$C,[1]analyte_order!$E:$E)</f>
        <v>47</v>
      </c>
      <c r="G1524">
        <v>1.805E-2</v>
      </c>
    </row>
    <row r="1525" spans="1:7" x14ac:dyDescent="0.3">
      <c r="A1525" s="2" t="s">
        <v>200</v>
      </c>
      <c r="B1525" s="2" t="s">
        <v>128</v>
      </c>
      <c r="C1525" s="1">
        <v>44244</v>
      </c>
      <c r="D1525" s="2" t="str">
        <f>_xlfn.XLOOKUP(Table1_1[[#This Row],[CAS_rn]],[1]analyte_order!$C:$C,[1]analyte_order!$B:$B)</f>
        <v>NFDHA</v>
      </c>
      <c r="E1525" s="2" t="s">
        <v>116</v>
      </c>
      <c r="F1525" s="2">
        <f>_xlfn.XLOOKUP(Table1_1[[#This Row],[CAS_rn]],[1]analyte_order!$C:$C,[1]analyte_order!$E:$E)</f>
        <v>49</v>
      </c>
      <c r="G1525">
        <v>3.61E-2</v>
      </c>
    </row>
    <row r="1526" spans="1:7" x14ac:dyDescent="0.3">
      <c r="A1526" s="2" t="s">
        <v>201</v>
      </c>
      <c r="B1526" s="2" t="s">
        <v>127</v>
      </c>
      <c r="C1526" s="1">
        <v>44244</v>
      </c>
      <c r="D1526" s="2" t="str">
        <f>_xlfn.XLOOKUP(Table1_1[[#This Row],[CAS_rn]],[1]analyte_order!$C:$C,[1]analyte_order!$B:$B)</f>
        <v>PFBA</v>
      </c>
      <c r="E1526" s="2" t="s">
        <v>85</v>
      </c>
      <c r="F1526" s="2">
        <f>_xlfn.XLOOKUP(Table1_1[[#This Row],[CAS_rn]],[1]analyte_order!$C:$C,[1]analyte_order!$E:$E)</f>
        <v>1</v>
      </c>
      <c r="G1526">
        <v>0.24299999999999999</v>
      </c>
    </row>
    <row r="1527" spans="1:7" x14ac:dyDescent="0.3">
      <c r="A1527" s="2" t="s">
        <v>201</v>
      </c>
      <c r="B1527" s="2" t="s">
        <v>127</v>
      </c>
      <c r="C1527" s="1">
        <v>44244</v>
      </c>
      <c r="D1527" s="2" t="str">
        <f>_xlfn.XLOOKUP(Table1_1[[#This Row],[CAS_rn]],[1]analyte_order!$C:$C,[1]analyte_order!$B:$B)</f>
        <v>PFPeA</v>
      </c>
      <c r="E1527" s="2" t="s">
        <v>86</v>
      </c>
      <c r="F1527" s="2">
        <f>_xlfn.XLOOKUP(Table1_1[[#This Row],[CAS_rn]],[1]analyte_order!$C:$C,[1]analyte_order!$E:$E)</f>
        <v>2</v>
      </c>
      <c r="G1527">
        <v>0.46</v>
      </c>
    </row>
    <row r="1528" spans="1:7" x14ac:dyDescent="0.3">
      <c r="A1528" s="2" t="s">
        <v>201</v>
      </c>
      <c r="B1528" s="2" t="s">
        <v>127</v>
      </c>
      <c r="C1528" s="1">
        <v>44244</v>
      </c>
      <c r="D1528" s="2" t="str">
        <f>_xlfn.XLOOKUP(Table1_1[[#This Row],[CAS_rn]],[1]analyte_order!$C:$C,[1]analyte_order!$B:$B)</f>
        <v>PFHxA</v>
      </c>
      <c r="E1528" s="2" t="s">
        <v>87</v>
      </c>
      <c r="F1528" s="2">
        <f>_xlfn.XLOOKUP(Table1_1[[#This Row],[CAS_rn]],[1]analyte_order!$C:$C,[1]analyte_order!$E:$E)</f>
        <v>3</v>
      </c>
      <c r="G1528">
        <v>0.39300000000000002</v>
      </c>
    </row>
    <row r="1529" spans="1:7" x14ac:dyDescent="0.3">
      <c r="A1529" s="2" t="s">
        <v>201</v>
      </c>
      <c r="B1529" s="2" t="s">
        <v>127</v>
      </c>
      <c r="C1529" s="1">
        <v>44244</v>
      </c>
      <c r="D1529" s="2" t="str">
        <f>_xlfn.XLOOKUP(Table1_1[[#This Row],[CAS_rn]],[1]analyte_order!$C:$C,[1]analyte_order!$B:$B)</f>
        <v>PFHpA</v>
      </c>
      <c r="E1529" s="2" t="s">
        <v>88</v>
      </c>
      <c r="F1529" s="2">
        <f>_xlfn.XLOOKUP(Table1_1[[#This Row],[CAS_rn]],[1]analyte_order!$C:$C,[1]analyte_order!$E:$E)</f>
        <v>4</v>
      </c>
      <c r="G1529">
        <v>0.13200000000000001</v>
      </c>
    </row>
    <row r="1530" spans="1:7" x14ac:dyDescent="0.3">
      <c r="A1530" s="2" t="s">
        <v>201</v>
      </c>
      <c r="B1530" s="2" t="s">
        <v>127</v>
      </c>
      <c r="C1530" s="1">
        <v>44244</v>
      </c>
      <c r="D1530" s="2" t="str">
        <f>_xlfn.XLOOKUP(Table1_1[[#This Row],[CAS_rn]],[1]analyte_order!$C:$C,[1]analyte_order!$B:$B)</f>
        <v>PFOA</v>
      </c>
      <c r="E1530" s="2" t="s">
        <v>89</v>
      </c>
      <c r="F1530" s="2">
        <f>_xlfn.XLOOKUP(Table1_1[[#This Row],[CAS_rn]],[1]analyte_order!$C:$C,[1]analyte_order!$E:$E)</f>
        <v>5</v>
      </c>
      <c r="G1530">
        <v>0.33300000000000002</v>
      </c>
    </row>
    <row r="1531" spans="1:7" x14ac:dyDescent="0.3">
      <c r="A1531" s="2" t="s">
        <v>201</v>
      </c>
      <c r="B1531" s="2" t="s">
        <v>127</v>
      </c>
      <c r="C1531" s="1">
        <v>44244</v>
      </c>
      <c r="D1531" s="2" t="str">
        <f>_xlfn.XLOOKUP(Table1_1[[#This Row],[CAS_rn]],[1]analyte_order!$C:$C,[1]analyte_order!$B:$B)</f>
        <v>PFNA</v>
      </c>
      <c r="E1531" s="2" t="s">
        <v>90</v>
      </c>
      <c r="F1531" s="2">
        <f>_xlfn.XLOOKUP(Table1_1[[#This Row],[CAS_rn]],[1]analyte_order!$C:$C,[1]analyte_order!$E:$E)</f>
        <v>6</v>
      </c>
      <c r="G1531">
        <v>0.19400000000000001</v>
      </c>
    </row>
    <row r="1532" spans="1:7" x14ac:dyDescent="0.3">
      <c r="A1532" s="2" t="s">
        <v>201</v>
      </c>
      <c r="B1532" s="2" t="s">
        <v>127</v>
      </c>
      <c r="C1532" s="1">
        <v>44244</v>
      </c>
      <c r="D1532" s="2" t="str">
        <f>_xlfn.XLOOKUP(Table1_1[[#This Row],[CAS_rn]],[1]analyte_order!$C:$C,[1]analyte_order!$B:$B)</f>
        <v>PFDA</v>
      </c>
      <c r="E1532" s="2" t="s">
        <v>91</v>
      </c>
      <c r="F1532" s="2">
        <f>_xlfn.XLOOKUP(Table1_1[[#This Row],[CAS_rn]],[1]analyte_order!$C:$C,[1]analyte_order!$E:$E)</f>
        <v>7</v>
      </c>
      <c r="G1532">
        <v>0.13500000000000001</v>
      </c>
    </row>
    <row r="1533" spans="1:7" x14ac:dyDescent="0.3">
      <c r="A1533" s="2" t="s">
        <v>201</v>
      </c>
      <c r="B1533" s="2" t="s">
        <v>127</v>
      </c>
      <c r="C1533" s="1">
        <v>44244</v>
      </c>
      <c r="D1533" s="2" t="str">
        <f>_xlfn.XLOOKUP(Table1_1[[#This Row],[CAS_rn]],[1]analyte_order!$C:$C,[1]analyte_order!$B:$B)</f>
        <v>PFUnA</v>
      </c>
      <c r="E1533" s="2" t="s">
        <v>92</v>
      </c>
      <c r="F1533" s="2">
        <f>_xlfn.XLOOKUP(Table1_1[[#This Row],[CAS_rn]],[1]analyte_order!$C:$C,[1]analyte_order!$E:$E)</f>
        <v>8</v>
      </c>
      <c r="G1533">
        <v>0.32800000000000001</v>
      </c>
    </row>
    <row r="1534" spans="1:7" x14ac:dyDescent="0.3">
      <c r="A1534" s="2" t="s">
        <v>201</v>
      </c>
      <c r="B1534" s="2" t="s">
        <v>127</v>
      </c>
      <c r="C1534" s="1">
        <v>44244</v>
      </c>
      <c r="D1534" s="2" t="str">
        <f>_xlfn.XLOOKUP(Table1_1[[#This Row],[CAS_rn]],[1]analyte_order!$C:$C,[1]analyte_order!$B:$B)</f>
        <v>PFDoA</v>
      </c>
      <c r="E1534" s="2" t="s">
        <v>93</v>
      </c>
      <c r="F1534" s="2">
        <f>_xlfn.XLOOKUP(Table1_1[[#This Row],[CAS_rn]],[1]analyte_order!$C:$C,[1]analyte_order!$E:$E)</f>
        <v>9</v>
      </c>
      <c r="G1534">
        <v>0.18099999999999999</v>
      </c>
    </row>
    <row r="1535" spans="1:7" x14ac:dyDescent="0.3">
      <c r="A1535" s="2" t="s">
        <v>201</v>
      </c>
      <c r="B1535" s="2" t="s">
        <v>127</v>
      </c>
      <c r="C1535" s="1">
        <v>44244</v>
      </c>
      <c r="D1535" s="2" t="str">
        <f>_xlfn.XLOOKUP(Table1_1[[#This Row],[CAS_rn]],[1]analyte_order!$C:$C,[1]analyte_order!$B:$B)</f>
        <v>PFTrDA</v>
      </c>
      <c r="E1535" s="2" t="s">
        <v>94</v>
      </c>
      <c r="F1535" s="2">
        <f>_xlfn.XLOOKUP(Table1_1[[#This Row],[CAS_rn]],[1]analyte_order!$C:$C,[1]analyte_order!$E:$E)</f>
        <v>10</v>
      </c>
      <c r="G1535">
        <v>8.2000000000000003E-2</v>
      </c>
    </row>
    <row r="1536" spans="1:7" x14ac:dyDescent="0.3">
      <c r="A1536" s="2" t="s">
        <v>201</v>
      </c>
      <c r="B1536" s="2" t="s">
        <v>127</v>
      </c>
      <c r="C1536" s="1">
        <v>44244</v>
      </c>
      <c r="D1536" s="2" t="str">
        <f>_xlfn.XLOOKUP(Table1_1[[#This Row],[CAS_rn]],[1]analyte_order!$C:$C,[1]analyte_order!$B:$B)</f>
        <v>PFTeDA</v>
      </c>
      <c r="E1536" s="2" t="s">
        <v>95</v>
      </c>
      <c r="F1536" s="2">
        <f>_xlfn.XLOOKUP(Table1_1[[#This Row],[CAS_rn]],[1]analyte_order!$C:$C,[1]analyte_order!$E:$E)</f>
        <v>11</v>
      </c>
      <c r="G1536">
        <v>4.1000000000000002E-2</v>
      </c>
    </row>
    <row r="1537" spans="1:7" x14ac:dyDescent="0.3">
      <c r="A1537" s="2" t="s">
        <v>201</v>
      </c>
      <c r="B1537" s="2" t="s">
        <v>127</v>
      </c>
      <c r="C1537" s="1">
        <v>44244</v>
      </c>
      <c r="D1537" s="2" t="str">
        <f>_xlfn.XLOOKUP(Table1_1[[#This Row],[CAS_rn]],[1]analyte_order!$C:$C,[1]analyte_order!$B:$B)</f>
        <v>PFBS</v>
      </c>
      <c r="E1537" s="2" t="s">
        <v>96</v>
      </c>
      <c r="F1537" s="2">
        <f>_xlfn.XLOOKUP(Table1_1[[#This Row],[CAS_rn]],[1]analyte_order!$C:$C,[1]analyte_order!$E:$E)</f>
        <v>13</v>
      </c>
      <c r="G1537">
        <v>1.8100000000000002E-2</v>
      </c>
    </row>
    <row r="1538" spans="1:7" x14ac:dyDescent="0.3">
      <c r="A1538" s="2" t="s">
        <v>201</v>
      </c>
      <c r="B1538" s="2" t="s">
        <v>127</v>
      </c>
      <c r="C1538" s="1">
        <v>44244</v>
      </c>
      <c r="D1538" s="2" t="str">
        <f>_xlfn.XLOOKUP(Table1_1[[#This Row],[CAS_rn]],[1]analyte_order!$C:$C,[1]analyte_order!$B:$B)</f>
        <v>PFPeS</v>
      </c>
      <c r="E1538" s="2" t="s">
        <v>97</v>
      </c>
      <c r="F1538" s="2">
        <f>_xlfn.XLOOKUP(Table1_1[[#This Row],[CAS_rn]],[1]analyte_order!$C:$C,[1]analyte_order!$E:$E)</f>
        <v>14</v>
      </c>
      <c r="G1538">
        <v>1.8200000000000001E-2</v>
      </c>
    </row>
    <row r="1539" spans="1:7" x14ac:dyDescent="0.3">
      <c r="A1539" s="2" t="s">
        <v>201</v>
      </c>
      <c r="B1539" s="2" t="s">
        <v>127</v>
      </c>
      <c r="C1539" s="1">
        <v>44244</v>
      </c>
      <c r="D1539" s="2" t="str">
        <f>_xlfn.XLOOKUP(Table1_1[[#This Row],[CAS_rn]],[1]analyte_order!$C:$C,[1]analyte_order!$B:$B)</f>
        <v>PFHxS</v>
      </c>
      <c r="E1539" s="2" t="s">
        <v>98</v>
      </c>
      <c r="F1539" s="2">
        <f>_xlfn.XLOOKUP(Table1_1[[#This Row],[CAS_rn]],[1]analyte_order!$C:$C,[1]analyte_order!$E:$E)</f>
        <v>15</v>
      </c>
      <c r="G1539">
        <v>0.33700000000000002</v>
      </c>
    </row>
    <row r="1540" spans="1:7" x14ac:dyDescent="0.3">
      <c r="A1540" s="2" t="s">
        <v>201</v>
      </c>
      <c r="B1540" s="2" t="s">
        <v>127</v>
      </c>
      <c r="C1540" s="1">
        <v>44244</v>
      </c>
      <c r="D1540" s="2" t="str">
        <f>_xlfn.XLOOKUP(Table1_1[[#This Row],[CAS_rn]],[1]analyte_order!$C:$C,[1]analyte_order!$B:$B)</f>
        <v>PFHpS</v>
      </c>
      <c r="E1540" s="2" t="s">
        <v>99</v>
      </c>
      <c r="F1540" s="2">
        <f>_xlfn.XLOOKUP(Table1_1[[#This Row],[CAS_rn]],[1]analyte_order!$C:$C,[1]analyte_order!$E:$E)</f>
        <v>16</v>
      </c>
      <c r="G1540">
        <v>4.4999999999999998E-2</v>
      </c>
    </row>
    <row r="1541" spans="1:7" x14ac:dyDescent="0.3">
      <c r="A1541" s="2" t="s">
        <v>201</v>
      </c>
      <c r="B1541" s="2" t="s">
        <v>127</v>
      </c>
      <c r="C1541" s="1">
        <v>44244</v>
      </c>
      <c r="D1541" s="2" t="str">
        <f>_xlfn.XLOOKUP(Table1_1[[#This Row],[CAS_rn]],[1]analyte_order!$C:$C,[1]analyte_order!$B:$B)</f>
        <v>PFOS</v>
      </c>
      <c r="E1541" s="2" t="s">
        <v>100</v>
      </c>
      <c r="F1541" s="2">
        <f>_xlfn.XLOOKUP(Table1_1[[#This Row],[CAS_rn]],[1]analyte_order!$C:$C,[1]analyte_order!$E:$E)</f>
        <v>17</v>
      </c>
      <c r="G1541">
        <v>8.91</v>
      </c>
    </row>
    <row r="1542" spans="1:7" x14ac:dyDescent="0.3">
      <c r="A1542" s="2" t="s">
        <v>201</v>
      </c>
      <c r="B1542" s="2" t="s">
        <v>127</v>
      </c>
      <c r="C1542" s="1">
        <v>44244</v>
      </c>
      <c r="D1542" s="2" t="str">
        <f>_xlfn.XLOOKUP(Table1_1[[#This Row],[CAS_rn]],[1]analyte_order!$C:$C,[1]analyte_order!$B:$B)</f>
        <v>PFNS</v>
      </c>
      <c r="E1542" s="2" t="s">
        <v>101</v>
      </c>
      <c r="F1542" s="2">
        <f>_xlfn.XLOOKUP(Table1_1[[#This Row],[CAS_rn]],[1]analyte_order!$C:$C,[1]analyte_order!$E:$E)</f>
        <v>18</v>
      </c>
      <c r="G1542">
        <v>6.9000000000000006E-2</v>
      </c>
    </row>
    <row r="1543" spans="1:7" x14ac:dyDescent="0.3">
      <c r="A1543" s="2" t="s">
        <v>201</v>
      </c>
      <c r="B1543" s="2" t="s">
        <v>127</v>
      </c>
      <c r="C1543" s="1">
        <v>44244</v>
      </c>
      <c r="D1543" s="2" t="str">
        <f>_xlfn.XLOOKUP(Table1_1[[#This Row],[CAS_rn]],[1]analyte_order!$C:$C,[1]analyte_order!$B:$B)</f>
        <v>PFDS</v>
      </c>
      <c r="E1543" s="2" t="s">
        <v>123</v>
      </c>
      <c r="F1543" s="2">
        <f>_xlfn.XLOOKUP(Table1_1[[#This Row],[CAS_rn]],[1]analyte_order!$C:$C,[1]analyte_order!$E:$E)</f>
        <v>19</v>
      </c>
      <c r="G1543">
        <v>0.70699999999999996</v>
      </c>
    </row>
    <row r="1544" spans="1:7" x14ac:dyDescent="0.3">
      <c r="A1544" s="2" t="s">
        <v>201</v>
      </c>
      <c r="B1544" s="2" t="s">
        <v>127</v>
      </c>
      <c r="C1544" s="1">
        <v>44244</v>
      </c>
      <c r="D1544" s="2" t="str">
        <f>_xlfn.XLOOKUP(Table1_1[[#This Row],[CAS_rn]],[1]analyte_order!$C:$C,[1]analyte_order!$B:$B)</f>
        <v>PFDoS</v>
      </c>
      <c r="E1544" s="2" t="s">
        <v>102</v>
      </c>
      <c r="F1544" s="2">
        <f>_xlfn.XLOOKUP(Table1_1[[#This Row],[CAS_rn]],[1]analyte_order!$C:$C,[1]analyte_order!$E:$E)</f>
        <v>20</v>
      </c>
      <c r="G1544">
        <v>4.4999999999999998E-2</v>
      </c>
    </row>
    <row r="1545" spans="1:7" x14ac:dyDescent="0.3">
      <c r="A1545" s="2" t="s">
        <v>201</v>
      </c>
      <c r="B1545" s="2" t="s">
        <v>127</v>
      </c>
      <c r="C1545" s="1">
        <v>44244</v>
      </c>
      <c r="D1545" s="2" t="str">
        <f>_xlfn.XLOOKUP(Table1_1[[#This Row],[CAS_rn]],[1]analyte_order!$C:$C,[1]analyte_order!$B:$B)</f>
        <v>4:2 FTS</v>
      </c>
      <c r="E1545" s="2" t="s">
        <v>103</v>
      </c>
      <c r="F1545" s="2">
        <f>_xlfn.XLOOKUP(Table1_1[[#This Row],[CAS_rn]],[1]analyte_order!$C:$C,[1]analyte_order!$E:$E)</f>
        <v>21</v>
      </c>
      <c r="G1545">
        <v>7.2499999999999995E-2</v>
      </c>
    </row>
    <row r="1546" spans="1:7" x14ac:dyDescent="0.3">
      <c r="A1546" s="2" t="s">
        <v>201</v>
      </c>
      <c r="B1546" s="2" t="s">
        <v>127</v>
      </c>
      <c r="C1546" s="1">
        <v>44244</v>
      </c>
      <c r="D1546" s="2" t="str">
        <f>_xlfn.XLOOKUP(Table1_1[[#This Row],[CAS_rn]],[1]analyte_order!$C:$C,[1]analyte_order!$B:$B)</f>
        <v>6:2 FTS</v>
      </c>
      <c r="E1546" s="2" t="s">
        <v>104</v>
      </c>
      <c r="F1546" s="2">
        <f>_xlfn.XLOOKUP(Table1_1[[#This Row],[CAS_rn]],[1]analyte_order!$C:$C,[1]analyte_order!$E:$E)</f>
        <v>22</v>
      </c>
      <c r="G1546">
        <v>1.27</v>
      </c>
    </row>
    <row r="1547" spans="1:7" x14ac:dyDescent="0.3">
      <c r="A1547" s="2" t="s">
        <v>201</v>
      </c>
      <c r="B1547" s="2" t="s">
        <v>127</v>
      </c>
      <c r="C1547" s="1">
        <v>44244</v>
      </c>
      <c r="D1547" s="2" t="str">
        <f>_xlfn.XLOOKUP(Table1_1[[#This Row],[CAS_rn]],[1]analyte_order!$C:$C,[1]analyte_order!$B:$B)</f>
        <v>8:2 FTS</v>
      </c>
      <c r="E1547" s="2" t="s">
        <v>105</v>
      </c>
      <c r="F1547" s="2">
        <f>_xlfn.XLOOKUP(Table1_1[[#This Row],[CAS_rn]],[1]analyte_order!$C:$C,[1]analyte_order!$E:$E)</f>
        <v>23</v>
      </c>
      <c r="G1547">
        <v>1.04</v>
      </c>
    </row>
    <row r="1548" spans="1:7" x14ac:dyDescent="0.3">
      <c r="A1548" s="2" t="s">
        <v>201</v>
      </c>
      <c r="B1548" s="2" t="s">
        <v>127</v>
      </c>
      <c r="C1548" s="1">
        <v>44244</v>
      </c>
      <c r="D1548" s="2" t="str">
        <f>_xlfn.XLOOKUP(Table1_1[[#This Row],[CAS_rn]],[1]analyte_order!$C:$C,[1]analyte_order!$B:$B)</f>
        <v>FOSA</v>
      </c>
      <c r="E1548" s="2" t="s">
        <v>106</v>
      </c>
      <c r="F1548" s="2">
        <f>_xlfn.XLOOKUP(Table1_1[[#This Row],[CAS_rn]],[1]analyte_order!$C:$C,[1]analyte_order!$E:$E)</f>
        <v>27</v>
      </c>
      <c r="G1548">
        <v>0.58699999999999997</v>
      </c>
    </row>
    <row r="1549" spans="1:7" x14ac:dyDescent="0.3">
      <c r="A1549" s="2" t="s">
        <v>201</v>
      </c>
      <c r="B1549" s="2" t="s">
        <v>127</v>
      </c>
      <c r="C1549" s="1">
        <v>44244</v>
      </c>
      <c r="D1549" s="2" t="str">
        <f>_xlfn.XLOOKUP(Table1_1[[#This Row],[CAS_rn]],[1]analyte_order!$C:$C,[1]analyte_order!$B:$B)</f>
        <v>N-MeFOSA</v>
      </c>
      <c r="E1549" s="2" t="s">
        <v>107</v>
      </c>
      <c r="F1549" s="2">
        <f>_xlfn.XLOOKUP(Table1_1[[#This Row],[CAS_rn]],[1]analyte_order!$C:$C,[1]analyte_order!$E:$E)</f>
        <v>29</v>
      </c>
      <c r="G1549">
        <v>1.8100000000000002E-2</v>
      </c>
    </row>
    <row r="1550" spans="1:7" x14ac:dyDescent="0.3">
      <c r="A1550" s="2" t="s">
        <v>201</v>
      </c>
      <c r="B1550" s="2" t="s">
        <v>127</v>
      </c>
      <c r="C1550" s="1">
        <v>44244</v>
      </c>
      <c r="D1550" s="2" t="str">
        <f>_xlfn.XLOOKUP(Table1_1[[#This Row],[CAS_rn]],[1]analyte_order!$C:$C,[1]analyte_order!$B:$B)</f>
        <v>N-EtFOSA</v>
      </c>
      <c r="E1550" s="2" t="s">
        <v>109</v>
      </c>
      <c r="F1550" s="2">
        <f>_xlfn.XLOOKUP(Table1_1[[#This Row],[CAS_rn]],[1]analyte_order!$C:$C,[1]analyte_order!$E:$E)</f>
        <v>30</v>
      </c>
      <c r="G1550">
        <v>5.0500000000000003E-2</v>
      </c>
    </row>
    <row r="1551" spans="1:7" x14ac:dyDescent="0.3">
      <c r="A1551" s="2" t="s">
        <v>201</v>
      </c>
      <c r="B1551" s="2" t="s">
        <v>127</v>
      </c>
      <c r="C1551" s="1">
        <v>44244</v>
      </c>
      <c r="D1551" s="2" t="str">
        <f>_xlfn.XLOOKUP(Table1_1[[#This Row],[CAS_rn]],[1]analyte_order!$C:$C,[1]analyte_order!$B:$B)</f>
        <v>N-MeFOSAA</v>
      </c>
      <c r="E1551" s="2" t="s">
        <v>108</v>
      </c>
      <c r="F1551" s="2">
        <f>_xlfn.XLOOKUP(Table1_1[[#This Row],[CAS_rn]],[1]analyte_order!$C:$C,[1]analyte_order!$E:$E)</f>
        <v>25</v>
      </c>
      <c r="G1551">
        <v>1.8100000000000002E-2</v>
      </c>
    </row>
    <row r="1552" spans="1:7" x14ac:dyDescent="0.3">
      <c r="A1552" s="2" t="s">
        <v>201</v>
      </c>
      <c r="B1552" s="2" t="s">
        <v>127</v>
      </c>
      <c r="C1552" s="1">
        <v>44244</v>
      </c>
      <c r="D1552" s="2" t="str">
        <f>_xlfn.XLOOKUP(Table1_1[[#This Row],[CAS_rn]],[1]analyte_order!$C:$C,[1]analyte_order!$B:$B)</f>
        <v>N-EtFOSAA</v>
      </c>
      <c r="E1552" s="2" t="s">
        <v>110</v>
      </c>
      <c r="F1552" s="2">
        <f>_xlfn.XLOOKUP(Table1_1[[#This Row],[CAS_rn]],[1]analyte_order!$C:$C,[1]analyte_order!$E:$E)</f>
        <v>26</v>
      </c>
      <c r="G1552">
        <v>1.8100000000000002E-2</v>
      </c>
    </row>
    <row r="1553" spans="1:7" x14ac:dyDescent="0.3">
      <c r="A1553" s="2" t="s">
        <v>201</v>
      </c>
      <c r="B1553" s="2" t="s">
        <v>127</v>
      </c>
      <c r="C1553" s="1">
        <v>44244</v>
      </c>
      <c r="D1553" s="2" t="str">
        <f>_xlfn.XLOOKUP(Table1_1[[#This Row],[CAS_rn]],[1]analyte_order!$C:$C,[1]analyte_order!$B:$B)</f>
        <v>N-MeFOSE</v>
      </c>
      <c r="E1553" s="2" t="s">
        <v>111</v>
      </c>
      <c r="F1553" s="2">
        <f>_xlfn.XLOOKUP(Table1_1[[#This Row],[CAS_rn]],[1]analyte_order!$C:$C,[1]analyte_order!$E:$E)</f>
        <v>31</v>
      </c>
      <c r="G1553">
        <v>0.18099999999999999</v>
      </c>
    </row>
    <row r="1554" spans="1:7" x14ac:dyDescent="0.3">
      <c r="A1554" s="2" t="s">
        <v>201</v>
      </c>
      <c r="B1554" s="2" t="s">
        <v>127</v>
      </c>
      <c r="C1554" s="1">
        <v>44244</v>
      </c>
      <c r="D1554" s="2" t="str">
        <f>_xlfn.XLOOKUP(Table1_1[[#This Row],[CAS_rn]],[1]analyte_order!$C:$C,[1]analyte_order!$B:$B)</f>
        <v>N-EtFOSE</v>
      </c>
      <c r="E1554" s="2" t="s">
        <v>112</v>
      </c>
      <c r="F1554" s="2">
        <f>_xlfn.XLOOKUP(Table1_1[[#This Row],[CAS_rn]],[1]analyte_order!$C:$C,[1]analyte_order!$E:$E)</f>
        <v>32</v>
      </c>
      <c r="G1554">
        <v>0.18099999999999999</v>
      </c>
    </row>
    <row r="1555" spans="1:7" x14ac:dyDescent="0.3">
      <c r="A1555" s="2" t="s">
        <v>201</v>
      </c>
      <c r="B1555" s="2" t="s">
        <v>127</v>
      </c>
      <c r="C1555" s="1">
        <v>44244</v>
      </c>
      <c r="D1555" s="2" t="str">
        <f>_xlfn.XLOOKUP(Table1_1[[#This Row],[CAS_rn]],[1]analyte_order!$C:$C,[1]analyte_order!$B:$B)</f>
        <v>HFPO-DA</v>
      </c>
      <c r="E1555" s="2" t="s">
        <v>113</v>
      </c>
      <c r="F1555" s="2">
        <f>_xlfn.XLOOKUP(Table1_1[[#This Row],[CAS_rn]],[1]analyte_order!$C:$C,[1]analyte_order!$E:$E)</f>
        <v>33</v>
      </c>
      <c r="G1555">
        <v>7.2499999999999995E-2</v>
      </c>
    </row>
    <row r="1556" spans="1:7" x14ac:dyDescent="0.3">
      <c r="A1556" s="2" t="s">
        <v>201</v>
      </c>
      <c r="B1556" s="2" t="s">
        <v>127</v>
      </c>
      <c r="C1556" s="1">
        <v>44244</v>
      </c>
      <c r="D1556" s="2" t="str">
        <f>_xlfn.XLOOKUP(Table1_1[[#This Row],[CAS_rn]],[1]analyte_order!$C:$C,[1]analyte_order!$B:$B)</f>
        <v>ADONA</v>
      </c>
      <c r="E1556" s="2" t="s">
        <v>114</v>
      </c>
      <c r="F1556" s="2">
        <f>_xlfn.XLOOKUP(Table1_1[[#This Row],[CAS_rn]],[1]analyte_order!$C:$C,[1]analyte_order!$E:$E)</f>
        <v>34</v>
      </c>
      <c r="G1556">
        <v>7.2499999999999995E-2</v>
      </c>
    </row>
    <row r="1557" spans="1:7" x14ac:dyDescent="0.3">
      <c r="A1557" s="2" t="s">
        <v>201</v>
      </c>
      <c r="B1557" s="2" t="s">
        <v>127</v>
      </c>
      <c r="C1557" s="1">
        <v>44244</v>
      </c>
      <c r="D1557" s="2" t="str">
        <f>_xlfn.XLOOKUP(Table1_1[[#This Row],[CAS_rn]],[1]analyte_order!$C:$C,[1]analyte_order!$B:$B)</f>
        <v>9Cl-PF3ONS</v>
      </c>
      <c r="E1557" s="2" t="s">
        <v>117</v>
      </c>
      <c r="F1557" s="2">
        <f>_xlfn.XLOOKUP(Table1_1[[#This Row],[CAS_rn]],[1]analyte_order!$C:$C,[1]analyte_order!$E:$E)</f>
        <v>35</v>
      </c>
      <c r="G1557">
        <v>7.2499999999999995E-2</v>
      </c>
    </row>
    <row r="1558" spans="1:7" x14ac:dyDescent="0.3">
      <c r="A1558" s="2" t="s">
        <v>201</v>
      </c>
      <c r="B1558" s="2" t="s">
        <v>127</v>
      </c>
      <c r="C1558" s="1">
        <v>44244</v>
      </c>
      <c r="D1558" s="2" t="str">
        <f>_xlfn.XLOOKUP(Table1_1[[#This Row],[CAS_rn]],[1]analyte_order!$C:$C,[1]analyte_order!$B:$B)</f>
        <v>11Cl-PF3OUdS</v>
      </c>
      <c r="E1558" s="2" t="s">
        <v>118</v>
      </c>
      <c r="F1558" s="2">
        <f>_xlfn.XLOOKUP(Table1_1[[#This Row],[CAS_rn]],[1]analyte_order!$C:$C,[1]analyte_order!$E:$E)</f>
        <v>36</v>
      </c>
      <c r="G1558">
        <v>7.2499999999999995E-2</v>
      </c>
    </row>
    <row r="1559" spans="1:7" x14ac:dyDescent="0.3">
      <c r="A1559" s="2" t="s">
        <v>201</v>
      </c>
      <c r="B1559" s="2" t="s">
        <v>127</v>
      </c>
      <c r="C1559" s="1">
        <v>44244</v>
      </c>
      <c r="D1559" s="2" t="str">
        <f>_xlfn.XLOOKUP(Table1_1[[#This Row],[CAS_rn]],[1]analyte_order!$C:$C,[1]analyte_order!$B:$B)</f>
        <v>3:3 FTCA</v>
      </c>
      <c r="E1559" s="2" t="s">
        <v>120</v>
      </c>
      <c r="F1559" s="2">
        <f>_xlfn.XLOOKUP(Table1_1[[#This Row],[CAS_rn]],[1]analyte_order!$C:$C,[1]analyte_order!$E:$E)</f>
        <v>37</v>
      </c>
      <c r="G1559">
        <v>7.2499999999999995E-2</v>
      </c>
    </row>
    <row r="1560" spans="1:7" x14ac:dyDescent="0.3">
      <c r="A1560" s="2" t="s">
        <v>201</v>
      </c>
      <c r="B1560" s="2" t="s">
        <v>127</v>
      </c>
      <c r="C1560" s="1">
        <v>44244</v>
      </c>
      <c r="D1560" s="2" t="str">
        <f>_xlfn.XLOOKUP(Table1_1[[#This Row],[CAS_rn]],[1]analyte_order!$C:$C,[1]analyte_order!$B:$B)</f>
        <v>5:3 FTCA</v>
      </c>
      <c r="E1560" s="2" t="s">
        <v>121</v>
      </c>
      <c r="F1560" s="2">
        <f>_xlfn.XLOOKUP(Table1_1[[#This Row],[CAS_rn]],[1]analyte_order!$C:$C,[1]analyte_order!$E:$E)</f>
        <v>38</v>
      </c>
      <c r="G1560">
        <v>0.45300000000000001</v>
      </c>
    </row>
    <row r="1561" spans="1:7" x14ac:dyDescent="0.3">
      <c r="A1561" s="2" t="s">
        <v>201</v>
      </c>
      <c r="B1561" s="2" t="s">
        <v>127</v>
      </c>
      <c r="C1561" s="1">
        <v>44244</v>
      </c>
      <c r="D1561" s="2" t="str">
        <f>_xlfn.XLOOKUP(Table1_1[[#This Row],[CAS_rn]],[1]analyte_order!$C:$C,[1]analyte_order!$B:$B)</f>
        <v>7:3 FTCA</v>
      </c>
      <c r="E1561" s="2" t="s">
        <v>122</v>
      </c>
      <c r="F1561" s="2">
        <f>_xlfn.XLOOKUP(Table1_1[[#This Row],[CAS_rn]],[1]analyte_order!$C:$C,[1]analyte_order!$E:$E)</f>
        <v>39</v>
      </c>
      <c r="G1561">
        <v>0.45300000000000001</v>
      </c>
    </row>
    <row r="1562" spans="1:7" x14ac:dyDescent="0.3">
      <c r="A1562" s="2" t="s">
        <v>201</v>
      </c>
      <c r="B1562" s="2" t="s">
        <v>127</v>
      </c>
      <c r="C1562" s="1">
        <v>44244</v>
      </c>
      <c r="D1562" s="2" t="str">
        <f>_xlfn.XLOOKUP(Table1_1[[#This Row],[CAS_rn]],[1]analyte_order!$C:$C,[1]analyte_order!$B:$B)</f>
        <v>PFEESA</v>
      </c>
      <c r="E1562" s="2" t="s">
        <v>119</v>
      </c>
      <c r="F1562" s="2">
        <f>_xlfn.XLOOKUP(Table1_1[[#This Row],[CAS_rn]],[1]analyte_order!$C:$C,[1]analyte_order!$E:$E)</f>
        <v>46</v>
      </c>
      <c r="G1562">
        <v>1.8100000000000002E-2</v>
      </c>
    </row>
    <row r="1563" spans="1:7" x14ac:dyDescent="0.3">
      <c r="A1563" s="2" t="s">
        <v>201</v>
      </c>
      <c r="B1563" s="2" t="s">
        <v>127</v>
      </c>
      <c r="C1563" s="1">
        <v>44244</v>
      </c>
      <c r="D1563" s="2" t="str">
        <f>_xlfn.XLOOKUP(Table1_1[[#This Row],[CAS_rn]],[1]analyte_order!$C:$C,[1]analyte_order!$B:$B)</f>
        <v>PFMPA</v>
      </c>
      <c r="E1563" s="2" t="s">
        <v>124</v>
      </c>
      <c r="F1563" s="2">
        <f>_xlfn.XLOOKUP(Table1_1[[#This Row],[CAS_rn]],[1]analyte_order!$C:$C,[1]analyte_order!$E:$E)</f>
        <v>48</v>
      </c>
      <c r="G1563">
        <v>3.6249999999999998E-2</v>
      </c>
    </row>
    <row r="1564" spans="1:7" x14ac:dyDescent="0.3">
      <c r="A1564" s="2" t="s">
        <v>201</v>
      </c>
      <c r="B1564" s="2" t="s">
        <v>127</v>
      </c>
      <c r="C1564" s="1">
        <v>44244</v>
      </c>
      <c r="D1564" s="2" t="str">
        <f>_xlfn.XLOOKUP(Table1_1[[#This Row],[CAS_rn]],[1]analyte_order!$C:$C,[1]analyte_order!$B:$B)</f>
        <v>PFMBA</v>
      </c>
      <c r="E1564" s="2" t="s">
        <v>115</v>
      </c>
      <c r="F1564" s="2">
        <f>_xlfn.XLOOKUP(Table1_1[[#This Row],[CAS_rn]],[1]analyte_order!$C:$C,[1]analyte_order!$E:$E)</f>
        <v>47</v>
      </c>
      <c r="G1564">
        <v>1.8100000000000002E-2</v>
      </c>
    </row>
    <row r="1565" spans="1:7" x14ac:dyDescent="0.3">
      <c r="A1565" s="2" t="s">
        <v>201</v>
      </c>
      <c r="B1565" s="2" t="s">
        <v>127</v>
      </c>
      <c r="C1565" s="1">
        <v>44244</v>
      </c>
      <c r="D1565" s="2" t="str">
        <f>_xlfn.XLOOKUP(Table1_1[[#This Row],[CAS_rn]],[1]analyte_order!$C:$C,[1]analyte_order!$B:$B)</f>
        <v>NFDHA</v>
      </c>
      <c r="E1565" s="2" t="s">
        <v>116</v>
      </c>
      <c r="F1565" s="2">
        <f>_xlfn.XLOOKUP(Table1_1[[#This Row],[CAS_rn]],[1]analyte_order!$C:$C,[1]analyte_order!$E:$E)</f>
        <v>49</v>
      </c>
      <c r="G1565">
        <v>3.6249999999999998E-2</v>
      </c>
    </row>
    <row r="1566" spans="1:7" x14ac:dyDescent="0.3">
      <c r="A1566" s="2" t="s">
        <v>202</v>
      </c>
      <c r="B1566" s="2" t="s">
        <v>125</v>
      </c>
      <c r="C1566" s="1">
        <v>44278</v>
      </c>
      <c r="D1566" s="2" t="str">
        <f>_xlfn.XLOOKUP(Table1_1[[#This Row],[CAS_rn]],[1]analyte_order!$C:$C,[1]analyte_order!$B:$B)</f>
        <v>PFBA</v>
      </c>
      <c r="E1566" s="2" t="s">
        <v>85</v>
      </c>
      <c r="F1566" s="2">
        <f>_xlfn.XLOOKUP(Table1_1[[#This Row],[CAS_rn]],[1]analyte_order!$C:$C,[1]analyte_order!$E:$E)</f>
        <v>1</v>
      </c>
      <c r="G1566">
        <v>7.3999999999999996E-2</v>
      </c>
    </row>
    <row r="1567" spans="1:7" x14ac:dyDescent="0.3">
      <c r="A1567" s="2" t="s">
        <v>202</v>
      </c>
      <c r="B1567" s="2" t="s">
        <v>125</v>
      </c>
      <c r="C1567" s="1">
        <v>44278</v>
      </c>
      <c r="D1567" s="2" t="str">
        <f>_xlfn.XLOOKUP(Table1_1[[#This Row],[CAS_rn]],[1]analyte_order!$C:$C,[1]analyte_order!$B:$B)</f>
        <v>PFPeA</v>
      </c>
      <c r="E1567" s="2" t="s">
        <v>86</v>
      </c>
      <c r="F1567" s="2">
        <f>_xlfn.XLOOKUP(Table1_1[[#This Row],[CAS_rn]],[1]analyte_order!$C:$C,[1]analyte_order!$E:$E)</f>
        <v>2</v>
      </c>
      <c r="G1567">
        <v>0.152</v>
      </c>
    </row>
    <row r="1568" spans="1:7" x14ac:dyDescent="0.3">
      <c r="A1568" s="2" t="s">
        <v>202</v>
      </c>
      <c r="B1568" s="2" t="s">
        <v>125</v>
      </c>
      <c r="C1568" s="1">
        <v>44278</v>
      </c>
      <c r="D1568" s="2" t="str">
        <f>_xlfn.XLOOKUP(Table1_1[[#This Row],[CAS_rn]],[1]analyte_order!$C:$C,[1]analyte_order!$B:$B)</f>
        <v>PFHxA</v>
      </c>
      <c r="E1568" s="2" t="s">
        <v>87</v>
      </c>
      <c r="F1568" s="2">
        <f>_xlfn.XLOOKUP(Table1_1[[#This Row],[CAS_rn]],[1]analyte_order!$C:$C,[1]analyte_order!$E:$E)</f>
        <v>3</v>
      </c>
      <c r="G1568">
        <v>0.126</v>
      </c>
    </row>
    <row r="1569" spans="1:7" x14ac:dyDescent="0.3">
      <c r="A1569" s="2" t="s">
        <v>202</v>
      </c>
      <c r="B1569" s="2" t="s">
        <v>125</v>
      </c>
      <c r="C1569" s="1">
        <v>44278</v>
      </c>
      <c r="D1569" s="2" t="str">
        <f>_xlfn.XLOOKUP(Table1_1[[#This Row],[CAS_rn]],[1]analyte_order!$C:$C,[1]analyte_order!$B:$B)</f>
        <v>PFHpA</v>
      </c>
      <c r="E1569" s="2" t="s">
        <v>88</v>
      </c>
      <c r="F1569" s="2">
        <f>_xlfn.XLOOKUP(Table1_1[[#This Row],[CAS_rn]],[1]analyte_order!$C:$C,[1]analyte_order!$E:$E)</f>
        <v>4</v>
      </c>
      <c r="G1569">
        <v>0.1</v>
      </c>
    </row>
    <row r="1570" spans="1:7" x14ac:dyDescent="0.3">
      <c r="A1570" s="2" t="s">
        <v>202</v>
      </c>
      <c r="B1570" s="2" t="s">
        <v>125</v>
      </c>
      <c r="C1570" s="1">
        <v>44278</v>
      </c>
      <c r="D1570" s="2" t="str">
        <f>_xlfn.XLOOKUP(Table1_1[[#This Row],[CAS_rn]],[1]analyte_order!$C:$C,[1]analyte_order!$B:$B)</f>
        <v>PFOA</v>
      </c>
      <c r="E1570" s="2" t="s">
        <v>89</v>
      </c>
      <c r="F1570" s="2">
        <f>_xlfn.XLOOKUP(Table1_1[[#This Row],[CAS_rn]],[1]analyte_order!$C:$C,[1]analyte_order!$E:$E)</f>
        <v>5</v>
      </c>
      <c r="G1570">
        <v>0.33300000000000002</v>
      </c>
    </row>
    <row r="1571" spans="1:7" x14ac:dyDescent="0.3">
      <c r="A1571" s="2" t="s">
        <v>202</v>
      </c>
      <c r="B1571" s="2" t="s">
        <v>125</v>
      </c>
      <c r="C1571" s="1">
        <v>44278</v>
      </c>
      <c r="D1571" s="2" t="str">
        <f>_xlfn.XLOOKUP(Table1_1[[#This Row],[CAS_rn]],[1]analyte_order!$C:$C,[1]analyte_order!$B:$B)</f>
        <v>PFNA</v>
      </c>
      <c r="E1571" s="2" t="s">
        <v>90</v>
      </c>
      <c r="F1571" s="2">
        <f>_xlfn.XLOOKUP(Table1_1[[#This Row],[CAS_rn]],[1]analyte_order!$C:$C,[1]analyte_order!$E:$E)</f>
        <v>6</v>
      </c>
      <c r="G1571">
        <v>0.252</v>
      </c>
    </row>
    <row r="1572" spans="1:7" x14ac:dyDescent="0.3">
      <c r="A1572" s="2" t="s">
        <v>202</v>
      </c>
      <c r="B1572" s="2" t="s">
        <v>125</v>
      </c>
      <c r="C1572" s="1">
        <v>44278</v>
      </c>
      <c r="D1572" s="2" t="str">
        <f>_xlfn.XLOOKUP(Table1_1[[#This Row],[CAS_rn]],[1]analyte_order!$C:$C,[1]analyte_order!$B:$B)</f>
        <v>PFDA</v>
      </c>
      <c r="E1572" s="2" t="s">
        <v>91</v>
      </c>
      <c r="F1572" s="2">
        <f>_xlfn.XLOOKUP(Table1_1[[#This Row],[CAS_rn]],[1]analyte_order!$C:$C,[1]analyte_order!$E:$E)</f>
        <v>7</v>
      </c>
      <c r="G1572">
        <v>0.247</v>
      </c>
    </row>
    <row r="1573" spans="1:7" x14ac:dyDescent="0.3">
      <c r="A1573" s="2" t="s">
        <v>202</v>
      </c>
      <c r="B1573" s="2" t="s">
        <v>125</v>
      </c>
      <c r="C1573" s="1">
        <v>44278</v>
      </c>
      <c r="D1573" s="2" t="str">
        <f>_xlfn.XLOOKUP(Table1_1[[#This Row],[CAS_rn]],[1]analyte_order!$C:$C,[1]analyte_order!$B:$B)</f>
        <v>PFUnA</v>
      </c>
      <c r="E1573" s="2" t="s">
        <v>92</v>
      </c>
      <c r="F1573" s="2">
        <f>_xlfn.XLOOKUP(Table1_1[[#This Row],[CAS_rn]],[1]analyte_order!$C:$C,[1]analyte_order!$E:$E)</f>
        <v>8</v>
      </c>
      <c r="G1573">
        <v>0.53300000000000003</v>
      </c>
    </row>
    <row r="1574" spans="1:7" x14ac:dyDescent="0.3">
      <c r="A1574" s="2" t="s">
        <v>202</v>
      </c>
      <c r="B1574" s="2" t="s">
        <v>125</v>
      </c>
      <c r="C1574" s="1">
        <v>44278</v>
      </c>
      <c r="D1574" s="2" t="str">
        <f>_xlfn.XLOOKUP(Table1_1[[#This Row],[CAS_rn]],[1]analyte_order!$C:$C,[1]analyte_order!$B:$B)</f>
        <v>PFDoA</v>
      </c>
      <c r="E1574" s="2" t="s">
        <v>93</v>
      </c>
      <c r="F1574" s="2">
        <f>_xlfn.XLOOKUP(Table1_1[[#This Row],[CAS_rn]],[1]analyte_order!$C:$C,[1]analyte_order!$E:$E)</f>
        <v>9</v>
      </c>
      <c r="G1574">
        <v>0.47699999999999998</v>
      </c>
    </row>
    <row r="1575" spans="1:7" x14ac:dyDescent="0.3">
      <c r="A1575" s="2" t="s">
        <v>202</v>
      </c>
      <c r="B1575" s="2" t="s">
        <v>125</v>
      </c>
      <c r="C1575" s="1">
        <v>44278</v>
      </c>
      <c r="D1575" s="2" t="str">
        <f>_xlfn.XLOOKUP(Table1_1[[#This Row],[CAS_rn]],[1]analyte_order!$C:$C,[1]analyte_order!$B:$B)</f>
        <v>PFTrDA</v>
      </c>
      <c r="E1575" s="2" t="s">
        <v>94</v>
      </c>
      <c r="F1575" s="2">
        <f>_xlfn.XLOOKUP(Table1_1[[#This Row],[CAS_rn]],[1]analyte_order!$C:$C,[1]analyte_order!$E:$E)</f>
        <v>10</v>
      </c>
      <c r="G1575">
        <v>0.438</v>
      </c>
    </row>
    <row r="1576" spans="1:7" x14ac:dyDescent="0.3">
      <c r="A1576" s="2" t="s">
        <v>202</v>
      </c>
      <c r="B1576" s="2" t="s">
        <v>125</v>
      </c>
      <c r="C1576" s="1">
        <v>44278</v>
      </c>
      <c r="D1576" s="2" t="str">
        <f>_xlfn.XLOOKUP(Table1_1[[#This Row],[CAS_rn]],[1]analyte_order!$C:$C,[1]analyte_order!$B:$B)</f>
        <v>PFTeDA</v>
      </c>
      <c r="E1576" s="2" t="s">
        <v>95</v>
      </c>
      <c r="F1576" s="2">
        <f>_xlfn.XLOOKUP(Table1_1[[#This Row],[CAS_rn]],[1]analyte_order!$C:$C,[1]analyte_order!$E:$E)</f>
        <v>11</v>
      </c>
      <c r="G1576">
        <v>0.20300000000000001</v>
      </c>
    </row>
    <row r="1577" spans="1:7" x14ac:dyDescent="0.3">
      <c r="A1577" s="2" t="s">
        <v>202</v>
      </c>
      <c r="B1577" s="2" t="s">
        <v>125</v>
      </c>
      <c r="C1577" s="1">
        <v>44278</v>
      </c>
      <c r="D1577" s="2" t="str">
        <f>_xlfn.XLOOKUP(Table1_1[[#This Row],[CAS_rn]],[1]analyte_order!$C:$C,[1]analyte_order!$B:$B)</f>
        <v>PFBS</v>
      </c>
      <c r="E1577" s="2" t="s">
        <v>96</v>
      </c>
      <c r="F1577" s="2">
        <f>_xlfn.XLOOKUP(Table1_1[[#This Row],[CAS_rn]],[1]analyte_order!$C:$C,[1]analyte_order!$E:$E)</f>
        <v>13</v>
      </c>
      <c r="G1577">
        <v>4.1000000000000002E-2</v>
      </c>
    </row>
    <row r="1578" spans="1:7" x14ac:dyDescent="0.3">
      <c r="A1578" s="2" t="s">
        <v>202</v>
      </c>
      <c r="B1578" s="2" t="s">
        <v>125</v>
      </c>
      <c r="C1578" s="1">
        <v>44278</v>
      </c>
      <c r="D1578" s="2" t="str">
        <f>_xlfn.XLOOKUP(Table1_1[[#This Row],[CAS_rn]],[1]analyte_order!$C:$C,[1]analyte_order!$B:$B)</f>
        <v>PFPeS</v>
      </c>
      <c r="E1578" s="2" t="s">
        <v>97</v>
      </c>
      <c r="F1578" s="2">
        <f>_xlfn.XLOOKUP(Table1_1[[#This Row],[CAS_rn]],[1]analyte_order!$C:$C,[1]analyte_order!$E:$E)</f>
        <v>14</v>
      </c>
      <c r="G1578">
        <v>5.2999999999999999E-2</v>
      </c>
    </row>
    <row r="1579" spans="1:7" x14ac:dyDescent="0.3">
      <c r="A1579" s="2" t="s">
        <v>202</v>
      </c>
      <c r="B1579" s="2" t="s">
        <v>125</v>
      </c>
      <c r="C1579" s="1">
        <v>44278</v>
      </c>
      <c r="D1579" s="2" t="str">
        <f>_xlfn.XLOOKUP(Table1_1[[#This Row],[CAS_rn]],[1]analyte_order!$C:$C,[1]analyte_order!$B:$B)</f>
        <v>PFHxS</v>
      </c>
      <c r="E1579" s="2" t="s">
        <v>98</v>
      </c>
      <c r="F1579" s="2">
        <f>_xlfn.XLOOKUP(Table1_1[[#This Row],[CAS_rn]],[1]analyte_order!$C:$C,[1]analyte_order!$E:$E)</f>
        <v>15</v>
      </c>
      <c r="G1579">
        <v>1.07</v>
      </c>
    </row>
    <row r="1580" spans="1:7" x14ac:dyDescent="0.3">
      <c r="A1580" s="2" t="s">
        <v>202</v>
      </c>
      <c r="B1580" s="2" t="s">
        <v>125</v>
      </c>
      <c r="C1580" s="1">
        <v>44278</v>
      </c>
      <c r="D1580" s="2" t="str">
        <f>_xlfn.XLOOKUP(Table1_1[[#This Row],[CAS_rn]],[1]analyte_order!$C:$C,[1]analyte_order!$B:$B)</f>
        <v>PFHpS</v>
      </c>
      <c r="E1580" s="2" t="s">
        <v>99</v>
      </c>
      <c r="F1580" s="2">
        <f>_xlfn.XLOOKUP(Table1_1[[#This Row],[CAS_rn]],[1]analyte_order!$C:$C,[1]analyte_order!$E:$E)</f>
        <v>16</v>
      </c>
      <c r="G1580">
        <v>0.11700000000000001</v>
      </c>
    </row>
    <row r="1581" spans="1:7" x14ac:dyDescent="0.3">
      <c r="A1581" s="2" t="s">
        <v>202</v>
      </c>
      <c r="B1581" s="2" t="s">
        <v>125</v>
      </c>
      <c r="C1581" s="1">
        <v>44278</v>
      </c>
      <c r="D1581" s="2" t="str">
        <f>_xlfn.XLOOKUP(Table1_1[[#This Row],[CAS_rn]],[1]analyte_order!$C:$C,[1]analyte_order!$B:$B)</f>
        <v>PFOS</v>
      </c>
      <c r="E1581" s="2" t="s">
        <v>100</v>
      </c>
      <c r="F1581" s="2">
        <f>_xlfn.XLOOKUP(Table1_1[[#This Row],[CAS_rn]],[1]analyte_order!$C:$C,[1]analyte_order!$E:$E)</f>
        <v>17</v>
      </c>
      <c r="G1581">
        <v>25.4</v>
      </c>
    </row>
    <row r="1582" spans="1:7" x14ac:dyDescent="0.3">
      <c r="A1582" s="2" t="s">
        <v>202</v>
      </c>
      <c r="B1582" s="2" t="s">
        <v>125</v>
      </c>
      <c r="C1582" s="1">
        <v>44278</v>
      </c>
      <c r="D1582" s="2" t="str">
        <f>_xlfn.XLOOKUP(Table1_1[[#This Row],[CAS_rn]],[1]analyte_order!$C:$C,[1]analyte_order!$B:$B)</f>
        <v>PFNS</v>
      </c>
      <c r="E1582" s="2" t="s">
        <v>101</v>
      </c>
      <c r="F1582" s="2">
        <f>_xlfn.XLOOKUP(Table1_1[[#This Row],[CAS_rn]],[1]analyte_order!$C:$C,[1]analyte_order!$E:$E)</f>
        <v>18</v>
      </c>
      <c r="G1582">
        <v>0.16200000000000001</v>
      </c>
    </row>
    <row r="1583" spans="1:7" x14ac:dyDescent="0.3">
      <c r="A1583" s="2" t="s">
        <v>202</v>
      </c>
      <c r="B1583" s="2" t="s">
        <v>125</v>
      </c>
      <c r="C1583" s="1">
        <v>44278</v>
      </c>
      <c r="D1583" s="2" t="str">
        <f>_xlfn.XLOOKUP(Table1_1[[#This Row],[CAS_rn]],[1]analyte_order!$C:$C,[1]analyte_order!$B:$B)</f>
        <v>PFDS</v>
      </c>
      <c r="E1583" s="2" t="s">
        <v>123</v>
      </c>
      <c r="F1583" s="2">
        <f>_xlfn.XLOOKUP(Table1_1[[#This Row],[CAS_rn]],[1]analyte_order!$C:$C,[1]analyte_order!$E:$E)</f>
        <v>19</v>
      </c>
      <c r="G1583">
        <v>0.54</v>
      </c>
    </row>
    <row r="1584" spans="1:7" x14ac:dyDescent="0.3">
      <c r="A1584" s="2" t="s">
        <v>202</v>
      </c>
      <c r="B1584" s="2" t="s">
        <v>125</v>
      </c>
      <c r="C1584" s="1">
        <v>44278</v>
      </c>
      <c r="D1584" s="2" t="str">
        <f>_xlfn.XLOOKUP(Table1_1[[#This Row],[CAS_rn]],[1]analyte_order!$C:$C,[1]analyte_order!$B:$B)</f>
        <v>PFDoS</v>
      </c>
      <c r="E1584" s="2" t="s">
        <v>102</v>
      </c>
      <c r="F1584" s="2">
        <f>_xlfn.XLOOKUP(Table1_1[[#This Row],[CAS_rn]],[1]analyte_order!$C:$C,[1]analyte_order!$E:$E)</f>
        <v>20</v>
      </c>
      <c r="G1584">
        <v>0.13300000000000001</v>
      </c>
    </row>
    <row r="1585" spans="1:7" x14ac:dyDescent="0.3">
      <c r="A1585" s="2" t="s">
        <v>202</v>
      </c>
      <c r="B1585" s="2" t="s">
        <v>125</v>
      </c>
      <c r="C1585" s="1">
        <v>44278</v>
      </c>
      <c r="D1585" s="2" t="str">
        <f>_xlfn.XLOOKUP(Table1_1[[#This Row],[CAS_rn]],[1]analyte_order!$C:$C,[1]analyte_order!$B:$B)</f>
        <v>4:2 FTS</v>
      </c>
      <c r="E1585" s="2" t="s">
        <v>103</v>
      </c>
      <c r="F1585" s="2">
        <f>_xlfn.XLOOKUP(Table1_1[[#This Row],[CAS_rn]],[1]analyte_order!$C:$C,[1]analyte_order!$E:$E)</f>
        <v>21</v>
      </c>
      <c r="G1585">
        <v>7.3999999999999996E-2</v>
      </c>
    </row>
    <row r="1586" spans="1:7" x14ac:dyDescent="0.3">
      <c r="A1586" s="2" t="s">
        <v>202</v>
      </c>
      <c r="B1586" s="2" t="s">
        <v>125</v>
      </c>
      <c r="C1586" s="1">
        <v>44278</v>
      </c>
      <c r="D1586" s="2" t="str">
        <f>_xlfn.XLOOKUP(Table1_1[[#This Row],[CAS_rn]],[1]analyte_order!$C:$C,[1]analyte_order!$B:$B)</f>
        <v>6:2 FTS</v>
      </c>
      <c r="E1586" s="2" t="s">
        <v>104</v>
      </c>
      <c r="F1586" s="2">
        <f>_xlfn.XLOOKUP(Table1_1[[#This Row],[CAS_rn]],[1]analyte_order!$C:$C,[1]analyte_order!$E:$E)</f>
        <v>22</v>
      </c>
      <c r="G1586">
        <v>0.14099999999999999</v>
      </c>
    </row>
    <row r="1587" spans="1:7" x14ac:dyDescent="0.3">
      <c r="A1587" s="2" t="s">
        <v>202</v>
      </c>
      <c r="B1587" s="2" t="s">
        <v>125</v>
      </c>
      <c r="C1587" s="1">
        <v>44278</v>
      </c>
      <c r="D1587" s="2" t="str">
        <f>_xlfn.XLOOKUP(Table1_1[[#This Row],[CAS_rn]],[1]analyte_order!$C:$C,[1]analyte_order!$B:$B)</f>
        <v>8:2 FTS</v>
      </c>
      <c r="E1587" s="2" t="s">
        <v>105</v>
      </c>
      <c r="F1587" s="2">
        <f>_xlfn.XLOOKUP(Table1_1[[#This Row],[CAS_rn]],[1]analyte_order!$C:$C,[1]analyte_order!$E:$E)</f>
        <v>23</v>
      </c>
      <c r="G1587">
        <v>0.83199999999999996</v>
      </c>
    </row>
    <row r="1588" spans="1:7" x14ac:dyDescent="0.3">
      <c r="A1588" s="2" t="s">
        <v>202</v>
      </c>
      <c r="B1588" s="2" t="s">
        <v>125</v>
      </c>
      <c r="C1588" s="1">
        <v>44278</v>
      </c>
      <c r="D1588" s="2" t="str">
        <f>_xlfn.XLOOKUP(Table1_1[[#This Row],[CAS_rn]],[1]analyte_order!$C:$C,[1]analyte_order!$B:$B)</f>
        <v>FOSA</v>
      </c>
      <c r="E1588" s="2" t="s">
        <v>106</v>
      </c>
      <c r="F1588" s="2">
        <f>_xlfn.XLOOKUP(Table1_1[[#This Row],[CAS_rn]],[1]analyte_order!$C:$C,[1]analyte_order!$E:$E)</f>
        <v>27</v>
      </c>
      <c r="G1588">
        <v>0.33200000000000002</v>
      </c>
    </row>
    <row r="1589" spans="1:7" x14ac:dyDescent="0.3">
      <c r="A1589" s="2" t="s">
        <v>202</v>
      </c>
      <c r="B1589" s="2" t="s">
        <v>125</v>
      </c>
      <c r="C1589" s="1">
        <v>44278</v>
      </c>
      <c r="D1589" s="2" t="str">
        <f>_xlfn.XLOOKUP(Table1_1[[#This Row],[CAS_rn]],[1]analyte_order!$C:$C,[1]analyte_order!$B:$B)</f>
        <v>N-MeFOSA</v>
      </c>
      <c r="E1589" s="2" t="s">
        <v>107</v>
      </c>
      <c r="F1589" s="2">
        <f>_xlfn.XLOOKUP(Table1_1[[#This Row],[CAS_rn]],[1]analyte_order!$C:$C,[1]analyte_order!$E:$E)</f>
        <v>29</v>
      </c>
      <c r="G1589">
        <v>1.8550000000000001E-2</v>
      </c>
    </row>
    <row r="1590" spans="1:7" x14ac:dyDescent="0.3">
      <c r="A1590" s="2" t="s">
        <v>202</v>
      </c>
      <c r="B1590" s="2" t="s">
        <v>125</v>
      </c>
      <c r="C1590" s="1">
        <v>44278</v>
      </c>
      <c r="D1590" s="2" t="str">
        <f>_xlfn.XLOOKUP(Table1_1[[#This Row],[CAS_rn]],[1]analyte_order!$C:$C,[1]analyte_order!$B:$B)</f>
        <v>N-EtFOSA</v>
      </c>
      <c r="E1590" s="2" t="s">
        <v>109</v>
      </c>
      <c r="F1590" s="2">
        <f>_xlfn.XLOOKUP(Table1_1[[#This Row],[CAS_rn]],[1]analyte_order!$C:$C,[1]analyte_order!$E:$E)</f>
        <v>30</v>
      </c>
      <c r="G1590">
        <v>5.1999999999999998E-2</v>
      </c>
    </row>
    <row r="1591" spans="1:7" x14ac:dyDescent="0.3">
      <c r="A1591" s="2" t="s">
        <v>202</v>
      </c>
      <c r="B1591" s="2" t="s">
        <v>125</v>
      </c>
      <c r="C1591" s="1">
        <v>44278</v>
      </c>
      <c r="D1591" s="2" t="str">
        <f>_xlfn.XLOOKUP(Table1_1[[#This Row],[CAS_rn]],[1]analyte_order!$C:$C,[1]analyte_order!$B:$B)</f>
        <v>N-MeFOSAA</v>
      </c>
      <c r="E1591" s="2" t="s">
        <v>108</v>
      </c>
      <c r="F1591" s="2">
        <f>_xlfn.XLOOKUP(Table1_1[[#This Row],[CAS_rn]],[1]analyte_order!$C:$C,[1]analyte_order!$E:$E)</f>
        <v>25</v>
      </c>
      <c r="G1591">
        <v>1.8550000000000001E-2</v>
      </c>
    </row>
    <row r="1592" spans="1:7" x14ac:dyDescent="0.3">
      <c r="A1592" s="2" t="s">
        <v>202</v>
      </c>
      <c r="B1592" s="2" t="s">
        <v>125</v>
      </c>
      <c r="C1592" s="1">
        <v>44278</v>
      </c>
      <c r="D1592" s="2" t="str">
        <f>_xlfn.XLOOKUP(Table1_1[[#This Row],[CAS_rn]],[1]analyte_order!$C:$C,[1]analyte_order!$B:$B)</f>
        <v>N-EtFOSAA</v>
      </c>
      <c r="E1592" s="2" t="s">
        <v>110</v>
      </c>
      <c r="F1592" s="2">
        <f>_xlfn.XLOOKUP(Table1_1[[#This Row],[CAS_rn]],[1]analyte_order!$C:$C,[1]analyte_order!$E:$E)</f>
        <v>26</v>
      </c>
      <c r="G1592">
        <v>1.8550000000000001E-2</v>
      </c>
    </row>
    <row r="1593" spans="1:7" x14ac:dyDescent="0.3">
      <c r="A1593" s="2" t="s">
        <v>202</v>
      </c>
      <c r="B1593" s="2" t="s">
        <v>125</v>
      </c>
      <c r="C1593" s="1">
        <v>44278</v>
      </c>
      <c r="D1593" s="2" t="str">
        <f>_xlfn.XLOOKUP(Table1_1[[#This Row],[CAS_rn]],[1]analyte_order!$C:$C,[1]analyte_order!$B:$B)</f>
        <v>N-MeFOSE</v>
      </c>
      <c r="E1593" s="2" t="s">
        <v>111</v>
      </c>
      <c r="F1593" s="2">
        <f>_xlfn.XLOOKUP(Table1_1[[#This Row],[CAS_rn]],[1]analyte_order!$C:$C,[1]analyte_order!$E:$E)</f>
        <v>31</v>
      </c>
      <c r="G1593">
        <v>0.1855</v>
      </c>
    </row>
    <row r="1594" spans="1:7" x14ac:dyDescent="0.3">
      <c r="A1594" s="2" t="s">
        <v>202</v>
      </c>
      <c r="B1594" s="2" t="s">
        <v>125</v>
      </c>
      <c r="C1594" s="1">
        <v>44278</v>
      </c>
      <c r="D1594" s="2" t="str">
        <f>_xlfn.XLOOKUP(Table1_1[[#This Row],[CAS_rn]],[1]analyte_order!$C:$C,[1]analyte_order!$B:$B)</f>
        <v>N-EtFOSE</v>
      </c>
      <c r="E1594" s="2" t="s">
        <v>112</v>
      </c>
      <c r="F1594" s="2">
        <f>_xlfn.XLOOKUP(Table1_1[[#This Row],[CAS_rn]],[1]analyte_order!$C:$C,[1]analyte_order!$E:$E)</f>
        <v>32</v>
      </c>
      <c r="G1594">
        <v>0.1855</v>
      </c>
    </row>
    <row r="1595" spans="1:7" x14ac:dyDescent="0.3">
      <c r="A1595" s="2" t="s">
        <v>202</v>
      </c>
      <c r="B1595" s="2" t="s">
        <v>125</v>
      </c>
      <c r="C1595" s="1">
        <v>44278</v>
      </c>
      <c r="D1595" s="2" t="str">
        <f>_xlfn.XLOOKUP(Table1_1[[#This Row],[CAS_rn]],[1]analyte_order!$C:$C,[1]analyte_order!$B:$B)</f>
        <v>HFPO-DA</v>
      </c>
      <c r="E1595" s="2" t="s">
        <v>113</v>
      </c>
      <c r="F1595" s="2">
        <f>_xlfn.XLOOKUP(Table1_1[[#This Row],[CAS_rn]],[1]analyte_order!$C:$C,[1]analyte_order!$E:$E)</f>
        <v>33</v>
      </c>
      <c r="G1595">
        <v>7.3999999999999996E-2</v>
      </c>
    </row>
    <row r="1596" spans="1:7" x14ac:dyDescent="0.3">
      <c r="A1596" s="2" t="s">
        <v>202</v>
      </c>
      <c r="B1596" s="2" t="s">
        <v>125</v>
      </c>
      <c r="C1596" s="1">
        <v>44278</v>
      </c>
      <c r="D1596" s="2" t="str">
        <f>_xlfn.XLOOKUP(Table1_1[[#This Row],[CAS_rn]],[1]analyte_order!$C:$C,[1]analyte_order!$B:$B)</f>
        <v>ADONA</v>
      </c>
      <c r="E1596" s="2" t="s">
        <v>114</v>
      </c>
      <c r="F1596" s="2">
        <f>_xlfn.XLOOKUP(Table1_1[[#This Row],[CAS_rn]],[1]analyte_order!$C:$C,[1]analyte_order!$E:$E)</f>
        <v>34</v>
      </c>
      <c r="G1596">
        <v>7.3999999999999996E-2</v>
      </c>
    </row>
    <row r="1597" spans="1:7" x14ac:dyDescent="0.3">
      <c r="A1597" s="2" t="s">
        <v>202</v>
      </c>
      <c r="B1597" s="2" t="s">
        <v>125</v>
      </c>
      <c r="C1597" s="1">
        <v>44278</v>
      </c>
      <c r="D1597" s="2" t="str">
        <f>_xlfn.XLOOKUP(Table1_1[[#This Row],[CAS_rn]],[1]analyte_order!$C:$C,[1]analyte_order!$B:$B)</f>
        <v>9Cl-PF3ONS</v>
      </c>
      <c r="E1597" s="2" t="s">
        <v>117</v>
      </c>
      <c r="F1597" s="2">
        <f>_xlfn.XLOOKUP(Table1_1[[#This Row],[CAS_rn]],[1]analyte_order!$C:$C,[1]analyte_order!$E:$E)</f>
        <v>35</v>
      </c>
      <c r="G1597">
        <v>7.4499999999999997E-2</v>
      </c>
    </row>
    <row r="1598" spans="1:7" x14ac:dyDescent="0.3">
      <c r="A1598" s="2" t="s">
        <v>202</v>
      </c>
      <c r="B1598" s="2" t="s">
        <v>125</v>
      </c>
      <c r="C1598" s="1">
        <v>44278</v>
      </c>
      <c r="D1598" s="2" t="str">
        <f>_xlfn.XLOOKUP(Table1_1[[#This Row],[CAS_rn]],[1]analyte_order!$C:$C,[1]analyte_order!$B:$B)</f>
        <v>11Cl-PF3OUdS</v>
      </c>
      <c r="E1598" s="2" t="s">
        <v>118</v>
      </c>
      <c r="F1598" s="2">
        <f>_xlfn.XLOOKUP(Table1_1[[#This Row],[CAS_rn]],[1]analyte_order!$C:$C,[1]analyte_order!$E:$E)</f>
        <v>36</v>
      </c>
      <c r="G1598">
        <v>7.3999999999999996E-2</v>
      </c>
    </row>
    <row r="1599" spans="1:7" x14ac:dyDescent="0.3">
      <c r="A1599" s="2" t="s">
        <v>202</v>
      </c>
      <c r="B1599" s="2" t="s">
        <v>125</v>
      </c>
      <c r="C1599" s="1">
        <v>44278</v>
      </c>
      <c r="D1599" s="2" t="str">
        <f>_xlfn.XLOOKUP(Table1_1[[#This Row],[CAS_rn]],[1]analyte_order!$C:$C,[1]analyte_order!$B:$B)</f>
        <v>3:3 FTCA</v>
      </c>
      <c r="E1599" s="2" t="s">
        <v>120</v>
      </c>
      <c r="F1599" s="2">
        <f>_xlfn.XLOOKUP(Table1_1[[#This Row],[CAS_rn]],[1]analyte_order!$C:$C,[1]analyte_order!$E:$E)</f>
        <v>37</v>
      </c>
      <c r="G1599">
        <v>7.3999999999999996E-2</v>
      </c>
    </row>
    <row r="1600" spans="1:7" x14ac:dyDescent="0.3">
      <c r="A1600" s="2" t="s">
        <v>202</v>
      </c>
      <c r="B1600" s="2" t="s">
        <v>125</v>
      </c>
      <c r="C1600" s="1">
        <v>44278</v>
      </c>
      <c r="D1600" s="2" t="str">
        <f>_xlfn.XLOOKUP(Table1_1[[#This Row],[CAS_rn]],[1]analyte_order!$C:$C,[1]analyte_order!$B:$B)</f>
        <v>5:3 FTCA</v>
      </c>
      <c r="E1600" s="2" t="s">
        <v>121</v>
      </c>
      <c r="F1600" s="2">
        <f>_xlfn.XLOOKUP(Table1_1[[#This Row],[CAS_rn]],[1]analyte_order!$C:$C,[1]analyte_order!$E:$E)</f>
        <v>38</v>
      </c>
      <c r="G1600">
        <v>0.46300000000000002</v>
      </c>
    </row>
    <row r="1601" spans="1:7" x14ac:dyDescent="0.3">
      <c r="A1601" s="2" t="s">
        <v>202</v>
      </c>
      <c r="B1601" s="2" t="s">
        <v>125</v>
      </c>
      <c r="C1601" s="1">
        <v>44278</v>
      </c>
      <c r="D1601" s="2" t="str">
        <f>_xlfn.XLOOKUP(Table1_1[[#This Row],[CAS_rn]],[1]analyte_order!$C:$C,[1]analyte_order!$B:$B)</f>
        <v>7:3 FTCA</v>
      </c>
      <c r="E1601" s="2" t="s">
        <v>122</v>
      </c>
      <c r="F1601" s="2">
        <f>_xlfn.XLOOKUP(Table1_1[[#This Row],[CAS_rn]],[1]analyte_order!$C:$C,[1]analyte_order!$E:$E)</f>
        <v>39</v>
      </c>
      <c r="G1601">
        <v>0.46300000000000002</v>
      </c>
    </row>
    <row r="1602" spans="1:7" x14ac:dyDescent="0.3">
      <c r="A1602" s="2" t="s">
        <v>202</v>
      </c>
      <c r="B1602" s="2" t="s">
        <v>125</v>
      </c>
      <c r="C1602" s="1">
        <v>44278</v>
      </c>
      <c r="D1602" s="2" t="str">
        <f>_xlfn.XLOOKUP(Table1_1[[#This Row],[CAS_rn]],[1]analyte_order!$C:$C,[1]analyte_order!$B:$B)</f>
        <v>PFEESA</v>
      </c>
      <c r="E1602" s="2" t="s">
        <v>119</v>
      </c>
      <c r="F1602" s="2">
        <f>_xlfn.XLOOKUP(Table1_1[[#This Row],[CAS_rn]],[1]analyte_order!$C:$C,[1]analyte_order!$E:$E)</f>
        <v>46</v>
      </c>
      <c r="G1602">
        <v>1.8550000000000001E-2</v>
      </c>
    </row>
    <row r="1603" spans="1:7" x14ac:dyDescent="0.3">
      <c r="A1603" s="2" t="s">
        <v>202</v>
      </c>
      <c r="B1603" s="2" t="s">
        <v>125</v>
      </c>
      <c r="C1603" s="1">
        <v>44278</v>
      </c>
      <c r="D1603" s="2" t="str">
        <f>_xlfn.XLOOKUP(Table1_1[[#This Row],[CAS_rn]],[1]analyte_order!$C:$C,[1]analyte_order!$B:$B)</f>
        <v>PFMPA</v>
      </c>
      <c r="E1603" s="2" t="s">
        <v>124</v>
      </c>
      <c r="F1603" s="2">
        <f>_xlfn.XLOOKUP(Table1_1[[#This Row],[CAS_rn]],[1]analyte_order!$C:$C,[1]analyte_order!$E:$E)</f>
        <v>48</v>
      </c>
      <c r="G1603">
        <v>3.705E-2</v>
      </c>
    </row>
    <row r="1604" spans="1:7" x14ac:dyDescent="0.3">
      <c r="A1604" s="2" t="s">
        <v>202</v>
      </c>
      <c r="B1604" s="2" t="s">
        <v>125</v>
      </c>
      <c r="C1604" s="1">
        <v>44278</v>
      </c>
      <c r="D1604" s="2" t="str">
        <f>_xlfn.XLOOKUP(Table1_1[[#This Row],[CAS_rn]],[1]analyte_order!$C:$C,[1]analyte_order!$B:$B)</f>
        <v>PFMBA</v>
      </c>
      <c r="E1604" s="2" t="s">
        <v>115</v>
      </c>
      <c r="F1604" s="2">
        <f>_xlfn.XLOOKUP(Table1_1[[#This Row],[CAS_rn]],[1]analyte_order!$C:$C,[1]analyte_order!$E:$E)</f>
        <v>47</v>
      </c>
      <c r="G1604">
        <v>1.8550000000000001E-2</v>
      </c>
    </row>
    <row r="1605" spans="1:7" x14ac:dyDescent="0.3">
      <c r="A1605" s="2" t="s">
        <v>202</v>
      </c>
      <c r="B1605" s="2" t="s">
        <v>125</v>
      </c>
      <c r="C1605" s="1">
        <v>44278</v>
      </c>
      <c r="D1605" s="2" t="str">
        <f>_xlfn.XLOOKUP(Table1_1[[#This Row],[CAS_rn]],[1]analyte_order!$C:$C,[1]analyte_order!$B:$B)</f>
        <v>NFDHA</v>
      </c>
      <c r="E1605" s="2" t="s">
        <v>116</v>
      </c>
      <c r="F1605" s="2">
        <f>_xlfn.XLOOKUP(Table1_1[[#This Row],[CAS_rn]],[1]analyte_order!$C:$C,[1]analyte_order!$E:$E)</f>
        <v>49</v>
      </c>
      <c r="G1605">
        <v>3.705E-2</v>
      </c>
    </row>
    <row r="1606" spans="1:7" x14ac:dyDescent="0.3">
      <c r="A1606" s="2" t="s">
        <v>203</v>
      </c>
      <c r="B1606" s="2" t="s">
        <v>126</v>
      </c>
      <c r="C1606" s="1">
        <v>44278</v>
      </c>
      <c r="D1606" s="2" t="str">
        <f>_xlfn.XLOOKUP(Table1_1[[#This Row],[CAS_rn]],[1]analyte_order!$C:$C,[1]analyte_order!$B:$B)</f>
        <v>PFBA</v>
      </c>
      <c r="E1606" s="2" t="s">
        <v>85</v>
      </c>
      <c r="F1606" s="2">
        <f>_xlfn.XLOOKUP(Table1_1[[#This Row],[CAS_rn]],[1]analyte_order!$C:$C,[1]analyte_order!$E:$E)</f>
        <v>1</v>
      </c>
      <c r="G1606">
        <v>7.2999999999999995E-2</v>
      </c>
    </row>
    <row r="1607" spans="1:7" x14ac:dyDescent="0.3">
      <c r="A1607" s="2" t="s">
        <v>203</v>
      </c>
      <c r="B1607" s="2" t="s">
        <v>126</v>
      </c>
      <c r="C1607" s="1">
        <v>44278</v>
      </c>
      <c r="D1607" s="2" t="str">
        <f>_xlfn.XLOOKUP(Table1_1[[#This Row],[CAS_rn]],[1]analyte_order!$C:$C,[1]analyte_order!$B:$B)</f>
        <v>PFPeA</v>
      </c>
      <c r="E1607" s="2" t="s">
        <v>86</v>
      </c>
      <c r="F1607" s="2">
        <f>_xlfn.XLOOKUP(Table1_1[[#This Row],[CAS_rn]],[1]analyte_order!$C:$C,[1]analyte_order!$E:$E)</f>
        <v>2</v>
      </c>
      <c r="G1607">
        <v>0.16300000000000001</v>
      </c>
    </row>
    <row r="1608" spans="1:7" x14ac:dyDescent="0.3">
      <c r="A1608" s="2" t="s">
        <v>203</v>
      </c>
      <c r="B1608" s="2" t="s">
        <v>126</v>
      </c>
      <c r="C1608" s="1">
        <v>44278</v>
      </c>
      <c r="D1608" s="2" t="str">
        <f>_xlfn.XLOOKUP(Table1_1[[#This Row],[CAS_rn]],[1]analyte_order!$C:$C,[1]analyte_order!$B:$B)</f>
        <v>PFHxA</v>
      </c>
      <c r="E1608" s="2" t="s">
        <v>87</v>
      </c>
      <c r="F1608" s="2">
        <f>_xlfn.XLOOKUP(Table1_1[[#This Row],[CAS_rn]],[1]analyte_order!$C:$C,[1]analyte_order!$E:$E)</f>
        <v>3</v>
      </c>
      <c r="G1608">
        <v>0.20300000000000001</v>
      </c>
    </row>
    <row r="1609" spans="1:7" x14ac:dyDescent="0.3">
      <c r="A1609" s="2" t="s">
        <v>203</v>
      </c>
      <c r="B1609" s="2" t="s">
        <v>126</v>
      </c>
      <c r="C1609" s="1">
        <v>44278</v>
      </c>
      <c r="D1609" s="2" t="str">
        <f>_xlfn.XLOOKUP(Table1_1[[#This Row],[CAS_rn]],[1]analyte_order!$C:$C,[1]analyte_order!$B:$B)</f>
        <v>PFHpA</v>
      </c>
      <c r="E1609" s="2" t="s">
        <v>88</v>
      </c>
      <c r="F1609" s="2">
        <f>_xlfn.XLOOKUP(Table1_1[[#This Row],[CAS_rn]],[1]analyte_order!$C:$C,[1]analyte_order!$E:$E)</f>
        <v>4</v>
      </c>
      <c r="G1609">
        <v>8.5999999999999993E-2</v>
      </c>
    </row>
    <row r="1610" spans="1:7" x14ac:dyDescent="0.3">
      <c r="A1610" s="2" t="s">
        <v>203</v>
      </c>
      <c r="B1610" s="2" t="s">
        <v>126</v>
      </c>
      <c r="C1610" s="1">
        <v>44278</v>
      </c>
      <c r="D1610" s="2" t="str">
        <f>_xlfn.XLOOKUP(Table1_1[[#This Row],[CAS_rn]],[1]analyte_order!$C:$C,[1]analyte_order!$B:$B)</f>
        <v>PFOA</v>
      </c>
      <c r="E1610" s="2" t="s">
        <v>89</v>
      </c>
      <c r="F1610" s="2">
        <f>_xlfn.XLOOKUP(Table1_1[[#This Row],[CAS_rn]],[1]analyte_order!$C:$C,[1]analyte_order!$E:$E)</f>
        <v>5</v>
      </c>
      <c r="G1610">
        <v>0.307</v>
      </c>
    </row>
    <row r="1611" spans="1:7" x14ac:dyDescent="0.3">
      <c r="A1611" s="2" t="s">
        <v>203</v>
      </c>
      <c r="B1611" s="2" t="s">
        <v>126</v>
      </c>
      <c r="C1611" s="1">
        <v>44278</v>
      </c>
      <c r="D1611" s="2" t="str">
        <f>_xlfn.XLOOKUP(Table1_1[[#This Row],[CAS_rn]],[1]analyte_order!$C:$C,[1]analyte_order!$B:$B)</f>
        <v>PFNA</v>
      </c>
      <c r="E1611" s="2" t="s">
        <v>90</v>
      </c>
      <c r="F1611" s="2">
        <f>_xlfn.XLOOKUP(Table1_1[[#This Row],[CAS_rn]],[1]analyte_order!$C:$C,[1]analyte_order!$E:$E)</f>
        <v>6</v>
      </c>
      <c r="G1611">
        <v>0.13700000000000001</v>
      </c>
    </row>
    <row r="1612" spans="1:7" x14ac:dyDescent="0.3">
      <c r="A1612" s="2" t="s">
        <v>203</v>
      </c>
      <c r="B1612" s="2" t="s">
        <v>126</v>
      </c>
      <c r="C1612" s="1">
        <v>44278</v>
      </c>
      <c r="D1612" s="2" t="str">
        <f>_xlfn.XLOOKUP(Table1_1[[#This Row],[CAS_rn]],[1]analyte_order!$C:$C,[1]analyte_order!$B:$B)</f>
        <v>PFDA</v>
      </c>
      <c r="E1612" s="2" t="s">
        <v>91</v>
      </c>
      <c r="F1612" s="2">
        <f>_xlfn.XLOOKUP(Table1_1[[#This Row],[CAS_rn]],[1]analyte_order!$C:$C,[1]analyte_order!$E:$E)</f>
        <v>7</v>
      </c>
      <c r="G1612">
        <v>9.9000000000000005E-2</v>
      </c>
    </row>
    <row r="1613" spans="1:7" x14ac:dyDescent="0.3">
      <c r="A1613" s="2" t="s">
        <v>203</v>
      </c>
      <c r="B1613" s="2" t="s">
        <v>126</v>
      </c>
      <c r="C1613" s="1">
        <v>44278</v>
      </c>
      <c r="D1613" s="2" t="str">
        <f>_xlfn.XLOOKUP(Table1_1[[#This Row],[CAS_rn]],[1]analyte_order!$C:$C,[1]analyte_order!$B:$B)</f>
        <v>PFUnA</v>
      </c>
      <c r="E1613" s="2" t="s">
        <v>92</v>
      </c>
      <c r="F1613" s="2">
        <f>_xlfn.XLOOKUP(Table1_1[[#This Row],[CAS_rn]],[1]analyte_order!$C:$C,[1]analyte_order!$E:$E)</f>
        <v>8</v>
      </c>
      <c r="G1613">
        <v>0.22900000000000001</v>
      </c>
    </row>
    <row r="1614" spans="1:7" x14ac:dyDescent="0.3">
      <c r="A1614" s="2" t="s">
        <v>203</v>
      </c>
      <c r="B1614" s="2" t="s">
        <v>126</v>
      </c>
      <c r="C1614" s="1">
        <v>44278</v>
      </c>
      <c r="D1614" s="2" t="str">
        <f>_xlfn.XLOOKUP(Table1_1[[#This Row],[CAS_rn]],[1]analyte_order!$C:$C,[1]analyte_order!$B:$B)</f>
        <v>PFDoA</v>
      </c>
      <c r="E1614" s="2" t="s">
        <v>93</v>
      </c>
      <c r="F1614" s="2">
        <f>_xlfn.XLOOKUP(Table1_1[[#This Row],[CAS_rn]],[1]analyte_order!$C:$C,[1]analyte_order!$E:$E)</f>
        <v>9</v>
      </c>
      <c r="G1614">
        <v>0.48399999999999999</v>
      </c>
    </row>
    <row r="1615" spans="1:7" x14ac:dyDescent="0.3">
      <c r="A1615" s="2" t="s">
        <v>203</v>
      </c>
      <c r="B1615" s="2" t="s">
        <v>126</v>
      </c>
      <c r="C1615" s="1">
        <v>44278</v>
      </c>
      <c r="D1615" s="2" t="str">
        <f>_xlfn.XLOOKUP(Table1_1[[#This Row],[CAS_rn]],[1]analyte_order!$C:$C,[1]analyte_order!$B:$B)</f>
        <v>PFTrDA</v>
      </c>
      <c r="E1615" s="2" t="s">
        <v>94</v>
      </c>
      <c r="F1615" s="2">
        <f>_xlfn.XLOOKUP(Table1_1[[#This Row],[CAS_rn]],[1]analyte_order!$C:$C,[1]analyte_order!$E:$E)</f>
        <v>10</v>
      </c>
      <c r="G1615">
        <v>0.59099999999999997</v>
      </c>
    </row>
    <row r="1616" spans="1:7" x14ac:dyDescent="0.3">
      <c r="A1616" s="2" t="s">
        <v>203</v>
      </c>
      <c r="B1616" s="2" t="s">
        <v>126</v>
      </c>
      <c r="C1616" s="1">
        <v>44278</v>
      </c>
      <c r="D1616" s="2" t="str">
        <f>_xlfn.XLOOKUP(Table1_1[[#This Row],[CAS_rn]],[1]analyte_order!$C:$C,[1]analyte_order!$B:$B)</f>
        <v>PFTeDA</v>
      </c>
      <c r="E1616" s="2" t="s">
        <v>95</v>
      </c>
      <c r="F1616" s="2">
        <f>_xlfn.XLOOKUP(Table1_1[[#This Row],[CAS_rn]],[1]analyte_order!$C:$C,[1]analyte_order!$E:$E)</f>
        <v>11</v>
      </c>
      <c r="G1616">
        <v>0.35799999999999998</v>
      </c>
    </row>
    <row r="1617" spans="1:7" x14ac:dyDescent="0.3">
      <c r="A1617" s="2" t="s">
        <v>203</v>
      </c>
      <c r="B1617" s="2" t="s">
        <v>126</v>
      </c>
      <c r="C1617" s="1">
        <v>44278</v>
      </c>
      <c r="D1617" s="2" t="str">
        <f>_xlfn.XLOOKUP(Table1_1[[#This Row],[CAS_rn]],[1]analyte_order!$C:$C,[1]analyte_order!$B:$B)</f>
        <v>PFBS</v>
      </c>
      <c r="E1617" s="2" t="s">
        <v>96</v>
      </c>
      <c r="F1617" s="2">
        <f>_xlfn.XLOOKUP(Table1_1[[#This Row],[CAS_rn]],[1]analyte_order!$C:$C,[1]analyte_order!$E:$E)</f>
        <v>13</v>
      </c>
      <c r="G1617">
        <v>6.5000000000000002E-2</v>
      </c>
    </row>
    <row r="1618" spans="1:7" x14ac:dyDescent="0.3">
      <c r="A1618" s="2" t="s">
        <v>203</v>
      </c>
      <c r="B1618" s="2" t="s">
        <v>126</v>
      </c>
      <c r="C1618" s="1">
        <v>44278</v>
      </c>
      <c r="D1618" s="2" t="str">
        <f>_xlfn.XLOOKUP(Table1_1[[#This Row],[CAS_rn]],[1]analyte_order!$C:$C,[1]analyte_order!$B:$B)</f>
        <v>PFPeS</v>
      </c>
      <c r="E1618" s="2" t="s">
        <v>97</v>
      </c>
      <c r="F1618" s="2">
        <f>_xlfn.XLOOKUP(Table1_1[[#This Row],[CAS_rn]],[1]analyte_order!$C:$C,[1]analyte_order!$E:$E)</f>
        <v>14</v>
      </c>
      <c r="G1618">
        <v>0.10100000000000001</v>
      </c>
    </row>
    <row r="1619" spans="1:7" x14ac:dyDescent="0.3">
      <c r="A1619" s="2" t="s">
        <v>203</v>
      </c>
      <c r="B1619" s="2" t="s">
        <v>126</v>
      </c>
      <c r="C1619" s="1">
        <v>44278</v>
      </c>
      <c r="D1619" s="2" t="str">
        <f>_xlfn.XLOOKUP(Table1_1[[#This Row],[CAS_rn]],[1]analyte_order!$C:$C,[1]analyte_order!$B:$B)</f>
        <v>PFHxS</v>
      </c>
      <c r="E1619" s="2" t="s">
        <v>98</v>
      </c>
      <c r="F1619" s="2">
        <f>_xlfn.XLOOKUP(Table1_1[[#This Row],[CAS_rn]],[1]analyte_order!$C:$C,[1]analyte_order!$E:$E)</f>
        <v>15</v>
      </c>
      <c r="G1619">
        <v>0.96699999999999997</v>
      </c>
    </row>
    <row r="1620" spans="1:7" x14ac:dyDescent="0.3">
      <c r="A1620" s="2" t="s">
        <v>203</v>
      </c>
      <c r="B1620" s="2" t="s">
        <v>126</v>
      </c>
      <c r="C1620" s="1">
        <v>44278</v>
      </c>
      <c r="D1620" s="2" t="str">
        <f>_xlfn.XLOOKUP(Table1_1[[#This Row],[CAS_rn]],[1]analyte_order!$C:$C,[1]analyte_order!$B:$B)</f>
        <v>PFHpS</v>
      </c>
      <c r="E1620" s="2" t="s">
        <v>99</v>
      </c>
      <c r="F1620" s="2">
        <f>_xlfn.XLOOKUP(Table1_1[[#This Row],[CAS_rn]],[1]analyte_order!$C:$C,[1]analyte_order!$E:$E)</f>
        <v>16</v>
      </c>
      <c r="G1620">
        <v>0.11600000000000001</v>
      </c>
    </row>
    <row r="1621" spans="1:7" x14ac:dyDescent="0.3">
      <c r="A1621" s="2" t="s">
        <v>203</v>
      </c>
      <c r="B1621" s="2" t="s">
        <v>126</v>
      </c>
      <c r="C1621" s="1">
        <v>44278</v>
      </c>
      <c r="D1621" s="2" t="str">
        <f>_xlfn.XLOOKUP(Table1_1[[#This Row],[CAS_rn]],[1]analyte_order!$C:$C,[1]analyte_order!$B:$B)</f>
        <v>PFOS</v>
      </c>
      <c r="E1621" s="2" t="s">
        <v>100</v>
      </c>
      <c r="F1621" s="2">
        <f>_xlfn.XLOOKUP(Table1_1[[#This Row],[CAS_rn]],[1]analyte_order!$C:$C,[1]analyte_order!$E:$E)</f>
        <v>17</v>
      </c>
      <c r="G1621">
        <v>17.5</v>
      </c>
    </row>
    <row r="1622" spans="1:7" x14ac:dyDescent="0.3">
      <c r="A1622" s="2" t="s">
        <v>203</v>
      </c>
      <c r="B1622" s="2" t="s">
        <v>126</v>
      </c>
      <c r="C1622" s="1">
        <v>44278</v>
      </c>
      <c r="D1622" s="2" t="str">
        <f>_xlfn.XLOOKUP(Table1_1[[#This Row],[CAS_rn]],[1]analyte_order!$C:$C,[1]analyte_order!$B:$B)</f>
        <v>PFNS</v>
      </c>
      <c r="E1622" s="2" t="s">
        <v>101</v>
      </c>
      <c r="F1622" s="2">
        <f>_xlfn.XLOOKUP(Table1_1[[#This Row],[CAS_rn]],[1]analyte_order!$C:$C,[1]analyte_order!$E:$E)</f>
        <v>18</v>
      </c>
      <c r="G1622">
        <v>6.4000000000000001E-2</v>
      </c>
    </row>
    <row r="1623" spans="1:7" x14ac:dyDescent="0.3">
      <c r="A1623" s="2" t="s">
        <v>203</v>
      </c>
      <c r="B1623" s="2" t="s">
        <v>126</v>
      </c>
      <c r="C1623" s="1">
        <v>44278</v>
      </c>
      <c r="D1623" s="2" t="str">
        <f>_xlfn.XLOOKUP(Table1_1[[#This Row],[CAS_rn]],[1]analyte_order!$C:$C,[1]analyte_order!$B:$B)</f>
        <v>PFDS</v>
      </c>
      <c r="E1623" s="2" t="s">
        <v>123</v>
      </c>
      <c r="F1623" s="2">
        <f>_xlfn.XLOOKUP(Table1_1[[#This Row],[CAS_rn]],[1]analyte_order!$C:$C,[1]analyte_order!$E:$E)</f>
        <v>19</v>
      </c>
      <c r="G1623">
        <v>0.25800000000000001</v>
      </c>
    </row>
    <row r="1624" spans="1:7" x14ac:dyDescent="0.3">
      <c r="A1624" s="2" t="s">
        <v>203</v>
      </c>
      <c r="B1624" s="2" t="s">
        <v>126</v>
      </c>
      <c r="C1624" s="1">
        <v>44278</v>
      </c>
      <c r="D1624" s="2" t="str">
        <f>_xlfn.XLOOKUP(Table1_1[[#This Row],[CAS_rn]],[1]analyte_order!$C:$C,[1]analyte_order!$B:$B)</f>
        <v>PFDoS</v>
      </c>
      <c r="E1624" s="2" t="s">
        <v>102</v>
      </c>
      <c r="F1624" s="2">
        <f>_xlfn.XLOOKUP(Table1_1[[#This Row],[CAS_rn]],[1]analyte_order!$C:$C,[1]analyte_order!$E:$E)</f>
        <v>20</v>
      </c>
      <c r="G1624">
        <v>0.25</v>
      </c>
    </row>
    <row r="1625" spans="1:7" x14ac:dyDescent="0.3">
      <c r="A1625" s="2" t="s">
        <v>203</v>
      </c>
      <c r="B1625" s="2" t="s">
        <v>126</v>
      </c>
      <c r="C1625" s="1">
        <v>44278</v>
      </c>
      <c r="D1625" s="2" t="str">
        <f>_xlfn.XLOOKUP(Table1_1[[#This Row],[CAS_rn]],[1]analyte_order!$C:$C,[1]analyte_order!$B:$B)</f>
        <v>4:2 FTS</v>
      </c>
      <c r="E1625" s="2" t="s">
        <v>103</v>
      </c>
      <c r="F1625" s="2">
        <f>_xlfn.XLOOKUP(Table1_1[[#This Row],[CAS_rn]],[1]analyte_order!$C:$C,[1]analyte_order!$E:$E)</f>
        <v>21</v>
      </c>
      <c r="G1625">
        <v>7.2999999999999995E-2</v>
      </c>
    </row>
    <row r="1626" spans="1:7" x14ac:dyDescent="0.3">
      <c r="A1626" s="2" t="s">
        <v>203</v>
      </c>
      <c r="B1626" s="2" t="s">
        <v>126</v>
      </c>
      <c r="C1626" s="1">
        <v>44278</v>
      </c>
      <c r="D1626" s="2" t="str">
        <f>_xlfn.XLOOKUP(Table1_1[[#This Row],[CAS_rn]],[1]analyte_order!$C:$C,[1]analyte_order!$B:$B)</f>
        <v>6:2 FTS</v>
      </c>
      <c r="E1626" s="2" t="s">
        <v>104</v>
      </c>
      <c r="F1626" s="2">
        <f>_xlfn.XLOOKUP(Table1_1[[#This Row],[CAS_rn]],[1]analyte_order!$C:$C,[1]analyte_order!$E:$E)</f>
        <v>22</v>
      </c>
      <c r="G1626">
        <v>0.39900000000000002</v>
      </c>
    </row>
    <row r="1627" spans="1:7" x14ac:dyDescent="0.3">
      <c r="A1627" s="2" t="s">
        <v>203</v>
      </c>
      <c r="B1627" s="2" t="s">
        <v>126</v>
      </c>
      <c r="C1627" s="1">
        <v>44278</v>
      </c>
      <c r="D1627" s="2" t="str">
        <f>_xlfn.XLOOKUP(Table1_1[[#This Row],[CAS_rn]],[1]analyte_order!$C:$C,[1]analyte_order!$B:$B)</f>
        <v>8:2 FTS</v>
      </c>
      <c r="E1627" s="2" t="s">
        <v>105</v>
      </c>
      <c r="F1627" s="2">
        <f>_xlfn.XLOOKUP(Table1_1[[#This Row],[CAS_rn]],[1]analyte_order!$C:$C,[1]analyte_order!$E:$E)</f>
        <v>23</v>
      </c>
      <c r="G1627">
        <v>0.64</v>
      </c>
    </row>
    <row r="1628" spans="1:7" x14ac:dyDescent="0.3">
      <c r="A1628" s="2" t="s">
        <v>203</v>
      </c>
      <c r="B1628" s="2" t="s">
        <v>126</v>
      </c>
      <c r="C1628" s="1">
        <v>44278</v>
      </c>
      <c r="D1628" s="2" t="str">
        <f>_xlfn.XLOOKUP(Table1_1[[#This Row],[CAS_rn]],[1]analyte_order!$C:$C,[1]analyte_order!$B:$B)</f>
        <v>FOSA</v>
      </c>
      <c r="E1628" s="2" t="s">
        <v>106</v>
      </c>
      <c r="F1628" s="2">
        <f>_xlfn.XLOOKUP(Table1_1[[#This Row],[CAS_rn]],[1]analyte_order!$C:$C,[1]analyte_order!$E:$E)</f>
        <v>27</v>
      </c>
      <c r="G1628">
        <v>0.22500000000000001</v>
      </c>
    </row>
    <row r="1629" spans="1:7" x14ac:dyDescent="0.3">
      <c r="A1629" s="2" t="s">
        <v>203</v>
      </c>
      <c r="B1629" s="2" t="s">
        <v>126</v>
      </c>
      <c r="C1629" s="1">
        <v>44278</v>
      </c>
      <c r="D1629" s="2" t="str">
        <f>_xlfn.XLOOKUP(Table1_1[[#This Row],[CAS_rn]],[1]analyte_order!$C:$C,[1]analyte_order!$B:$B)</f>
        <v>N-MeFOSA</v>
      </c>
      <c r="E1629" s="2" t="s">
        <v>107</v>
      </c>
      <c r="F1629" s="2">
        <f>_xlfn.XLOOKUP(Table1_1[[#This Row],[CAS_rn]],[1]analyte_order!$C:$C,[1]analyte_order!$E:$E)</f>
        <v>29</v>
      </c>
      <c r="G1629">
        <v>1.83E-2</v>
      </c>
    </row>
    <row r="1630" spans="1:7" x14ac:dyDescent="0.3">
      <c r="A1630" s="2" t="s">
        <v>203</v>
      </c>
      <c r="B1630" s="2" t="s">
        <v>126</v>
      </c>
      <c r="C1630" s="1">
        <v>44278</v>
      </c>
      <c r="D1630" s="2" t="str">
        <f>_xlfn.XLOOKUP(Table1_1[[#This Row],[CAS_rn]],[1]analyte_order!$C:$C,[1]analyte_order!$B:$B)</f>
        <v>N-EtFOSA</v>
      </c>
      <c r="E1630" s="2" t="s">
        <v>109</v>
      </c>
      <c r="F1630" s="2">
        <f>_xlfn.XLOOKUP(Table1_1[[#This Row],[CAS_rn]],[1]analyte_order!$C:$C,[1]analyte_order!$E:$E)</f>
        <v>30</v>
      </c>
      <c r="G1630">
        <v>5.0999999999999997E-2</v>
      </c>
    </row>
    <row r="1631" spans="1:7" x14ac:dyDescent="0.3">
      <c r="A1631" s="2" t="s">
        <v>203</v>
      </c>
      <c r="B1631" s="2" t="s">
        <v>126</v>
      </c>
      <c r="C1631" s="1">
        <v>44278</v>
      </c>
      <c r="D1631" s="2" t="str">
        <f>_xlfn.XLOOKUP(Table1_1[[#This Row],[CAS_rn]],[1]analyte_order!$C:$C,[1]analyte_order!$B:$B)</f>
        <v>N-MeFOSAA</v>
      </c>
      <c r="E1631" s="2" t="s">
        <v>108</v>
      </c>
      <c r="F1631" s="2">
        <f>_xlfn.XLOOKUP(Table1_1[[#This Row],[CAS_rn]],[1]analyte_order!$C:$C,[1]analyte_order!$E:$E)</f>
        <v>25</v>
      </c>
      <c r="G1631">
        <v>1.83E-2</v>
      </c>
    </row>
    <row r="1632" spans="1:7" x14ac:dyDescent="0.3">
      <c r="A1632" s="2" t="s">
        <v>203</v>
      </c>
      <c r="B1632" s="2" t="s">
        <v>126</v>
      </c>
      <c r="C1632" s="1">
        <v>44278</v>
      </c>
      <c r="D1632" s="2" t="str">
        <f>_xlfn.XLOOKUP(Table1_1[[#This Row],[CAS_rn]],[1]analyte_order!$C:$C,[1]analyte_order!$B:$B)</f>
        <v>N-EtFOSAA</v>
      </c>
      <c r="E1632" s="2" t="s">
        <v>110</v>
      </c>
      <c r="F1632" s="2">
        <f>_xlfn.XLOOKUP(Table1_1[[#This Row],[CAS_rn]],[1]analyte_order!$C:$C,[1]analyte_order!$E:$E)</f>
        <v>26</v>
      </c>
      <c r="G1632">
        <v>1.83E-2</v>
      </c>
    </row>
    <row r="1633" spans="1:7" x14ac:dyDescent="0.3">
      <c r="A1633" s="2" t="s">
        <v>203</v>
      </c>
      <c r="B1633" s="2" t="s">
        <v>126</v>
      </c>
      <c r="C1633" s="1">
        <v>44278</v>
      </c>
      <c r="D1633" s="2" t="str">
        <f>_xlfn.XLOOKUP(Table1_1[[#This Row],[CAS_rn]],[1]analyte_order!$C:$C,[1]analyte_order!$B:$B)</f>
        <v>N-MeFOSE</v>
      </c>
      <c r="E1633" s="2" t="s">
        <v>111</v>
      </c>
      <c r="F1633" s="2">
        <f>_xlfn.XLOOKUP(Table1_1[[#This Row],[CAS_rn]],[1]analyte_order!$C:$C,[1]analyte_order!$E:$E)</f>
        <v>31</v>
      </c>
      <c r="G1633">
        <v>0.183</v>
      </c>
    </row>
    <row r="1634" spans="1:7" x14ac:dyDescent="0.3">
      <c r="A1634" s="2" t="s">
        <v>203</v>
      </c>
      <c r="B1634" s="2" t="s">
        <v>126</v>
      </c>
      <c r="C1634" s="1">
        <v>44278</v>
      </c>
      <c r="D1634" s="2" t="str">
        <f>_xlfn.XLOOKUP(Table1_1[[#This Row],[CAS_rn]],[1]analyte_order!$C:$C,[1]analyte_order!$B:$B)</f>
        <v>N-EtFOSE</v>
      </c>
      <c r="E1634" s="2" t="s">
        <v>112</v>
      </c>
      <c r="F1634" s="2">
        <f>_xlfn.XLOOKUP(Table1_1[[#This Row],[CAS_rn]],[1]analyte_order!$C:$C,[1]analyte_order!$E:$E)</f>
        <v>32</v>
      </c>
      <c r="G1634">
        <v>0.183</v>
      </c>
    </row>
    <row r="1635" spans="1:7" x14ac:dyDescent="0.3">
      <c r="A1635" s="2" t="s">
        <v>203</v>
      </c>
      <c r="B1635" s="2" t="s">
        <v>126</v>
      </c>
      <c r="C1635" s="1">
        <v>44278</v>
      </c>
      <c r="D1635" s="2" t="str">
        <f>_xlfn.XLOOKUP(Table1_1[[#This Row],[CAS_rn]],[1]analyte_order!$C:$C,[1]analyte_order!$B:$B)</f>
        <v>HFPO-DA</v>
      </c>
      <c r="E1635" s="2" t="s">
        <v>113</v>
      </c>
      <c r="F1635" s="2">
        <f>_xlfn.XLOOKUP(Table1_1[[#This Row],[CAS_rn]],[1]analyte_order!$C:$C,[1]analyte_order!$E:$E)</f>
        <v>33</v>
      </c>
      <c r="G1635">
        <v>7.2999999999999995E-2</v>
      </c>
    </row>
    <row r="1636" spans="1:7" x14ac:dyDescent="0.3">
      <c r="A1636" s="2" t="s">
        <v>203</v>
      </c>
      <c r="B1636" s="2" t="s">
        <v>126</v>
      </c>
      <c r="C1636" s="1">
        <v>44278</v>
      </c>
      <c r="D1636" s="2" t="str">
        <f>_xlfn.XLOOKUP(Table1_1[[#This Row],[CAS_rn]],[1]analyte_order!$C:$C,[1]analyte_order!$B:$B)</f>
        <v>ADONA</v>
      </c>
      <c r="E1636" s="2" t="s">
        <v>114</v>
      </c>
      <c r="F1636" s="2">
        <f>_xlfn.XLOOKUP(Table1_1[[#This Row],[CAS_rn]],[1]analyte_order!$C:$C,[1]analyte_order!$E:$E)</f>
        <v>34</v>
      </c>
      <c r="G1636">
        <v>7.2999999999999995E-2</v>
      </c>
    </row>
    <row r="1637" spans="1:7" x14ac:dyDescent="0.3">
      <c r="A1637" s="2" t="s">
        <v>203</v>
      </c>
      <c r="B1637" s="2" t="s">
        <v>126</v>
      </c>
      <c r="C1637" s="1">
        <v>44278</v>
      </c>
      <c r="D1637" s="2" t="str">
        <f>_xlfn.XLOOKUP(Table1_1[[#This Row],[CAS_rn]],[1]analyte_order!$C:$C,[1]analyte_order!$B:$B)</f>
        <v>9Cl-PF3ONS</v>
      </c>
      <c r="E1637" s="2" t="s">
        <v>117</v>
      </c>
      <c r="F1637" s="2">
        <f>_xlfn.XLOOKUP(Table1_1[[#This Row],[CAS_rn]],[1]analyte_order!$C:$C,[1]analyte_order!$E:$E)</f>
        <v>35</v>
      </c>
      <c r="G1637">
        <v>7.3499999999999996E-2</v>
      </c>
    </row>
    <row r="1638" spans="1:7" x14ac:dyDescent="0.3">
      <c r="A1638" s="2" t="s">
        <v>203</v>
      </c>
      <c r="B1638" s="2" t="s">
        <v>126</v>
      </c>
      <c r="C1638" s="1">
        <v>44278</v>
      </c>
      <c r="D1638" s="2" t="str">
        <f>_xlfn.XLOOKUP(Table1_1[[#This Row],[CAS_rn]],[1]analyte_order!$C:$C,[1]analyte_order!$B:$B)</f>
        <v>11Cl-PF3OUdS</v>
      </c>
      <c r="E1638" s="2" t="s">
        <v>118</v>
      </c>
      <c r="F1638" s="2">
        <f>_xlfn.XLOOKUP(Table1_1[[#This Row],[CAS_rn]],[1]analyte_order!$C:$C,[1]analyte_order!$E:$E)</f>
        <v>36</v>
      </c>
      <c r="G1638">
        <v>7.2999999999999995E-2</v>
      </c>
    </row>
    <row r="1639" spans="1:7" x14ac:dyDescent="0.3">
      <c r="A1639" s="2" t="s">
        <v>203</v>
      </c>
      <c r="B1639" s="2" t="s">
        <v>126</v>
      </c>
      <c r="C1639" s="1">
        <v>44278</v>
      </c>
      <c r="D1639" s="2" t="str">
        <f>_xlfn.XLOOKUP(Table1_1[[#This Row],[CAS_rn]],[1]analyte_order!$C:$C,[1]analyte_order!$B:$B)</f>
        <v>3:3 FTCA</v>
      </c>
      <c r="E1639" s="2" t="s">
        <v>120</v>
      </c>
      <c r="F1639" s="2">
        <f>_xlfn.XLOOKUP(Table1_1[[#This Row],[CAS_rn]],[1]analyte_order!$C:$C,[1]analyte_order!$E:$E)</f>
        <v>37</v>
      </c>
      <c r="G1639">
        <v>7.2999999999999995E-2</v>
      </c>
    </row>
    <row r="1640" spans="1:7" x14ac:dyDescent="0.3">
      <c r="A1640" s="2" t="s">
        <v>203</v>
      </c>
      <c r="B1640" s="2" t="s">
        <v>126</v>
      </c>
      <c r="C1640" s="1">
        <v>44278</v>
      </c>
      <c r="D1640" s="2" t="str">
        <f>_xlfn.XLOOKUP(Table1_1[[#This Row],[CAS_rn]],[1]analyte_order!$C:$C,[1]analyte_order!$B:$B)</f>
        <v>5:3 FTCA</v>
      </c>
      <c r="E1640" s="2" t="s">
        <v>121</v>
      </c>
      <c r="F1640" s="2">
        <f>_xlfn.XLOOKUP(Table1_1[[#This Row],[CAS_rn]],[1]analyte_order!$C:$C,[1]analyte_order!$E:$E)</f>
        <v>38</v>
      </c>
      <c r="G1640">
        <v>0.45700000000000002</v>
      </c>
    </row>
    <row r="1641" spans="1:7" x14ac:dyDescent="0.3">
      <c r="A1641" s="2" t="s">
        <v>203</v>
      </c>
      <c r="B1641" s="2" t="s">
        <v>126</v>
      </c>
      <c r="C1641" s="1">
        <v>44278</v>
      </c>
      <c r="D1641" s="2" t="str">
        <f>_xlfn.XLOOKUP(Table1_1[[#This Row],[CAS_rn]],[1]analyte_order!$C:$C,[1]analyte_order!$B:$B)</f>
        <v>7:3 FTCA</v>
      </c>
      <c r="E1641" s="2" t="s">
        <v>122</v>
      </c>
      <c r="F1641" s="2">
        <f>_xlfn.XLOOKUP(Table1_1[[#This Row],[CAS_rn]],[1]analyte_order!$C:$C,[1]analyte_order!$E:$E)</f>
        <v>39</v>
      </c>
      <c r="G1641">
        <v>0.45700000000000002</v>
      </c>
    </row>
    <row r="1642" spans="1:7" x14ac:dyDescent="0.3">
      <c r="A1642" s="2" t="s">
        <v>203</v>
      </c>
      <c r="B1642" s="2" t="s">
        <v>126</v>
      </c>
      <c r="C1642" s="1">
        <v>44278</v>
      </c>
      <c r="D1642" s="2" t="str">
        <f>_xlfn.XLOOKUP(Table1_1[[#This Row],[CAS_rn]],[1]analyte_order!$C:$C,[1]analyte_order!$B:$B)</f>
        <v>PFEESA</v>
      </c>
      <c r="E1642" s="2" t="s">
        <v>119</v>
      </c>
      <c r="F1642" s="2">
        <f>_xlfn.XLOOKUP(Table1_1[[#This Row],[CAS_rn]],[1]analyte_order!$C:$C,[1]analyte_order!$E:$E)</f>
        <v>46</v>
      </c>
      <c r="G1642">
        <v>1.83E-2</v>
      </c>
    </row>
    <row r="1643" spans="1:7" x14ac:dyDescent="0.3">
      <c r="A1643" s="2" t="s">
        <v>203</v>
      </c>
      <c r="B1643" s="2" t="s">
        <v>126</v>
      </c>
      <c r="C1643" s="1">
        <v>44278</v>
      </c>
      <c r="D1643" s="2" t="str">
        <f>_xlfn.XLOOKUP(Table1_1[[#This Row],[CAS_rn]],[1]analyte_order!$C:$C,[1]analyte_order!$B:$B)</f>
        <v>PFMPA</v>
      </c>
      <c r="E1643" s="2" t="s">
        <v>124</v>
      </c>
      <c r="F1643" s="2">
        <f>_xlfn.XLOOKUP(Table1_1[[#This Row],[CAS_rn]],[1]analyte_order!$C:$C,[1]analyte_order!$E:$E)</f>
        <v>48</v>
      </c>
      <c r="G1643">
        <v>3.6549999999999999E-2</v>
      </c>
    </row>
    <row r="1644" spans="1:7" x14ac:dyDescent="0.3">
      <c r="A1644" s="2" t="s">
        <v>203</v>
      </c>
      <c r="B1644" s="2" t="s">
        <v>126</v>
      </c>
      <c r="C1644" s="1">
        <v>44278</v>
      </c>
      <c r="D1644" s="2" t="str">
        <f>_xlfn.XLOOKUP(Table1_1[[#This Row],[CAS_rn]],[1]analyte_order!$C:$C,[1]analyte_order!$B:$B)</f>
        <v>PFMBA</v>
      </c>
      <c r="E1644" s="2" t="s">
        <v>115</v>
      </c>
      <c r="F1644" s="2">
        <f>_xlfn.XLOOKUP(Table1_1[[#This Row],[CAS_rn]],[1]analyte_order!$C:$C,[1]analyte_order!$E:$E)</f>
        <v>47</v>
      </c>
      <c r="G1644">
        <v>1.83E-2</v>
      </c>
    </row>
    <row r="1645" spans="1:7" x14ac:dyDescent="0.3">
      <c r="A1645" s="2" t="s">
        <v>203</v>
      </c>
      <c r="B1645" s="2" t="s">
        <v>126</v>
      </c>
      <c r="C1645" s="1">
        <v>44278</v>
      </c>
      <c r="D1645" s="2" t="str">
        <f>_xlfn.XLOOKUP(Table1_1[[#This Row],[CAS_rn]],[1]analyte_order!$C:$C,[1]analyte_order!$B:$B)</f>
        <v>NFDHA</v>
      </c>
      <c r="E1645" s="2" t="s">
        <v>116</v>
      </c>
      <c r="F1645" s="2">
        <f>_xlfn.XLOOKUP(Table1_1[[#This Row],[CAS_rn]],[1]analyte_order!$C:$C,[1]analyte_order!$E:$E)</f>
        <v>49</v>
      </c>
      <c r="G1645">
        <v>3.6549999999999999E-2</v>
      </c>
    </row>
    <row r="1646" spans="1:7" x14ac:dyDescent="0.3">
      <c r="A1646" s="2" t="s">
        <v>204</v>
      </c>
      <c r="B1646" s="2" t="s">
        <v>128</v>
      </c>
      <c r="C1646" s="1">
        <v>44278</v>
      </c>
      <c r="D1646" s="2" t="str">
        <f>_xlfn.XLOOKUP(Table1_1[[#This Row],[CAS_rn]],[1]analyte_order!$C:$C,[1]analyte_order!$B:$B)</f>
        <v>PFBA</v>
      </c>
      <c r="E1646" s="2" t="s">
        <v>85</v>
      </c>
      <c r="F1646" s="2">
        <f>_xlfn.XLOOKUP(Table1_1[[#This Row],[CAS_rn]],[1]analyte_order!$C:$C,[1]analyte_order!$E:$E)</f>
        <v>1</v>
      </c>
      <c r="G1646">
        <v>0.14699999999999999</v>
      </c>
    </row>
    <row r="1647" spans="1:7" x14ac:dyDescent="0.3">
      <c r="A1647" s="2" t="s">
        <v>204</v>
      </c>
      <c r="B1647" s="2" t="s">
        <v>128</v>
      </c>
      <c r="C1647" s="1">
        <v>44278</v>
      </c>
      <c r="D1647" s="2" t="str">
        <f>_xlfn.XLOOKUP(Table1_1[[#This Row],[CAS_rn]],[1]analyte_order!$C:$C,[1]analyte_order!$B:$B)</f>
        <v>PFPeA</v>
      </c>
      <c r="E1647" s="2" t="s">
        <v>86</v>
      </c>
      <c r="F1647" s="2">
        <f>_xlfn.XLOOKUP(Table1_1[[#This Row],[CAS_rn]],[1]analyte_order!$C:$C,[1]analyte_order!$E:$E)</f>
        <v>2</v>
      </c>
      <c r="G1647">
        <v>0.2</v>
      </c>
    </row>
    <row r="1648" spans="1:7" x14ac:dyDescent="0.3">
      <c r="A1648" s="2" t="s">
        <v>204</v>
      </c>
      <c r="B1648" s="2" t="s">
        <v>128</v>
      </c>
      <c r="C1648" s="1">
        <v>44278</v>
      </c>
      <c r="D1648" s="2" t="str">
        <f>_xlfn.XLOOKUP(Table1_1[[#This Row],[CAS_rn]],[1]analyte_order!$C:$C,[1]analyte_order!$B:$B)</f>
        <v>PFHxA</v>
      </c>
      <c r="E1648" s="2" t="s">
        <v>87</v>
      </c>
      <c r="F1648" s="2">
        <f>_xlfn.XLOOKUP(Table1_1[[#This Row],[CAS_rn]],[1]analyte_order!$C:$C,[1]analyte_order!$E:$E)</f>
        <v>3</v>
      </c>
      <c r="G1648">
        <v>0.17399999999999999</v>
      </c>
    </row>
    <row r="1649" spans="1:7" x14ac:dyDescent="0.3">
      <c r="A1649" s="2" t="s">
        <v>204</v>
      </c>
      <c r="B1649" s="2" t="s">
        <v>128</v>
      </c>
      <c r="C1649" s="1">
        <v>44278</v>
      </c>
      <c r="D1649" s="2" t="str">
        <f>_xlfn.XLOOKUP(Table1_1[[#This Row],[CAS_rn]],[1]analyte_order!$C:$C,[1]analyte_order!$B:$B)</f>
        <v>PFHpA</v>
      </c>
      <c r="E1649" s="2" t="s">
        <v>88</v>
      </c>
      <c r="F1649" s="2">
        <f>_xlfn.XLOOKUP(Table1_1[[#This Row],[CAS_rn]],[1]analyte_order!$C:$C,[1]analyte_order!$E:$E)</f>
        <v>4</v>
      </c>
      <c r="G1649">
        <v>8.5000000000000006E-2</v>
      </c>
    </row>
    <row r="1650" spans="1:7" x14ac:dyDescent="0.3">
      <c r="A1650" s="2" t="s">
        <v>204</v>
      </c>
      <c r="B1650" s="2" t="s">
        <v>128</v>
      </c>
      <c r="C1650" s="1">
        <v>44278</v>
      </c>
      <c r="D1650" s="2" t="str">
        <f>_xlfn.XLOOKUP(Table1_1[[#This Row],[CAS_rn]],[1]analyte_order!$C:$C,[1]analyte_order!$B:$B)</f>
        <v>PFOA</v>
      </c>
      <c r="E1650" s="2" t="s">
        <v>89</v>
      </c>
      <c r="F1650" s="2">
        <f>_xlfn.XLOOKUP(Table1_1[[#This Row],[CAS_rn]],[1]analyte_order!$C:$C,[1]analyte_order!$E:$E)</f>
        <v>5</v>
      </c>
      <c r="G1650">
        <v>0.161</v>
      </c>
    </row>
    <row r="1651" spans="1:7" x14ac:dyDescent="0.3">
      <c r="A1651" s="2" t="s">
        <v>204</v>
      </c>
      <c r="B1651" s="2" t="s">
        <v>128</v>
      </c>
      <c r="C1651" s="1">
        <v>44278</v>
      </c>
      <c r="D1651" s="2" t="str">
        <f>_xlfn.XLOOKUP(Table1_1[[#This Row],[CAS_rn]],[1]analyte_order!$C:$C,[1]analyte_order!$B:$B)</f>
        <v>PFNA</v>
      </c>
      <c r="E1651" s="2" t="s">
        <v>90</v>
      </c>
      <c r="F1651" s="2">
        <f>_xlfn.XLOOKUP(Table1_1[[#This Row],[CAS_rn]],[1]analyte_order!$C:$C,[1]analyte_order!$E:$E)</f>
        <v>6</v>
      </c>
      <c r="G1651">
        <v>0.16500000000000001</v>
      </c>
    </row>
    <row r="1652" spans="1:7" x14ac:dyDescent="0.3">
      <c r="A1652" s="2" t="s">
        <v>204</v>
      </c>
      <c r="B1652" s="2" t="s">
        <v>128</v>
      </c>
      <c r="C1652" s="1">
        <v>44278</v>
      </c>
      <c r="D1652" s="2" t="str">
        <f>_xlfn.XLOOKUP(Table1_1[[#This Row],[CAS_rn]],[1]analyte_order!$C:$C,[1]analyte_order!$B:$B)</f>
        <v>PFDA</v>
      </c>
      <c r="E1652" s="2" t="s">
        <v>91</v>
      </c>
      <c r="F1652" s="2">
        <f>_xlfn.XLOOKUP(Table1_1[[#This Row],[CAS_rn]],[1]analyte_order!$C:$C,[1]analyte_order!$E:$E)</f>
        <v>7</v>
      </c>
      <c r="G1652">
        <v>7.1999999999999995E-2</v>
      </c>
    </row>
    <row r="1653" spans="1:7" x14ac:dyDescent="0.3">
      <c r="A1653" s="2" t="s">
        <v>204</v>
      </c>
      <c r="B1653" s="2" t="s">
        <v>128</v>
      </c>
      <c r="C1653" s="1">
        <v>44278</v>
      </c>
      <c r="D1653" s="2" t="str">
        <f>_xlfn.XLOOKUP(Table1_1[[#This Row],[CAS_rn]],[1]analyte_order!$C:$C,[1]analyte_order!$B:$B)</f>
        <v>PFUnA</v>
      </c>
      <c r="E1653" s="2" t="s">
        <v>92</v>
      </c>
      <c r="F1653" s="2">
        <f>_xlfn.XLOOKUP(Table1_1[[#This Row],[CAS_rn]],[1]analyte_order!$C:$C,[1]analyte_order!$E:$E)</f>
        <v>8</v>
      </c>
      <c r="G1653">
        <v>8.4000000000000005E-2</v>
      </c>
    </row>
    <row r="1654" spans="1:7" x14ac:dyDescent="0.3">
      <c r="A1654" s="2" t="s">
        <v>204</v>
      </c>
      <c r="B1654" s="2" t="s">
        <v>128</v>
      </c>
      <c r="C1654" s="1">
        <v>44278</v>
      </c>
      <c r="D1654" s="2" t="str">
        <f>_xlfn.XLOOKUP(Table1_1[[#This Row],[CAS_rn]],[1]analyte_order!$C:$C,[1]analyte_order!$B:$B)</f>
        <v>PFDoA</v>
      </c>
      <c r="E1654" s="2" t="s">
        <v>93</v>
      </c>
      <c r="F1654" s="2">
        <f>_xlfn.XLOOKUP(Table1_1[[#This Row],[CAS_rn]],[1]analyte_order!$C:$C,[1]analyte_order!$E:$E)</f>
        <v>9</v>
      </c>
      <c r="G1654">
        <v>3.3000000000000002E-2</v>
      </c>
    </row>
    <row r="1655" spans="1:7" x14ac:dyDescent="0.3">
      <c r="A1655" s="2" t="s">
        <v>204</v>
      </c>
      <c r="B1655" s="2" t="s">
        <v>128</v>
      </c>
      <c r="C1655" s="1">
        <v>44278</v>
      </c>
      <c r="D1655" s="2" t="str">
        <f>_xlfn.XLOOKUP(Table1_1[[#This Row],[CAS_rn]],[1]analyte_order!$C:$C,[1]analyte_order!$B:$B)</f>
        <v>PFTrDA</v>
      </c>
      <c r="E1655" s="2" t="s">
        <v>94</v>
      </c>
      <c r="F1655" s="2">
        <f>_xlfn.XLOOKUP(Table1_1[[#This Row],[CAS_rn]],[1]analyte_order!$C:$C,[1]analyte_order!$E:$E)</f>
        <v>10</v>
      </c>
      <c r="G1655">
        <v>4.1000000000000002E-2</v>
      </c>
    </row>
    <row r="1656" spans="1:7" x14ac:dyDescent="0.3">
      <c r="A1656" s="2" t="s">
        <v>204</v>
      </c>
      <c r="B1656" s="2" t="s">
        <v>128</v>
      </c>
      <c r="C1656" s="1">
        <v>44278</v>
      </c>
      <c r="D1656" s="2" t="str">
        <f>_xlfn.XLOOKUP(Table1_1[[#This Row],[CAS_rn]],[1]analyte_order!$C:$C,[1]analyte_order!$B:$B)</f>
        <v>PFTeDA</v>
      </c>
      <c r="E1656" s="2" t="s">
        <v>95</v>
      </c>
      <c r="F1656" s="2">
        <f>_xlfn.XLOOKUP(Table1_1[[#This Row],[CAS_rn]],[1]analyte_order!$C:$C,[1]analyte_order!$E:$E)</f>
        <v>11</v>
      </c>
      <c r="G1656">
        <v>1.805E-2</v>
      </c>
    </row>
    <row r="1657" spans="1:7" x14ac:dyDescent="0.3">
      <c r="A1657" s="2" t="s">
        <v>204</v>
      </c>
      <c r="B1657" s="2" t="s">
        <v>128</v>
      </c>
      <c r="C1657" s="1">
        <v>44278</v>
      </c>
      <c r="D1657" s="2" t="str">
        <f>_xlfn.XLOOKUP(Table1_1[[#This Row],[CAS_rn]],[1]analyte_order!$C:$C,[1]analyte_order!$B:$B)</f>
        <v>PFBS</v>
      </c>
      <c r="E1657" s="2" t="s">
        <v>96</v>
      </c>
      <c r="F1657" s="2">
        <f>_xlfn.XLOOKUP(Table1_1[[#This Row],[CAS_rn]],[1]analyte_order!$C:$C,[1]analyte_order!$E:$E)</f>
        <v>13</v>
      </c>
      <c r="G1657">
        <v>1.805E-2</v>
      </c>
    </row>
    <row r="1658" spans="1:7" x14ac:dyDescent="0.3">
      <c r="A1658" s="2" t="s">
        <v>204</v>
      </c>
      <c r="B1658" s="2" t="s">
        <v>128</v>
      </c>
      <c r="C1658" s="1">
        <v>44278</v>
      </c>
      <c r="D1658" s="2" t="str">
        <f>_xlfn.XLOOKUP(Table1_1[[#This Row],[CAS_rn]],[1]analyte_order!$C:$C,[1]analyte_order!$B:$B)</f>
        <v>PFPeS</v>
      </c>
      <c r="E1658" s="2" t="s">
        <v>97</v>
      </c>
      <c r="F1658" s="2">
        <f>_xlfn.XLOOKUP(Table1_1[[#This Row],[CAS_rn]],[1]analyte_order!$C:$C,[1]analyte_order!$E:$E)</f>
        <v>14</v>
      </c>
      <c r="G1658">
        <v>4.8000000000000001E-2</v>
      </c>
    </row>
    <row r="1659" spans="1:7" x14ac:dyDescent="0.3">
      <c r="A1659" s="2" t="s">
        <v>204</v>
      </c>
      <c r="B1659" s="2" t="s">
        <v>128</v>
      </c>
      <c r="C1659" s="1">
        <v>44278</v>
      </c>
      <c r="D1659" s="2" t="str">
        <f>_xlfn.XLOOKUP(Table1_1[[#This Row],[CAS_rn]],[1]analyte_order!$C:$C,[1]analyte_order!$B:$B)</f>
        <v>PFHxS</v>
      </c>
      <c r="E1659" s="2" t="s">
        <v>98</v>
      </c>
      <c r="F1659" s="2">
        <f>_xlfn.XLOOKUP(Table1_1[[#This Row],[CAS_rn]],[1]analyte_order!$C:$C,[1]analyte_order!$E:$E)</f>
        <v>15</v>
      </c>
      <c r="G1659">
        <v>0.60899999999999999</v>
      </c>
    </row>
    <row r="1660" spans="1:7" x14ac:dyDescent="0.3">
      <c r="A1660" s="2" t="s">
        <v>204</v>
      </c>
      <c r="B1660" s="2" t="s">
        <v>128</v>
      </c>
      <c r="C1660" s="1">
        <v>44278</v>
      </c>
      <c r="D1660" s="2" t="str">
        <f>_xlfn.XLOOKUP(Table1_1[[#This Row],[CAS_rn]],[1]analyte_order!$C:$C,[1]analyte_order!$B:$B)</f>
        <v>PFHpS</v>
      </c>
      <c r="E1660" s="2" t="s">
        <v>99</v>
      </c>
      <c r="F1660" s="2">
        <f>_xlfn.XLOOKUP(Table1_1[[#This Row],[CAS_rn]],[1]analyte_order!$C:$C,[1]analyte_order!$E:$E)</f>
        <v>16</v>
      </c>
      <c r="G1660">
        <v>1.805E-2</v>
      </c>
    </row>
    <row r="1661" spans="1:7" x14ac:dyDescent="0.3">
      <c r="A1661" s="2" t="s">
        <v>204</v>
      </c>
      <c r="B1661" s="2" t="s">
        <v>128</v>
      </c>
      <c r="C1661" s="1">
        <v>44278</v>
      </c>
      <c r="D1661" s="2" t="str">
        <f>_xlfn.XLOOKUP(Table1_1[[#This Row],[CAS_rn]],[1]analyte_order!$C:$C,[1]analyte_order!$B:$B)</f>
        <v>PFOS</v>
      </c>
      <c r="E1661" s="2" t="s">
        <v>100</v>
      </c>
      <c r="F1661" s="2">
        <f>_xlfn.XLOOKUP(Table1_1[[#This Row],[CAS_rn]],[1]analyte_order!$C:$C,[1]analyte_order!$E:$E)</f>
        <v>17</v>
      </c>
      <c r="G1661">
        <v>7.52</v>
      </c>
    </row>
    <row r="1662" spans="1:7" x14ac:dyDescent="0.3">
      <c r="A1662" s="2" t="s">
        <v>204</v>
      </c>
      <c r="B1662" s="2" t="s">
        <v>128</v>
      </c>
      <c r="C1662" s="1">
        <v>44278</v>
      </c>
      <c r="D1662" s="2" t="str">
        <f>_xlfn.XLOOKUP(Table1_1[[#This Row],[CAS_rn]],[1]analyte_order!$C:$C,[1]analyte_order!$B:$B)</f>
        <v>PFNS</v>
      </c>
      <c r="E1662" s="2" t="s">
        <v>101</v>
      </c>
      <c r="F1662" s="2">
        <f>_xlfn.XLOOKUP(Table1_1[[#This Row],[CAS_rn]],[1]analyte_order!$C:$C,[1]analyte_order!$E:$E)</f>
        <v>18</v>
      </c>
      <c r="G1662">
        <v>7.1999999999999995E-2</v>
      </c>
    </row>
    <row r="1663" spans="1:7" x14ac:dyDescent="0.3">
      <c r="A1663" s="2" t="s">
        <v>204</v>
      </c>
      <c r="B1663" s="2" t="s">
        <v>128</v>
      </c>
      <c r="C1663" s="1">
        <v>44278</v>
      </c>
      <c r="D1663" s="2" t="str">
        <f>_xlfn.XLOOKUP(Table1_1[[#This Row],[CAS_rn]],[1]analyte_order!$C:$C,[1]analyte_order!$B:$B)</f>
        <v>PFDS</v>
      </c>
      <c r="E1663" s="2" t="s">
        <v>123</v>
      </c>
      <c r="F1663" s="2">
        <f>_xlfn.XLOOKUP(Table1_1[[#This Row],[CAS_rn]],[1]analyte_order!$C:$C,[1]analyte_order!$E:$E)</f>
        <v>19</v>
      </c>
      <c r="G1663">
        <v>4.4999999999999998E-2</v>
      </c>
    </row>
    <row r="1664" spans="1:7" x14ac:dyDescent="0.3">
      <c r="A1664" s="2" t="s">
        <v>204</v>
      </c>
      <c r="B1664" s="2" t="s">
        <v>128</v>
      </c>
      <c r="C1664" s="1">
        <v>44278</v>
      </c>
      <c r="D1664" s="2" t="str">
        <f>_xlfn.XLOOKUP(Table1_1[[#This Row],[CAS_rn]],[1]analyte_order!$C:$C,[1]analyte_order!$B:$B)</f>
        <v>PFDoS</v>
      </c>
      <c r="E1664" s="2" t="s">
        <v>102</v>
      </c>
      <c r="F1664" s="2">
        <f>_xlfn.XLOOKUP(Table1_1[[#This Row],[CAS_rn]],[1]analyte_order!$C:$C,[1]analyte_order!$E:$E)</f>
        <v>20</v>
      </c>
      <c r="G1664">
        <v>1.805E-2</v>
      </c>
    </row>
    <row r="1665" spans="1:7" x14ac:dyDescent="0.3">
      <c r="A1665" s="2" t="s">
        <v>204</v>
      </c>
      <c r="B1665" s="2" t="s">
        <v>128</v>
      </c>
      <c r="C1665" s="1">
        <v>44278</v>
      </c>
      <c r="D1665" s="2" t="str">
        <f>_xlfn.XLOOKUP(Table1_1[[#This Row],[CAS_rn]],[1]analyte_order!$C:$C,[1]analyte_order!$B:$B)</f>
        <v>4:2 FTS</v>
      </c>
      <c r="E1665" s="2" t="s">
        <v>103</v>
      </c>
      <c r="F1665" s="2">
        <f>_xlfn.XLOOKUP(Table1_1[[#This Row],[CAS_rn]],[1]analyte_order!$C:$C,[1]analyte_order!$E:$E)</f>
        <v>21</v>
      </c>
      <c r="G1665">
        <v>7.1999999999999995E-2</v>
      </c>
    </row>
    <row r="1666" spans="1:7" x14ac:dyDescent="0.3">
      <c r="A1666" s="2" t="s">
        <v>204</v>
      </c>
      <c r="B1666" s="2" t="s">
        <v>128</v>
      </c>
      <c r="C1666" s="1">
        <v>44278</v>
      </c>
      <c r="D1666" s="2" t="str">
        <f>_xlfn.XLOOKUP(Table1_1[[#This Row],[CAS_rn]],[1]analyte_order!$C:$C,[1]analyte_order!$B:$B)</f>
        <v>6:2 FTS</v>
      </c>
      <c r="E1666" s="2" t="s">
        <v>104</v>
      </c>
      <c r="F1666" s="2">
        <f>_xlfn.XLOOKUP(Table1_1[[#This Row],[CAS_rn]],[1]analyte_order!$C:$C,[1]analyte_order!$E:$E)</f>
        <v>22</v>
      </c>
      <c r="G1666">
        <v>0.22800000000000001</v>
      </c>
    </row>
    <row r="1667" spans="1:7" x14ac:dyDescent="0.3">
      <c r="A1667" s="2" t="s">
        <v>204</v>
      </c>
      <c r="B1667" s="2" t="s">
        <v>128</v>
      </c>
      <c r="C1667" s="1">
        <v>44278</v>
      </c>
      <c r="D1667" s="2" t="str">
        <f>_xlfn.XLOOKUP(Table1_1[[#This Row],[CAS_rn]],[1]analyte_order!$C:$C,[1]analyte_order!$B:$B)</f>
        <v>8:2 FTS</v>
      </c>
      <c r="E1667" s="2" t="s">
        <v>105</v>
      </c>
      <c r="F1667" s="2">
        <f>_xlfn.XLOOKUP(Table1_1[[#This Row],[CAS_rn]],[1]analyte_order!$C:$C,[1]analyte_order!$E:$E)</f>
        <v>23</v>
      </c>
      <c r="G1667">
        <v>6.1499999999999999E-2</v>
      </c>
    </row>
    <row r="1668" spans="1:7" x14ac:dyDescent="0.3">
      <c r="A1668" s="2" t="s">
        <v>204</v>
      </c>
      <c r="B1668" s="2" t="s">
        <v>128</v>
      </c>
      <c r="C1668" s="1">
        <v>44278</v>
      </c>
      <c r="D1668" s="2" t="str">
        <f>_xlfn.XLOOKUP(Table1_1[[#This Row],[CAS_rn]],[1]analyte_order!$C:$C,[1]analyte_order!$B:$B)</f>
        <v>FOSA</v>
      </c>
      <c r="E1668" s="2" t="s">
        <v>106</v>
      </c>
      <c r="F1668" s="2">
        <f>_xlfn.XLOOKUP(Table1_1[[#This Row],[CAS_rn]],[1]analyte_order!$C:$C,[1]analyte_order!$E:$E)</f>
        <v>27</v>
      </c>
      <c r="G1668">
        <v>0.129</v>
      </c>
    </row>
    <row r="1669" spans="1:7" x14ac:dyDescent="0.3">
      <c r="A1669" s="2" t="s">
        <v>204</v>
      </c>
      <c r="B1669" s="2" t="s">
        <v>128</v>
      </c>
      <c r="C1669" s="1">
        <v>44278</v>
      </c>
      <c r="D1669" s="2" t="str">
        <f>_xlfn.XLOOKUP(Table1_1[[#This Row],[CAS_rn]],[1]analyte_order!$C:$C,[1]analyte_order!$B:$B)</f>
        <v>N-MeFOSA</v>
      </c>
      <c r="E1669" s="2" t="s">
        <v>107</v>
      </c>
      <c r="F1669" s="2">
        <f>_xlfn.XLOOKUP(Table1_1[[#This Row],[CAS_rn]],[1]analyte_order!$C:$C,[1]analyte_order!$E:$E)</f>
        <v>29</v>
      </c>
      <c r="G1669">
        <v>1.805E-2</v>
      </c>
    </row>
    <row r="1670" spans="1:7" x14ac:dyDescent="0.3">
      <c r="A1670" s="2" t="s">
        <v>204</v>
      </c>
      <c r="B1670" s="2" t="s">
        <v>128</v>
      </c>
      <c r="C1670" s="1">
        <v>44278</v>
      </c>
      <c r="D1670" s="2" t="str">
        <f>_xlfn.XLOOKUP(Table1_1[[#This Row],[CAS_rn]],[1]analyte_order!$C:$C,[1]analyte_order!$B:$B)</f>
        <v>N-EtFOSA</v>
      </c>
      <c r="E1670" s="2" t="s">
        <v>109</v>
      </c>
      <c r="F1670" s="2">
        <f>_xlfn.XLOOKUP(Table1_1[[#This Row],[CAS_rn]],[1]analyte_order!$C:$C,[1]analyte_order!$E:$E)</f>
        <v>30</v>
      </c>
      <c r="G1670">
        <v>5.0500000000000003E-2</v>
      </c>
    </row>
    <row r="1671" spans="1:7" x14ac:dyDescent="0.3">
      <c r="A1671" s="2" t="s">
        <v>204</v>
      </c>
      <c r="B1671" s="2" t="s">
        <v>128</v>
      </c>
      <c r="C1671" s="1">
        <v>44278</v>
      </c>
      <c r="D1671" s="2" t="str">
        <f>_xlfn.XLOOKUP(Table1_1[[#This Row],[CAS_rn]],[1]analyte_order!$C:$C,[1]analyte_order!$B:$B)</f>
        <v>N-MeFOSAA</v>
      </c>
      <c r="E1671" s="2" t="s">
        <v>108</v>
      </c>
      <c r="F1671" s="2">
        <f>_xlfn.XLOOKUP(Table1_1[[#This Row],[CAS_rn]],[1]analyte_order!$C:$C,[1]analyte_order!$E:$E)</f>
        <v>25</v>
      </c>
      <c r="G1671">
        <v>1.805E-2</v>
      </c>
    </row>
    <row r="1672" spans="1:7" x14ac:dyDescent="0.3">
      <c r="A1672" s="2" t="s">
        <v>204</v>
      </c>
      <c r="B1672" s="2" t="s">
        <v>128</v>
      </c>
      <c r="C1672" s="1">
        <v>44278</v>
      </c>
      <c r="D1672" s="2" t="str">
        <f>_xlfn.XLOOKUP(Table1_1[[#This Row],[CAS_rn]],[1]analyte_order!$C:$C,[1]analyte_order!$B:$B)</f>
        <v>N-EtFOSAA</v>
      </c>
      <c r="E1672" s="2" t="s">
        <v>110</v>
      </c>
      <c r="F1672" s="2">
        <f>_xlfn.XLOOKUP(Table1_1[[#This Row],[CAS_rn]],[1]analyte_order!$C:$C,[1]analyte_order!$E:$E)</f>
        <v>26</v>
      </c>
      <c r="G1672">
        <v>1.805E-2</v>
      </c>
    </row>
    <row r="1673" spans="1:7" x14ac:dyDescent="0.3">
      <c r="A1673" s="2" t="s">
        <v>204</v>
      </c>
      <c r="B1673" s="2" t="s">
        <v>128</v>
      </c>
      <c r="C1673" s="1">
        <v>44278</v>
      </c>
      <c r="D1673" s="2" t="str">
        <f>_xlfn.XLOOKUP(Table1_1[[#This Row],[CAS_rn]],[1]analyte_order!$C:$C,[1]analyte_order!$B:$B)</f>
        <v>N-MeFOSE</v>
      </c>
      <c r="E1673" s="2" t="s">
        <v>111</v>
      </c>
      <c r="F1673" s="2">
        <f>_xlfn.XLOOKUP(Table1_1[[#This Row],[CAS_rn]],[1]analyte_order!$C:$C,[1]analyte_order!$E:$E)</f>
        <v>31</v>
      </c>
      <c r="G1673">
        <v>0.18049999999999999</v>
      </c>
    </row>
    <row r="1674" spans="1:7" x14ac:dyDescent="0.3">
      <c r="A1674" s="2" t="s">
        <v>204</v>
      </c>
      <c r="B1674" s="2" t="s">
        <v>128</v>
      </c>
      <c r="C1674" s="1">
        <v>44278</v>
      </c>
      <c r="D1674" s="2" t="str">
        <f>_xlfn.XLOOKUP(Table1_1[[#This Row],[CAS_rn]],[1]analyte_order!$C:$C,[1]analyte_order!$B:$B)</f>
        <v>N-EtFOSE</v>
      </c>
      <c r="E1674" s="2" t="s">
        <v>112</v>
      </c>
      <c r="F1674" s="2">
        <f>_xlfn.XLOOKUP(Table1_1[[#This Row],[CAS_rn]],[1]analyte_order!$C:$C,[1]analyte_order!$E:$E)</f>
        <v>32</v>
      </c>
      <c r="G1674">
        <v>0.18049999999999999</v>
      </c>
    </row>
    <row r="1675" spans="1:7" x14ac:dyDescent="0.3">
      <c r="A1675" s="2" t="s">
        <v>204</v>
      </c>
      <c r="B1675" s="2" t="s">
        <v>128</v>
      </c>
      <c r="C1675" s="1">
        <v>44278</v>
      </c>
      <c r="D1675" s="2" t="str">
        <f>_xlfn.XLOOKUP(Table1_1[[#This Row],[CAS_rn]],[1]analyte_order!$C:$C,[1]analyte_order!$B:$B)</f>
        <v>HFPO-DA</v>
      </c>
      <c r="E1675" s="2" t="s">
        <v>113</v>
      </c>
      <c r="F1675" s="2">
        <f>_xlfn.XLOOKUP(Table1_1[[#This Row],[CAS_rn]],[1]analyte_order!$C:$C,[1]analyte_order!$E:$E)</f>
        <v>33</v>
      </c>
      <c r="G1675">
        <v>7.1999999999999995E-2</v>
      </c>
    </row>
    <row r="1676" spans="1:7" x14ac:dyDescent="0.3">
      <c r="A1676" s="2" t="s">
        <v>204</v>
      </c>
      <c r="B1676" s="2" t="s">
        <v>128</v>
      </c>
      <c r="C1676" s="1">
        <v>44278</v>
      </c>
      <c r="D1676" s="2" t="str">
        <f>_xlfn.XLOOKUP(Table1_1[[#This Row],[CAS_rn]],[1]analyte_order!$C:$C,[1]analyte_order!$B:$B)</f>
        <v>ADONA</v>
      </c>
      <c r="E1676" s="2" t="s">
        <v>114</v>
      </c>
      <c r="F1676" s="2">
        <f>_xlfn.XLOOKUP(Table1_1[[#This Row],[CAS_rn]],[1]analyte_order!$C:$C,[1]analyte_order!$E:$E)</f>
        <v>34</v>
      </c>
      <c r="G1676">
        <v>7.1999999999999995E-2</v>
      </c>
    </row>
    <row r="1677" spans="1:7" x14ac:dyDescent="0.3">
      <c r="A1677" s="2" t="s">
        <v>204</v>
      </c>
      <c r="B1677" s="2" t="s">
        <v>128</v>
      </c>
      <c r="C1677" s="1">
        <v>44278</v>
      </c>
      <c r="D1677" s="2" t="str">
        <f>_xlfn.XLOOKUP(Table1_1[[#This Row],[CAS_rn]],[1]analyte_order!$C:$C,[1]analyte_order!$B:$B)</f>
        <v>9Cl-PF3ONS</v>
      </c>
      <c r="E1677" s="2" t="s">
        <v>117</v>
      </c>
      <c r="F1677" s="2">
        <f>_xlfn.XLOOKUP(Table1_1[[#This Row],[CAS_rn]],[1]analyte_order!$C:$C,[1]analyte_order!$E:$E)</f>
        <v>35</v>
      </c>
      <c r="G1677">
        <v>7.2499999999999995E-2</v>
      </c>
    </row>
    <row r="1678" spans="1:7" x14ac:dyDescent="0.3">
      <c r="A1678" s="2" t="s">
        <v>204</v>
      </c>
      <c r="B1678" s="2" t="s">
        <v>128</v>
      </c>
      <c r="C1678" s="1">
        <v>44278</v>
      </c>
      <c r="D1678" s="2" t="str">
        <f>_xlfn.XLOOKUP(Table1_1[[#This Row],[CAS_rn]],[1]analyte_order!$C:$C,[1]analyte_order!$B:$B)</f>
        <v>11Cl-PF3OUdS</v>
      </c>
      <c r="E1678" s="2" t="s">
        <v>118</v>
      </c>
      <c r="F1678" s="2">
        <f>_xlfn.XLOOKUP(Table1_1[[#This Row],[CAS_rn]],[1]analyte_order!$C:$C,[1]analyte_order!$E:$E)</f>
        <v>36</v>
      </c>
      <c r="G1678">
        <v>7.2499999999999995E-2</v>
      </c>
    </row>
    <row r="1679" spans="1:7" x14ac:dyDescent="0.3">
      <c r="A1679" s="2" t="s">
        <v>204</v>
      </c>
      <c r="B1679" s="2" t="s">
        <v>128</v>
      </c>
      <c r="C1679" s="1">
        <v>44278</v>
      </c>
      <c r="D1679" s="2" t="str">
        <f>_xlfn.XLOOKUP(Table1_1[[#This Row],[CAS_rn]],[1]analyte_order!$C:$C,[1]analyte_order!$B:$B)</f>
        <v>3:3 FTCA</v>
      </c>
      <c r="E1679" s="2" t="s">
        <v>120</v>
      </c>
      <c r="F1679" s="2">
        <f>_xlfn.XLOOKUP(Table1_1[[#This Row],[CAS_rn]],[1]analyte_order!$C:$C,[1]analyte_order!$E:$E)</f>
        <v>37</v>
      </c>
      <c r="G1679">
        <v>7.1999999999999995E-2</v>
      </c>
    </row>
    <row r="1680" spans="1:7" x14ac:dyDescent="0.3">
      <c r="A1680" s="2" t="s">
        <v>204</v>
      </c>
      <c r="B1680" s="2" t="s">
        <v>128</v>
      </c>
      <c r="C1680" s="1">
        <v>44278</v>
      </c>
      <c r="D1680" s="2" t="str">
        <f>_xlfn.XLOOKUP(Table1_1[[#This Row],[CAS_rn]],[1]analyte_order!$C:$C,[1]analyte_order!$B:$B)</f>
        <v>5:3 FTCA</v>
      </c>
      <c r="E1680" s="2" t="s">
        <v>121</v>
      </c>
      <c r="F1680" s="2">
        <f>_xlfn.XLOOKUP(Table1_1[[#This Row],[CAS_rn]],[1]analyte_order!$C:$C,[1]analyte_order!$E:$E)</f>
        <v>38</v>
      </c>
      <c r="G1680">
        <v>0.45150000000000001</v>
      </c>
    </row>
    <row r="1681" spans="1:7" x14ac:dyDescent="0.3">
      <c r="A1681" s="2" t="s">
        <v>204</v>
      </c>
      <c r="B1681" s="2" t="s">
        <v>128</v>
      </c>
      <c r="C1681" s="1">
        <v>44278</v>
      </c>
      <c r="D1681" s="2" t="str">
        <f>_xlfn.XLOOKUP(Table1_1[[#This Row],[CAS_rn]],[1]analyte_order!$C:$C,[1]analyte_order!$B:$B)</f>
        <v>7:3 FTCA</v>
      </c>
      <c r="E1681" s="2" t="s">
        <v>122</v>
      </c>
      <c r="F1681" s="2">
        <f>_xlfn.XLOOKUP(Table1_1[[#This Row],[CAS_rn]],[1]analyte_order!$C:$C,[1]analyte_order!$E:$E)</f>
        <v>39</v>
      </c>
      <c r="G1681">
        <v>0.45150000000000001</v>
      </c>
    </row>
    <row r="1682" spans="1:7" x14ac:dyDescent="0.3">
      <c r="A1682" s="2" t="s">
        <v>204</v>
      </c>
      <c r="B1682" s="2" t="s">
        <v>128</v>
      </c>
      <c r="C1682" s="1">
        <v>44278</v>
      </c>
      <c r="D1682" s="2" t="str">
        <f>_xlfn.XLOOKUP(Table1_1[[#This Row],[CAS_rn]],[1]analyte_order!$C:$C,[1]analyte_order!$B:$B)</f>
        <v>PFEESA</v>
      </c>
      <c r="E1682" s="2" t="s">
        <v>119</v>
      </c>
      <c r="F1682" s="2">
        <f>_xlfn.XLOOKUP(Table1_1[[#This Row],[CAS_rn]],[1]analyte_order!$C:$C,[1]analyte_order!$E:$E)</f>
        <v>46</v>
      </c>
      <c r="G1682">
        <v>1.805E-2</v>
      </c>
    </row>
    <row r="1683" spans="1:7" x14ac:dyDescent="0.3">
      <c r="A1683" s="2" t="s">
        <v>204</v>
      </c>
      <c r="B1683" s="2" t="s">
        <v>128</v>
      </c>
      <c r="C1683" s="1">
        <v>44278</v>
      </c>
      <c r="D1683" s="2" t="str">
        <f>_xlfn.XLOOKUP(Table1_1[[#This Row],[CAS_rn]],[1]analyte_order!$C:$C,[1]analyte_order!$B:$B)</f>
        <v>PFMPA</v>
      </c>
      <c r="E1683" s="2" t="s">
        <v>124</v>
      </c>
      <c r="F1683" s="2">
        <f>_xlfn.XLOOKUP(Table1_1[[#This Row],[CAS_rn]],[1]analyte_order!$C:$C,[1]analyte_order!$E:$E)</f>
        <v>48</v>
      </c>
      <c r="G1683">
        <v>3.61E-2</v>
      </c>
    </row>
    <row r="1684" spans="1:7" x14ac:dyDescent="0.3">
      <c r="A1684" s="2" t="s">
        <v>204</v>
      </c>
      <c r="B1684" s="2" t="s">
        <v>128</v>
      </c>
      <c r="C1684" s="1">
        <v>44278</v>
      </c>
      <c r="D1684" s="2" t="str">
        <f>_xlfn.XLOOKUP(Table1_1[[#This Row],[CAS_rn]],[1]analyte_order!$C:$C,[1]analyte_order!$B:$B)</f>
        <v>PFMBA</v>
      </c>
      <c r="E1684" s="2" t="s">
        <v>115</v>
      </c>
      <c r="F1684" s="2">
        <f>_xlfn.XLOOKUP(Table1_1[[#This Row],[CAS_rn]],[1]analyte_order!$C:$C,[1]analyte_order!$E:$E)</f>
        <v>47</v>
      </c>
      <c r="G1684">
        <v>1.805E-2</v>
      </c>
    </row>
    <row r="1685" spans="1:7" x14ac:dyDescent="0.3">
      <c r="A1685" s="2" t="s">
        <v>204</v>
      </c>
      <c r="B1685" s="2" t="s">
        <v>128</v>
      </c>
      <c r="C1685" s="1">
        <v>44278</v>
      </c>
      <c r="D1685" s="2" t="str">
        <f>_xlfn.XLOOKUP(Table1_1[[#This Row],[CAS_rn]],[1]analyte_order!$C:$C,[1]analyte_order!$B:$B)</f>
        <v>NFDHA</v>
      </c>
      <c r="E1685" s="2" t="s">
        <v>116</v>
      </c>
      <c r="F1685" s="2">
        <f>_xlfn.XLOOKUP(Table1_1[[#This Row],[CAS_rn]],[1]analyte_order!$C:$C,[1]analyte_order!$E:$E)</f>
        <v>49</v>
      </c>
      <c r="G1685">
        <v>3.61E-2</v>
      </c>
    </row>
    <row r="1686" spans="1:7" x14ac:dyDescent="0.3">
      <c r="A1686" s="2" t="s">
        <v>205</v>
      </c>
      <c r="B1686" s="2" t="s">
        <v>127</v>
      </c>
      <c r="C1686" s="1">
        <v>44278</v>
      </c>
      <c r="D1686" s="2" t="str">
        <f>_xlfn.XLOOKUP(Table1_1[[#This Row],[CAS_rn]],[1]analyte_order!$C:$C,[1]analyte_order!$B:$B)</f>
        <v>PFBA</v>
      </c>
      <c r="E1686" s="2" t="s">
        <v>85</v>
      </c>
      <c r="F1686" s="2">
        <f>_xlfn.XLOOKUP(Table1_1[[#This Row],[CAS_rn]],[1]analyte_order!$C:$C,[1]analyte_order!$E:$E)</f>
        <v>1</v>
      </c>
      <c r="G1686">
        <v>0.26300000000000001</v>
      </c>
    </row>
    <row r="1687" spans="1:7" x14ac:dyDescent="0.3">
      <c r="A1687" s="2" t="s">
        <v>205</v>
      </c>
      <c r="B1687" s="2" t="s">
        <v>127</v>
      </c>
      <c r="C1687" s="1">
        <v>44278</v>
      </c>
      <c r="D1687" s="2" t="str">
        <f>_xlfn.XLOOKUP(Table1_1[[#This Row],[CAS_rn]],[1]analyte_order!$C:$C,[1]analyte_order!$B:$B)</f>
        <v>PFPeA</v>
      </c>
      <c r="E1687" s="2" t="s">
        <v>86</v>
      </c>
      <c r="F1687" s="2">
        <f>_xlfn.XLOOKUP(Table1_1[[#This Row],[CAS_rn]],[1]analyte_order!$C:$C,[1]analyte_order!$E:$E)</f>
        <v>2</v>
      </c>
      <c r="G1687">
        <v>0.44900000000000001</v>
      </c>
    </row>
    <row r="1688" spans="1:7" x14ac:dyDescent="0.3">
      <c r="A1688" s="2" t="s">
        <v>205</v>
      </c>
      <c r="B1688" s="2" t="s">
        <v>127</v>
      </c>
      <c r="C1688" s="1">
        <v>44278</v>
      </c>
      <c r="D1688" s="2" t="str">
        <f>_xlfn.XLOOKUP(Table1_1[[#This Row],[CAS_rn]],[1]analyte_order!$C:$C,[1]analyte_order!$B:$B)</f>
        <v>PFHxA</v>
      </c>
      <c r="E1688" s="2" t="s">
        <v>87</v>
      </c>
      <c r="F1688" s="2">
        <f>_xlfn.XLOOKUP(Table1_1[[#This Row],[CAS_rn]],[1]analyte_order!$C:$C,[1]analyte_order!$E:$E)</f>
        <v>3</v>
      </c>
      <c r="G1688">
        <v>0.441</v>
      </c>
    </row>
    <row r="1689" spans="1:7" x14ac:dyDescent="0.3">
      <c r="A1689" s="2" t="s">
        <v>205</v>
      </c>
      <c r="B1689" s="2" t="s">
        <v>127</v>
      </c>
      <c r="C1689" s="1">
        <v>44278</v>
      </c>
      <c r="D1689" s="2" t="str">
        <f>_xlfn.XLOOKUP(Table1_1[[#This Row],[CAS_rn]],[1]analyte_order!$C:$C,[1]analyte_order!$B:$B)</f>
        <v>PFHpA</v>
      </c>
      <c r="E1689" s="2" t="s">
        <v>88</v>
      </c>
      <c r="F1689" s="2">
        <f>_xlfn.XLOOKUP(Table1_1[[#This Row],[CAS_rn]],[1]analyte_order!$C:$C,[1]analyte_order!$E:$E)</f>
        <v>4</v>
      </c>
      <c r="G1689">
        <v>0.214</v>
      </c>
    </row>
    <row r="1690" spans="1:7" x14ac:dyDescent="0.3">
      <c r="A1690" s="2" t="s">
        <v>205</v>
      </c>
      <c r="B1690" s="2" t="s">
        <v>127</v>
      </c>
      <c r="C1690" s="1">
        <v>44278</v>
      </c>
      <c r="D1690" s="2" t="str">
        <f>_xlfn.XLOOKUP(Table1_1[[#This Row],[CAS_rn]],[1]analyte_order!$C:$C,[1]analyte_order!$B:$B)</f>
        <v>PFOA</v>
      </c>
      <c r="E1690" s="2" t="s">
        <v>89</v>
      </c>
      <c r="F1690" s="2">
        <f>_xlfn.XLOOKUP(Table1_1[[#This Row],[CAS_rn]],[1]analyte_order!$C:$C,[1]analyte_order!$E:$E)</f>
        <v>5</v>
      </c>
      <c r="G1690">
        <v>0.45900000000000002</v>
      </c>
    </row>
    <row r="1691" spans="1:7" x14ac:dyDescent="0.3">
      <c r="A1691" s="2" t="s">
        <v>205</v>
      </c>
      <c r="B1691" s="2" t="s">
        <v>127</v>
      </c>
      <c r="C1691" s="1">
        <v>44278</v>
      </c>
      <c r="D1691" s="2" t="str">
        <f>_xlfn.XLOOKUP(Table1_1[[#This Row],[CAS_rn]],[1]analyte_order!$C:$C,[1]analyte_order!$B:$B)</f>
        <v>PFNA</v>
      </c>
      <c r="E1691" s="2" t="s">
        <v>90</v>
      </c>
      <c r="F1691" s="2">
        <f>_xlfn.XLOOKUP(Table1_1[[#This Row],[CAS_rn]],[1]analyte_order!$C:$C,[1]analyte_order!$E:$E)</f>
        <v>6</v>
      </c>
      <c r="G1691">
        <v>0.28199999999999997</v>
      </c>
    </row>
    <row r="1692" spans="1:7" x14ac:dyDescent="0.3">
      <c r="A1692" s="2" t="s">
        <v>205</v>
      </c>
      <c r="B1692" s="2" t="s">
        <v>127</v>
      </c>
      <c r="C1692" s="1">
        <v>44278</v>
      </c>
      <c r="D1692" s="2" t="str">
        <f>_xlfn.XLOOKUP(Table1_1[[#This Row],[CAS_rn]],[1]analyte_order!$C:$C,[1]analyte_order!$B:$B)</f>
        <v>PFDA</v>
      </c>
      <c r="E1692" s="2" t="s">
        <v>91</v>
      </c>
      <c r="F1692" s="2">
        <f>_xlfn.XLOOKUP(Table1_1[[#This Row],[CAS_rn]],[1]analyte_order!$C:$C,[1]analyte_order!$E:$E)</f>
        <v>7</v>
      </c>
      <c r="G1692">
        <v>0.38600000000000001</v>
      </c>
    </row>
    <row r="1693" spans="1:7" x14ac:dyDescent="0.3">
      <c r="A1693" s="2" t="s">
        <v>205</v>
      </c>
      <c r="B1693" s="2" t="s">
        <v>127</v>
      </c>
      <c r="C1693" s="1">
        <v>44278</v>
      </c>
      <c r="D1693" s="2" t="str">
        <f>_xlfn.XLOOKUP(Table1_1[[#This Row],[CAS_rn]],[1]analyte_order!$C:$C,[1]analyte_order!$B:$B)</f>
        <v>PFUnA</v>
      </c>
      <c r="E1693" s="2" t="s">
        <v>92</v>
      </c>
      <c r="F1693" s="2">
        <f>_xlfn.XLOOKUP(Table1_1[[#This Row],[CAS_rn]],[1]analyte_order!$C:$C,[1]analyte_order!$E:$E)</f>
        <v>8</v>
      </c>
      <c r="G1693">
        <v>0.46600000000000003</v>
      </c>
    </row>
    <row r="1694" spans="1:7" x14ac:dyDescent="0.3">
      <c r="A1694" s="2" t="s">
        <v>205</v>
      </c>
      <c r="B1694" s="2" t="s">
        <v>127</v>
      </c>
      <c r="C1694" s="1">
        <v>44278</v>
      </c>
      <c r="D1694" s="2" t="str">
        <f>_xlfn.XLOOKUP(Table1_1[[#This Row],[CAS_rn]],[1]analyte_order!$C:$C,[1]analyte_order!$B:$B)</f>
        <v>PFDoA</v>
      </c>
      <c r="E1694" s="2" t="s">
        <v>93</v>
      </c>
      <c r="F1694" s="2">
        <f>_xlfn.XLOOKUP(Table1_1[[#This Row],[CAS_rn]],[1]analyte_order!$C:$C,[1]analyte_order!$E:$E)</f>
        <v>9</v>
      </c>
      <c r="G1694">
        <v>0.127</v>
      </c>
    </row>
    <row r="1695" spans="1:7" x14ac:dyDescent="0.3">
      <c r="A1695" s="2" t="s">
        <v>205</v>
      </c>
      <c r="B1695" s="2" t="s">
        <v>127</v>
      </c>
      <c r="C1695" s="1">
        <v>44278</v>
      </c>
      <c r="D1695" s="2" t="str">
        <f>_xlfn.XLOOKUP(Table1_1[[#This Row],[CAS_rn]],[1]analyte_order!$C:$C,[1]analyte_order!$B:$B)</f>
        <v>PFTrDA</v>
      </c>
      <c r="E1695" s="2" t="s">
        <v>94</v>
      </c>
      <c r="F1695" s="2">
        <f>_xlfn.XLOOKUP(Table1_1[[#This Row],[CAS_rn]],[1]analyte_order!$C:$C,[1]analyte_order!$E:$E)</f>
        <v>10</v>
      </c>
      <c r="G1695">
        <v>6.0999999999999999E-2</v>
      </c>
    </row>
    <row r="1696" spans="1:7" x14ac:dyDescent="0.3">
      <c r="A1696" s="2" t="s">
        <v>205</v>
      </c>
      <c r="B1696" s="2" t="s">
        <v>127</v>
      </c>
      <c r="C1696" s="1">
        <v>44278</v>
      </c>
      <c r="D1696" s="2" t="str">
        <f>_xlfn.XLOOKUP(Table1_1[[#This Row],[CAS_rn]],[1]analyte_order!$C:$C,[1]analyte_order!$B:$B)</f>
        <v>PFTeDA</v>
      </c>
      <c r="E1696" s="2" t="s">
        <v>95</v>
      </c>
      <c r="F1696" s="2">
        <f>_xlfn.XLOOKUP(Table1_1[[#This Row],[CAS_rn]],[1]analyte_order!$C:$C,[1]analyte_order!$E:$E)</f>
        <v>11</v>
      </c>
      <c r="G1696">
        <v>1.7999999999999999E-2</v>
      </c>
    </row>
    <row r="1697" spans="1:7" x14ac:dyDescent="0.3">
      <c r="A1697" s="2" t="s">
        <v>205</v>
      </c>
      <c r="B1697" s="2" t="s">
        <v>127</v>
      </c>
      <c r="C1697" s="1">
        <v>44278</v>
      </c>
      <c r="D1697" s="2" t="str">
        <f>_xlfn.XLOOKUP(Table1_1[[#This Row],[CAS_rn]],[1]analyte_order!$C:$C,[1]analyte_order!$B:$B)</f>
        <v>PFBS</v>
      </c>
      <c r="E1697" s="2" t="s">
        <v>96</v>
      </c>
      <c r="F1697" s="2">
        <f>_xlfn.XLOOKUP(Table1_1[[#This Row],[CAS_rn]],[1]analyte_order!$C:$C,[1]analyte_order!$E:$E)</f>
        <v>13</v>
      </c>
      <c r="G1697">
        <v>1.7999999999999999E-2</v>
      </c>
    </row>
    <row r="1698" spans="1:7" x14ac:dyDescent="0.3">
      <c r="A1698" s="2" t="s">
        <v>205</v>
      </c>
      <c r="B1698" s="2" t="s">
        <v>127</v>
      </c>
      <c r="C1698" s="1">
        <v>44278</v>
      </c>
      <c r="D1698" s="2" t="str">
        <f>_xlfn.XLOOKUP(Table1_1[[#This Row],[CAS_rn]],[1]analyte_order!$C:$C,[1]analyte_order!$B:$B)</f>
        <v>PFPeS</v>
      </c>
      <c r="E1698" s="2" t="s">
        <v>97</v>
      </c>
      <c r="F1698" s="2">
        <f>_xlfn.XLOOKUP(Table1_1[[#This Row],[CAS_rn]],[1]analyte_order!$C:$C,[1]analyte_order!$E:$E)</f>
        <v>14</v>
      </c>
      <c r="G1698">
        <v>6.2E-2</v>
      </c>
    </row>
    <row r="1699" spans="1:7" x14ac:dyDescent="0.3">
      <c r="A1699" s="2" t="s">
        <v>205</v>
      </c>
      <c r="B1699" s="2" t="s">
        <v>127</v>
      </c>
      <c r="C1699" s="1">
        <v>44278</v>
      </c>
      <c r="D1699" s="2" t="str">
        <f>_xlfn.XLOOKUP(Table1_1[[#This Row],[CAS_rn]],[1]analyte_order!$C:$C,[1]analyte_order!$B:$B)</f>
        <v>PFHxS</v>
      </c>
      <c r="E1699" s="2" t="s">
        <v>98</v>
      </c>
      <c r="F1699" s="2">
        <f>_xlfn.XLOOKUP(Table1_1[[#This Row],[CAS_rn]],[1]analyte_order!$C:$C,[1]analyte_order!$E:$E)</f>
        <v>15</v>
      </c>
      <c r="G1699">
        <v>0.873</v>
      </c>
    </row>
    <row r="1700" spans="1:7" x14ac:dyDescent="0.3">
      <c r="A1700" s="2" t="s">
        <v>205</v>
      </c>
      <c r="B1700" s="2" t="s">
        <v>127</v>
      </c>
      <c r="C1700" s="1">
        <v>44278</v>
      </c>
      <c r="D1700" s="2" t="str">
        <f>_xlfn.XLOOKUP(Table1_1[[#This Row],[CAS_rn]],[1]analyte_order!$C:$C,[1]analyte_order!$B:$B)</f>
        <v>PFHpS</v>
      </c>
      <c r="E1700" s="2" t="s">
        <v>99</v>
      </c>
      <c r="F1700" s="2">
        <f>_xlfn.XLOOKUP(Table1_1[[#This Row],[CAS_rn]],[1]analyte_order!$C:$C,[1]analyte_order!$E:$E)</f>
        <v>16</v>
      </c>
      <c r="G1700">
        <v>9.0999999999999998E-2</v>
      </c>
    </row>
    <row r="1701" spans="1:7" x14ac:dyDescent="0.3">
      <c r="A1701" s="2" t="s">
        <v>205</v>
      </c>
      <c r="B1701" s="2" t="s">
        <v>127</v>
      </c>
      <c r="C1701" s="1">
        <v>44278</v>
      </c>
      <c r="D1701" s="2" t="str">
        <f>_xlfn.XLOOKUP(Table1_1[[#This Row],[CAS_rn]],[1]analyte_order!$C:$C,[1]analyte_order!$B:$B)</f>
        <v>PFOS</v>
      </c>
      <c r="E1701" s="2" t="s">
        <v>100</v>
      </c>
      <c r="F1701" s="2">
        <f>_xlfn.XLOOKUP(Table1_1[[#This Row],[CAS_rn]],[1]analyte_order!$C:$C,[1]analyte_order!$E:$E)</f>
        <v>17</v>
      </c>
      <c r="G1701">
        <v>15.1</v>
      </c>
    </row>
    <row r="1702" spans="1:7" x14ac:dyDescent="0.3">
      <c r="A1702" s="2" t="s">
        <v>205</v>
      </c>
      <c r="B1702" s="2" t="s">
        <v>127</v>
      </c>
      <c r="C1702" s="1">
        <v>44278</v>
      </c>
      <c r="D1702" s="2" t="str">
        <f>_xlfn.XLOOKUP(Table1_1[[#This Row],[CAS_rn]],[1]analyte_order!$C:$C,[1]analyte_order!$B:$B)</f>
        <v>PFNS</v>
      </c>
      <c r="E1702" s="2" t="s">
        <v>101</v>
      </c>
      <c r="F1702" s="2">
        <f>_xlfn.XLOOKUP(Table1_1[[#This Row],[CAS_rn]],[1]analyte_order!$C:$C,[1]analyte_order!$E:$E)</f>
        <v>18</v>
      </c>
      <c r="G1702">
        <v>0.35099999999999998</v>
      </c>
    </row>
    <row r="1703" spans="1:7" x14ac:dyDescent="0.3">
      <c r="A1703" s="2" t="s">
        <v>205</v>
      </c>
      <c r="B1703" s="2" t="s">
        <v>127</v>
      </c>
      <c r="C1703" s="1">
        <v>44278</v>
      </c>
      <c r="D1703" s="2" t="str">
        <f>_xlfn.XLOOKUP(Table1_1[[#This Row],[CAS_rn]],[1]analyte_order!$C:$C,[1]analyte_order!$B:$B)</f>
        <v>PFDS</v>
      </c>
      <c r="E1703" s="2" t="s">
        <v>123</v>
      </c>
      <c r="F1703" s="2">
        <f>_xlfn.XLOOKUP(Table1_1[[#This Row],[CAS_rn]],[1]analyte_order!$C:$C,[1]analyte_order!$E:$E)</f>
        <v>19</v>
      </c>
      <c r="G1703">
        <v>0.51700000000000002</v>
      </c>
    </row>
    <row r="1704" spans="1:7" x14ac:dyDescent="0.3">
      <c r="A1704" s="2" t="s">
        <v>205</v>
      </c>
      <c r="B1704" s="2" t="s">
        <v>127</v>
      </c>
      <c r="C1704" s="1">
        <v>44278</v>
      </c>
      <c r="D1704" s="2" t="str">
        <f>_xlfn.XLOOKUP(Table1_1[[#This Row],[CAS_rn]],[1]analyte_order!$C:$C,[1]analyte_order!$B:$B)</f>
        <v>PFDoS</v>
      </c>
      <c r="E1704" s="2" t="s">
        <v>102</v>
      </c>
      <c r="F1704" s="2">
        <f>_xlfn.XLOOKUP(Table1_1[[#This Row],[CAS_rn]],[1]analyte_order!$C:$C,[1]analyte_order!$E:$E)</f>
        <v>20</v>
      </c>
      <c r="G1704">
        <v>4.1000000000000002E-2</v>
      </c>
    </row>
    <row r="1705" spans="1:7" x14ac:dyDescent="0.3">
      <c r="A1705" s="2" t="s">
        <v>205</v>
      </c>
      <c r="B1705" s="2" t="s">
        <v>127</v>
      </c>
      <c r="C1705" s="1">
        <v>44278</v>
      </c>
      <c r="D1705" s="2" t="str">
        <f>_xlfn.XLOOKUP(Table1_1[[#This Row],[CAS_rn]],[1]analyte_order!$C:$C,[1]analyte_order!$B:$B)</f>
        <v>4:2 FTS</v>
      </c>
      <c r="E1705" s="2" t="s">
        <v>103</v>
      </c>
      <c r="F1705" s="2">
        <f>_xlfn.XLOOKUP(Table1_1[[#This Row],[CAS_rn]],[1]analyte_order!$C:$C,[1]analyte_order!$E:$E)</f>
        <v>21</v>
      </c>
      <c r="G1705">
        <v>7.1999999999999995E-2</v>
      </c>
    </row>
    <row r="1706" spans="1:7" x14ac:dyDescent="0.3">
      <c r="A1706" s="2" t="s">
        <v>205</v>
      </c>
      <c r="B1706" s="2" t="s">
        <v>127</v>
      </c>
      <c r="C1706" s="1">
        <v>44278</v>
      </c>
      <c r="D1706" s="2" t="str">
        <f>_xlfn.XLOOKUP(Table1_1[[#This Row],[CAS_rn]],[1]analyte_order!$C:$C,[1]analyte_order!$B:$B)</f>
        <v>6:2 FTS</v>
      </c>
      <c r="E1706" s="2" t="s">
        <v>104</v>
      </c>
      <c r="F1706" s="2">
        <f>_xlfn.XLOOKUP(Table1_1[[#This Row],[CAS_rn]],[1]analyte_order!$C:$C,[1]analyte_order!$E:$E)</f>
        <v>22</v>
      </c>
      <c r="G1706">
        <v>1.87</v>
      </c>
    </row>
    <row r="1707" spans="1:7" x14ac:dyDescent="0.3">
      <c r="A1707" s="2" t="s">
        <v>205</v>
      </c>
      <c r="B1707" s="2" t="s">
        <v>127</v>
      </c>
      <c r="C1707" s="1">
        <v>44278</v>
      </c>
      <c r="D1707" s="2" t="str">
        <f>_xlfn.XLOOKUP(Table1_1[[#This Row],[CAS_rn]],[1]analyte_order!$C:$C,[1]analyte_order!$B:$B)</f>
        <v>8:2 FTS</v>
      </c>
      <c r="E1707" s="2" t="s">
        <v>105</v>
      </c>
      <c r="F1707" s="2">
        <f>_xlfn.XLOOKUP(Table1_1[[#This Row],[CAS_rn]],[1]analyte_order!$C:$C,[1]analyte_order!$E:$E)</f>
        <v>23</v>
      </c>
      <c r="G1707">
        <v>1.5</v>
      </c>
    </row>
    <row r="1708" spans="1:7" x14ac:dyDescent="0.3">
      <c r="A1708" s="2" t="s">
        <v>205</v>
      </c>
      <c r="B1708" s="2" t="s">
        <v>127</v>
      </c>
      <c r="C1708" s="1">
        <v>44278</v>
      </c>
      <c r="D1708" s="2" t="str">
        <f>_xlfn.XLOOKUP(Table1_1[[#This Row],[CAS_rn]],[1]analyte_order!$C:$C,[1]analyte_order!$B:$B)</f>
        <v>FOSA</v>
      </c>
      <c r="E1708" s="2" t="s">
        <v>106</v>
      </c>
      <c r="F1708" s="2">
        <f>_xlfn.XLOOKUP(Table1_1[[#This Row],[CAS_rn]],[1]analyte_order!$C:$C,[1]analyte_order!$E:$E)</f>
        <v>27</v>
      </c>
      <c r="G1708">
        <v>1.68</v>
      </c>
    </row>
    <row r="1709" spans="1:7" x14ac:dyDescent="0.3">
      <c r="A1709" s="2" t="s">
        <v>205</v>
      </c>
      <c r="B1709" s="2" t="s">
        <v>127</v>
      </c>
      <c r="C1709" s="1">
        <v>44278</v>
      </c>
      <c r="D1709" s="2" t="str">
        <f>_xlfn.XLOOKUP(Table1_1[[#This Row],[CAS_rn]],[1]analyte_order!$C:$C,[1]analyte_order!$B:$B)</f>
        <v>N-MeFOSA</v>
      </c>
      <c r="E1709" s="2" t="s">
        <v>107</v>
      </c>
      <c r="F1709" s="2">
        <f>_xlfn.XLOOKUP(Table1_1[[#This Row],[CAS_rn]],[1]analyte_order!$C:$C,[1]analyte_order!$E:$E)</f>
        <v>29</v>
      </c>
      <c r="G1709">
        <v>0.04</v>
      </c>
    </row>
    <row r="1710" spans="1:7" x14ac:dyDescent="0.3">
      <c r="A1710" s="2" t="s">
        <v>205</v>
      </c>
      <c r="B1710" s="2" t="s">
        <v>127</v>
      </c>
      <c r="C1710" s="1">
        <v>44278</v>
      </c>
      <c r="D1710" s="2" t="str">
        <f>_xlfn.XLOOKUP(Table1_1[[#This Row],[CAS_rn]],[1]analyte_order!$C:$C,[1]analyte_order!$B:$B)</f>
        <v>N-EtFOSA</v>
      </c>
      <c r="E1710" s="2" t="s">
        <v>109</v>
      </c>
      <c r="F1710" s="2">
        <f>_xlfn.XLOOKUP(Table1_1[[#This Row],[CAS_rn]],[1]analyte_order!$C:$C,[1]analyte_order!$E:$E)</f>
        <v>30</v>
      </c>
      <c r="G1710">
        <v>5.0500000000000003E-2</v>
      </c>
    </row>
    <row r="1711" spans="1:7" x14ac:dyDescent="0.3">
      <c r="A1711" s="2" t="s">
        <v>205</v>
      </c>
      <c r="B1711" s="2" t="s">
        <v>127</v>
      </c>
      <c r="C1711" s="1">
        <v>44278</v>
      </c>
      <c r="D1711" s="2" t="str">
        <f>_xlfn.XLOOKUP(Table1_1[[#This Row],[CAS_rn]],[1]analyte_order!$C:$C,[1]analyte_order!$B:$B)</f>
        <v>N-MeFOSAA</v>
      </c>
      <c r="E1711" s="2" t="s">
        <v>108</v>
      </c>
      <c r="F1711" s="2">
        <f>_xlfn.XLOOKUP(Table1_1[[#This Row],[CAS_rn]],[1]analyte_order!$C:$C,[1]analyte_order!$E:$E)</f>
        <v>25</v>
      </c>
      <c r="G1711">
        <v>1.7999999999999999E-2</v>
      </c>
    </row>
    <row r="1712" spans="1:7" x14ac:dyDescent="0.3">
      <c r="A1712" s="2" t="s">
        <v>205</v>
      </c>
      <c r="B1712" s="2" t="s">
        <v>127</v>
      </c>
      <c r="C1712" s="1">
        <v>44278</v>
      </c>
      <c r="D1712" s="2" t="str">
        <f>_xlfn.XLOOKUP(Table1_1[[#This Row],[CAS_rn]],[1]analyte_order!$C:$C,[1]analyte_order!$B:$B)</f>
        <v>N-EtFOSAA</v>
      </c>
      <c r="E1712" s="2" t="s">
        <v>110</v>
      </c>
      <c r="F1712" s="2">
        <f>_xlfn.XLOOKUP(Table1_1[[#This Row],[CAS_rn]],[1]analyte_order!$C:$C,[1]analyte_order!$E:$E)</f>
        <v>26</v>
      </c>
      <c r="G1712">
        <v>1.7999999999999999E-2</v>
      </c>
    </row>
    <row r="1713" spans="1:7" x14ac:dyDescent="0.3">
      <c r="A1713" s="2" t="s">
        <v>205</v>
      </c>
      <c r="B1713" s="2" t="s">
        <v>127</v>
      </c>
      <c r="C1713" s="1">
        <v>44278</v>
      </c>
      <c r="D1713" s="2" t="str">
        <f>_xlfn.XLOOKUP(Table1_1[[#This Row],[CAS_rn]],[1]analyte_order!$C:$C,[1]analyte_order!$B:$B)</f>
        <v>N-MeFOSE</v>
      </c>
      <c r="E1713" s="2" t="s">
        <v>111</v>
      </c>
      <c r="F1713" s="2">
        <f>_xlfn.XLOOKUP(Table1_1[[#This Row],[CAS_rn]],[1]analyte_order!$C:$C,[1]analyte_order!$E:$E)</f>
        <v>31</v>
      </c>
      <c r="G1713">
        <v>0.18</v>
      </c>
    </row>
    <row r="1714" spans="1:7" x14ac:dyDescent="0.3">
      <c r="A1714" s="2" t="s">
        <v>205</v>
      </c>
      <c r="B1714" s="2" t="s">
        <v>127</v>
      </c>
      <c r="C1714" s="1">
        <v>44278</v>
      </c>
      <c r="D1714" s="2" t="str">
        <f>_xlfn.XLOOKUP(Table1_1[[#This Row],[CAS_rn]],[1]analyte_order!$C:$C,[1]analyte_order!$B:$B)</f>
        <v>N-EtFOSE</v>
      </c>
      <c r="E1714" s="2" t="s">
        <v>112</v>
      </c>
      <c r="F1714" s="2">
        <f>_xlfn.XLOOKUP(Table1_1[[#This Row],[CAS_rn]],[1]analyte_order!$C:$C,[1]analyte_order!$E:$E)</f>
        <v>32</v>
      </c>
      <c r="G1714">
        <v>0.18</v>
      </c>
    </row>
    <row r="1715" spans="1:7" x14ac:dyDescent="0.3">
      <c r="A1715" s="2" t="s">
        <v>205</v>
      </c>
      <c r="B1715" s="2" t="s">
        <v>127</v>
      </c>
      <c r="C1715" s="1">
        <v>44278</v>
      </c>
      <c r="D1715" s="2" t="str">
        <f>_xlfn.XLOOKUP(Table1_1[[#This Row],[CAS_rn]],[1]analyte_order!$C:$C,[1]analyte_order!$B:$B)</f>
        <v>HFPO-DA</v>
      </c>
      <c r="E1715" s="2" t="s">
        <v>113</v>
      </c>
      <c r="F1715" s="2">
        <f>_xlfn.XLOOKUP(Table1_1[[#This Row],[CAS_rn]],[1]analyte_order!$C:$C,[1]analyte_order!$E:$E)</f>
        <v>33</v>
      </c>
      <c r="G1715">
        <v>7.1999999999999995E-2</v>
      </c>
    </row>
    <row r="1716" spans="1:7" x14ac:dyDescent="0.3">
      <c r="A1716" s="2" t="s">
        <v>205</v>
      </c>
      <c r="B1716" s="2" t="s">
        <v>127</v>
      </c>
      <c r="C1716" s="1">
        <v>44278</v>
      </c>
      <c r="D1716" s="2" t="str">
        <f>_xlfn.XLOOKUP(Table1_1[[#This Row],[CAS_rn]],[1]analyte_order!$C:$C,[1]analyte_order!$B:$B)</f>
        <v>ADONA</v>
      </c>
      <c r="E1716" s="2" t="s">
        <v>114</v>
      </c>
      <c r="F1716" s="2">
        <f>_xlfn.XLOOKUP(Table1_1[[#This Row],[CAS_rn]],[1]analyte_order!$C:$C,[1]analyte_order!$E:$E)</f>
        <v>34</v>
      </c>
      <c r="G1716">
        <v>7.1999999999999995E-2</v>
      </c>
    </row>
    <row r="1717" spans="1:7" x14ac:dyDescent="0.3">
      <c r="A1717" s="2" t="s">
        <v>205</v>
      </c>
      <c r="B1717" s="2" t="s">
        <v>127</v>
      </c>
      <c r="C1717" s="1">
        <v>44278</v>
      </c>
      <c r="D1717" s="2" t="str">
        <f>_xlfn.XLOOKUP(Table1_1[[#This Row],[CAS_rn]],[1]analyte_order!$C:$C,[1]analyte_order!$B:$B)</f>
        <v>9Cl-PF3ONS</v>
      </c>
      <c r="E1717" s="2" t="s">
        <v>117</v>
      </c>
      <c r="F1717" s="2">
        <f>_xlfn.XLOOKUP(Table1_1[[#This Row],[CAS_rn]],[1]analyte_order!$C:$C,[1]analyte_order!$E:$E)</f>
        <v>35</v>
      </c>
      <c r="G1717">
        <v>7.1999999999999995E-2</v>
      </c>
    </row>
    <row r="1718" spans="1:7" x14ac:dyDescent="0.3">
      <c r="A1718" s="2" t="s">
        <v>205</v>
      </c>
      <c r="B1718" s="2" t="s">
        <v>127</v>
      </c>
      <c r="C1718" s="1">
        <v>44278</v>
      </c>
      <c r="D1718" s="2" t="str">
        <f>_xlfn.XLOOKUP(Table1_1[[#This Row],[CAS_rn]],[1]analyte_order!$C:$C,[1]analyte_order!$B:$B)</f>
        <v>11Cl-PF3OUdS</v>
      </c>
      <c r="E1718" s="2" t="s">
        <v>118</v>
      </c>
      <c r="F1718" s="2">
        <f>_xlfn.XLOOKUP(Table1_1[[#This Row],[CAS_rn]],[1]analyte_order!$C:$C,[1]analyte_order!$E:$E)</f>
        <v>36</v>
      </c>
      <c r="G1718">
        <v>7.1999999999999995E-2</v>
      </c>
    </row>
    <row r="1719" spans="1:7" x14ac:dyDescent="0.3">
      <c r="A1719" s="2" t="s">
        <v>205</v>
      </c>
      <c r="B1719" s="2" t="s">
        <v>127</v>
      </c>
      <c r="C1719" s="1">
        <v>44278</v>
      </c>
      <c r="D1719" s="2" t="str">
        <f>_xlfn.XLOOKUP(Table1_1[[#This Row],[CAS_rn]],[1]analyte_order!$C:$C,[1]analyte_order!$B:$B)</f>
        <v>3:3 FTCA</v>
      </c>
      <c r="E1719" s="2" t="s">
        <v>120</v>
      </c>
      <c r="F1719" s="2">
        <f>_xlfn.XLOOKUP(Table1_1[[#This Row],[CAS_rn]],[1]analyte_order!$C:$C,[1]analyte_order!$E:$E)</f>
        <v>37</v>
      </c>
      <c r="G1719">
        <v>7.1999999999999995E-2</v>
      </c>
    </row>
    <row r="1720" spans="1:7" x14ac:dyDescent="0.3">
      <c r="A1720" s="2" t="s">
        <v>205</v>
      </c>
      <c r="B1720" s="2" t="s">
        <v>127</v>
      </c>
      <c r="C1720" s="1">
        <v>44278</v>
      </c>
      <c r="D1720" s="2" t="str">
        <f>_xlfn.XLOOKUP(Table1_1[[#This Row],[CAS_rn]],[1]analyte_order!$C:$C,[1]analyte_order!$B:$B)</f>
        <v>5:3 FTCA</v>
      </c>
      <c r="E1720" s="2" t="s">
        <v>121</v>
      </c>
      <c r="F1720" s="2">
        <f>_xlfn.XLOOKUP(Table1_1[[#This Row],[CAS_rn]],[1]analyte_order!$C:$C,[1]analyte_order!$E:$E)</f>
        <v>38</v>
      </c>
      <c r="G1720">
        <v>1.04</v>
      </c>
    </row>
    <row r="1721" spans="1:7" x14ac:dyDescent="0.3">
      <c r="A1721" s="2" t="s">
        <v>205</v>
      </c>
      <c r="B1721" s="2" t="s">
        <v>127</v>
      </c>
      <c r="C1721" s="1">
        <v>44278</v>
      </c>
      <c r="D1721" s="2" t="str">
        <f>_xlfn.XLOOKUP(Table1_1[[#This Row],[CAS_rn]],[1]analyte_order!$C:$C,[1]analyte_order!$B:$B)</f>
        <v>7:3 FTCA</v>
      </c>
      <c r="E1721" s="2" t="s">
        <v>122</v>
      </c>
      <c r="F1721" s="2">
        <f>_xlfn.XLOOKUP(Table1_1[[#This Row],[CAS_rn]],[1]analyte_order!$C:$C,[1]analyte_order!$E:$E)</f>
        <v>39</v>
      </c>
      <c r="G1721">
        <v>0.44950000000000001</v>
      </c>
    </row>
    <row r="1722" spans="1:7" x14ac:dyDescent="0.3">
      <c r="A1722" s="2" t="s">
        <v>205</v>
      </c>
      <c r="B1722" s="2" t="s">
        <v>127</v>
      </c>
      <c r="C1722" s="1">
        <v>44278</v>
      </c>
      <c r="D1722" s="2" t="str">
        <f>_xlfn.XLOOKUP(Table1_1[[#This Row],[CAS_rn]],[1]analyte_order!$C:$C,[1]analyte_order!$B:$B)</f>
        <v>PFEESA</v>
      </c>
      <c r="E1722" s="2" t="s">
        <v>119</v>
      </c>
      <c r="F1722" s="2">
        <f>_xlfn.XLOOKUP(Table1_1[[#This Row],[CAS_rn]],[1]analyte_order!$C:$C,[1]analyte_order!$E:$E)</f>
        <v>46</v>
      </c>
      <c r="G1722">
        <v>1.7999999999999999E-2</v>
      </c>
    </row>
    <row r="1723" spans="1:7" x14ac:dyDescent="0.3">
      <c r="A1723" s="2" t="s">
        <v>205</v>
      </c>
      <c r="B1723" s="2" t="s">
        <v>127</v>
      </c>
      <c r="C1723" s="1">
        <v>44278</v>
      </c>
      <c r="D1723" s="2" t="str">
        <f>_xlfn.XLOOKUP(Table1_1[[#This Row],[CAS_rn]],[1]analyte_order!$C:$C,[1]analyte_order!$B:$B)</f>
        <v>PFMPA</v>
      </c>
      <c r="E1723" s="2" t="s">
        <v>124</v>
      </c>
      <c r="F1723" s="2">
        <f>_xlfn.XLOOKUP(Table1_1[[#This Row],[CAS_rn]],[1]analyte_order!$C:$C,[1]analyte_order!$E:$E)</f>
        <v>48</v>
      </c>
      <c r="G1723">
        <v>3.5950000000000003E-2</v>
      </c>
    </row>
    <row r="1724" spans="1:7" x14ac:dyDescent="0.3">
      <c r="A1724" s="2" t="s">
        <v>205</v>
      </c>
      <c r="B1724" s="2" t="s">
        <v>127</v>
      </c>
      <c r="C1724" s="1">
        <v>44278</v>
      </c>
      <c r="D1724" s="2" t="str">
        <f>_xlfn.XLOOKUP(Table1_1[[#This Row],[CAS_rn]],[1]analyte_order!$C:$C,[1]analyte_order!$B:$B)</f>
        <v>PFMBA</v>
      </c>
      <c r="E1724" s="2" t="s">
        <v>115</v>
      </c>
      <c r="F1724" s="2">
        <f>_xlfn.XLOOKUP(Table1_1[[#This Row],[CAS_rn]],[1]analyte_order!$C:$C,[1]analyte_order!$E:$E)</f>
        <v>47</v>
      </c>
      <c r="G1724">
        <v>1.7999999999999999E-2</v>
      </c>
    </row>
    <row r="1725" spans="1:7" x14ac:dyDescent="0.3">
      <c r="A1725" s="2" t="s">
        <v>205</v>
      </c>
      <c r="B1725" s="2" t="s">
        <v>127</v>
      </c>
      <c r="C1725" s="1">
        <v>44278</v>
      </c>
      <c r="D1725" s="2" t="str">
        <f>_xlfn.XLOOKUP(Table1_1[[#This Row],[CAS_rn]],[1]analyte_order!$C:$C,[1]analyte_order!$B:$B)</f>
        <v>NFDHA</v>
      </c>
      <c r="E1725" s="2" t="s">
        <v>116</v>
      </c>
      <c r="F1725" s="2">
        <f>_xlfn.XLOOKUP(Table1_1[[#This Row],[CAS_rn]],[1]analyte_order!$C:$C,[1]analyte_order!$E:$E)</f>
        <v>49</v>
      </c>
      <c r="G1725">
        <v>3.5950000000000003E-2</v>
      </c>
    </row>
    <row r="1726" spans="1:7" x14ac:dyDescent="0.3">
      <c r="A1726" s="2"/>
      <c r="B1726" s="2"/>
      <c r="C1726" s="1"/>
      <c r="D1726" s="2"/>
      <c r="E1726" s="2"/>
      <c r="F1726" s="2"/>
    </row>
    <row r="1727" spans="1:7" x14ac:dyDescent="0.3">
      <c r="A1727" s="2"/>
      <c r="B1727" s="2"/>
      <c r="C1727" s="1"/>
      <c r="D1727" s="2"/>
      <c r="E1727" s="2"/>
      <c r="F1727" s="2"/>
    </row>
    <row r="1728" spans="1:7" x14ac:dyDescent="0.3">
      <c r="A1728" s="2"/>
      <c r="B1728" s="2"/>
      <c r="C1728" s="1"/>
      <c r="D1728" s="2"/>
      <c r="E1728" s="2"/>
      <c r="F1728" s="2"/>
    </row>
    <row r="1729" spans="1:6" x14ac:dyDescent="0.3">
      <c r="A1729" s="2"/>
      <c r="B1729" s="2"/>
      <c r="C1729" s="1"/>
      <c r="D1729" s="2"/>
      <c r="E1729" s="2"/>
      <c r="F1729" s="2"/>
    </row>
    <row r="1730" spans="1:6" x14ac:dyDescent="0.3">
      <c r="A1730" s="2"/>
      <c r="B1730" s="2"/>
      <c r="C1730" s="1"/>
      <c r="D1730" s="2"/>
      <c r="E1730" s="2"/>
      <c r="F1730" s="2"/>
    </row>
    <row r="1731" spans="1:6" x14ac:dyDescent="0.3">
      <c r="A1731" s="2"/>
      <c r="B1731" s="2"/>
      <c r="C1731" s="1"/>
      <c r="D1731" s="2"/>
      <c r="E1731" s="2"/>
      <c r="F1731" s="2"/>
    </row>
    <row r="1732" spans="1:6" x14ac:dyDescent="0.3">
      <c r="A1732" s="2"/>
      <c r="B1732" s="2"/>
      <c r="C1732" s="1"/>
      <c r="D1732" s="2"/>
      <c r="E1732" s="2"/>
      <c r="F1732" s="2"/>
    </row>
    <row r="1733" spans="1:6" x14ac:dyDescent="0.3">
      <c r="A1733" s="2"/>
      <c r="B1733" s="2"/>
      <c r="C1733" s="1"/>
      <c r="D1733" s="2"/>
      <c r="E1733" s="2"/>
      <c r="F1733" s="2"/>
    </row>
    <row r="1734" spans="1:6" x14ac:dyDescent="0.3">
      <c r="A1734" s="2"/>
      <c r="B1734" s="2"/>
      <c r="C1734" s="1"/>
      <c r="D1734" s="2"/>
      <c r="E1734" s="2"/>
      <c r="F1734" s="2"/>
    </row>
    <row r="1735" spans="1:6" x14ac:dyDescent="0.3">
      <c r="A1735" s="2"/>
      <c r="B1735" s="2"/>
      <c r="C1735" s="1"/>
      <c r="D1735" s="2"/>
      <c r="E1735" s="2"/>
      <c r="F1735" s="2"/>
    </row>
    <row r="1736" spans="1:6" x14ac:dyDescent="0.3">
      <c r="A1736" s="2"/>
      <c r="B1736" s="2"/>
      <c r="C1736" s="1"/>
      <c r="D1736" s="2"/>
      <c r="E1736" s="2"/>
      <c r="F1736" s="2"/>
    </row>
    <row r="1737" spans="1:6" x14ac:dyDescent="0.3">
      <c r="A1737" s="2"/>
      <c r="B1737" s="2"/>
      <c r="C1737" s="1"/>
      <c r="D1737" s="2"/>
      <c r="E1737" s="2"/>
      <c r="F1737" s="2"/>
    </row>
    <row r="1738" spans="1:6" x14ac:dyDescent="0.3">
      <c r="A1738" s="2"/>
      <c r="B1738" s="2"/>
      <c r="C1738" s="1"/>
      <c r="D1738" s="2"/>
      <c r="E1738" s="2"/>
      <c r="F1738" s="2"/>
    </row>
    <row r="1739" spans="1:6" x14ac:dyDescent="0.3">
      <c r="A1739" s="2"/>
      <c r="B1739" s="2"/>
      <c r="C1739" s="1"/>
      <c r="D1739" s="2"/>
      <c r="E1739" s="2"/>
      <c r="F1739" s="2"/>
    </row>
    <row r="1740" spans="1:6" x14ac:dyDescent="0.3">
      <c r="A1740" s="2"/>
      <c r="B1740" s="2"/>
      <c r="C1740" s="1"/>
      <c r="D1740" s="2"/>
      <c r="E1740" s="2"/>
      <c r="F1740" s="2"/>
    </row>
    <row r="1741" spans="1:6" x14ac:dyDescent="0.3">
      <c r="A1741" s="2"/>
      <c r="B1741" s="2"/>
      <c r="C1741" s="1"/>
      <c r="D1741" s="2"/>
      <c r="E1741" s="2"/>
      <c r="F1741" s="2"/>
    </row>
    <row r="1742" spans="1:6" x14ac:dyDescent="0.3">
      <c r="A1742" s="2"/>
      <c r="B1742" s="2"/>
      <c r="C1742" s="1"/>
      <c r="D1742" s="2"/>
      <c r="E1742" s="2"/>
      <c r="F1742" s="2"/>
    </row>
    <row r="1743" spans="1:6" x14ac:dyDescent="0.3">
      <c r="A1743" s="2"/>
      <c r="B1743" s="2"/>
      <c r="C1743" s="1"/>
      <c r="D1743" s="2"/>
      <c r="E1743" s="2"/>
      <c r="F1743" s="2"/>
    </row>
    <row r="1744" spans="1:6" x14ac:dyDescent="0.3">
      <c r="A1744" s="2"/>
      <c r="B1744" s="2"/>
      <c r="C1744" s="1"/>
      <c r="D1744" s="2"/>
      <c r="E1744" s="2"/>
      <c r="F1744" s="2"/>
    </row>
    <row r="1745" spans="1:6" x14ac:dyDescent="0.3">
      <c r="A1745" s="2"/>
      <c r="B1745" s="2"/>
      <c r="C1745" s="1"/>
      <c r="D1745" s="2"/>
      <c r="E1745" s="2"/>
      <c r="F1745" s="2"/>
    </row>
    <row r="1746" spans="1:6" x14ac:dyDescent="0.3">
      <c r="A1746" s="2"/>
      <c r="B1746" s="2"/>
      <c r="C1746" s="1"/>
      <c r="D1746" s="2"/>
      <c r="E1746" s="2"/>
      <c r="F1746" s="2"/>
    </row>
    <row r="1747" spans="1:6" x14ac:dyDescent="0.3">
      <c r="A1747" s="2"/>
      <c r="B1747" s="2"/>
      <c r="C1747" s="1"/>
      <c r="D1747" s="2"/>
      <c r="E1747" s="2"/>
      <c r="F1747" s="2"/>
    </row>
    <row r="1748" spans="1:6" x14ac:dyDescent="0.3">
      <c r="A1748" s="2"/>
      <c r="B1748" s="2"/>
      <c r="C1748" s="1"/>
      <c r="D1748" s="2"/>
      <c r="E1748" s="2"/>
      <c r="F1748" s="2"/>
    </row>
    <row r="1749" spans="1:6" x14ac:dyDescent="0.3">
      <c r="A1749" s="2"/>
      <c r="B1749" s="2"/>
      <c r="C1749" s="1"/>
      <c r="D1749" s="2"/>
      <c r="E1749" s="2"/>
      <c r="F1749" s="2"/>
    </row>
    <row r="1750" spans="1:6" x14ac:dyDescent="0.3">
      <c r="A1750" s="2"/>
      <c r="B1750" s="2"/>
      <c r="C1750" s="1"/>
      <c r="D1750" s="2"/>
      <c r="E1750" s="2"/>
      <c r="F1750" s="2"/>
    </row>
    <row r="1751" spans="1:6" x14ac:dyDescent="0.3">
      <c r="A1751" s="2"/>
      <c r="B1751" s="2"/>
      <c r="C1751" s="1"/>
      <c r="D1751" s="2"/>
      <c r="E1751" s="2"/>
      <c r="F1751" s="2"/>
    </row>
    <row r="1752" spans="1:6" x14ac:dyDescent="0.3">
      <c r="A1752" s="2"/>
      <c r="B1752" s="2"/>
      <c r="C1752" s="1"/>
      <c r="D1752" s="2"/>
      <c r="E1752" s="2"/>
      <c r="F1752" s="2"/>
    </row>
    <row r="1753" spans="1:6" x14ac:dyDescent="0.3">
      <c r="A1753" s="2"/>
      <c r="B1753" s="2"/>
      <c r="C1753" s="1"/>
      <c r="D1753" s="2"/>
      <c r="E1753" s="2"/>
      <c r="F1753" s="2"/>
    </row>
    <row r="1754" spans="1:6" x14ac:dyDescent="0.3">
      <c r="A1754" s="2"/>
      <c r="B1754" s="2"/>
      <c r="C1754" s="1"/>
      <c r="D1754" s="2"/>
      <c r="E1754" s="2"/>
      <c r="F1754" s="2"/>
    </row>
    <row r="1755" spans="1:6" x14ac:dyDescent="0.3">
      <c r="A1755" s="2"/>
      <c r="B1755" s="2"/>
      <c r="C1755" s="1"/>
      <c r="D1755" s="2"/>
      <c r="E1755" s="2"/>
      <c r="F1755" s="2"/>
    </row>
    <row r="1756" spans="1:6" x14ac:dyDescent="0.3">
      <c r="A1756" s="2"/>
      <c r="B1756" s="2"/>
      <c r="C1756" s="1"/>
      <c r="D1756" s="2"/>
      <c r="E1756" s="2"/>
      <c r="F1756" s="2"/>
    </row>
    <row r="1757" spans="1:6" x14ac:dyDescent="0.3">
      <c r="A1757" s="2"/>
      <c r="B1757" s="2"/>
      <c r="C1757" s="1"/>
      <c r="D1757" s="2"/>
      <c r="E1757" s="2"/>
      <c r="F1757" s="2"/>
    </row>
    <row r="1758" spans="1:6" x14ac:dyDescent="0.3">
      <c r="A1758" s="2"/>
      <c r="B1758" s="2"/>
      <c r="C1758" s="1"/>
      <c r="D1758" s="2"/>
      <c r="E1758" s="2"/>
      <c r="F1758" s="2"/>
    </row>
    <row r="1759" spans="1:6" x14ac:dyDescent="0.3">
      <c r="A1759" s="2"/>
      <c r="B1759" s="2"/>
      <c r="C1759" s="1"/>
      <c r="D1759" s="2"/>
      <c r="E1759" s="2"/>
      <c r="F1759" s="2"/>
    </row>
    <row r="1760" spans="1:6" x14ac:dyDescent="0.3">
      <c r="A1760" s="2"/>
      <c r="B1760" s="2"/>
      <c r="C1760" s="1"/>
      <c r="D1760" s="2"/>
      <c r="E1760" s="2"/>
      <c r="F1760" s="2"/>
    </row>
    <row r="1761" spans="1:6" x14ac:dyDescent="0.3">
      <c r="A1761" s="2"/>
      <c r="B1761" s="2"/>
      <c r="C1761" s="1"/>
      <c r="D1761" s="2"/>
      <c r="E1761" s="2"/>
      <c r="F1761" s="2"/>
    </row>
    <row r="1762" spans="1:6" x14ac:dyDescent="0.3">
      <c r="A1762" s="2"/>
      <c r="B1762" s="2"/>
      <c r="C1762" s="1"/>
      <c r="D1762" s="2"/>
      <c r="E1762" s="2"/>
      <c r="F1762" s="2"/>
    </row>
    <row r="1763" spans="1:6" x14ac:dyDescent="0.3">
      <c r="A1763" s="2"/>
      <c r="B1763" s="2"/>
      <c r="C1763" s="1"/>
      <c r="D1763" s="2"/>
      <c r="E1763" s="2"/>
      <c r="F1763" s="2"/>
    </row>
    <row r="1764" spans="1:6" x14ac:dyDescent="0.3">
      <c r="A1764" s="2"/>
      <c r="B1764" s="2"/>
      <c r="C1764" s="1"/>
      <c r="D1764" s="2"/>
      <c r="E1764" s="2"/>
      <c r="F1764" s="2"/>
    </row>
    <row r="1765" spans="1:6" x14ac:dyDescent="0.3">
      <c r="A1765" s="2"/>
      <c r="B1765" s="2"/>
      <c r="C1765" s="1"/>
      <c r="D1765" s="2"/>
      <c r="E1765" s="2"/>
      <c r="F1765" s="2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26FA-9D91-4398-A637-08C35DEDC9E4}">
  <dimension ref="A1:AN63"/>
  <sheetViews>
    <sheetView topLeftCell="T44" workbookViewId="0">
      <selection sqref="A1:AN63"/>
    </sheetView>
  </sheetViews>
  <sheetFormatPr defaultRowHeight="15.6" x14ac:dyDescent="0.3"/>
  <sheetData>
    <row r="1" spans="1:40" x14ac:dyDescent="0.3">
      <c r="A1" t="str">
        <f>_xlfn.CONCAT("log_",Table1_15[[#Headers],[PFBA]])</f>
        <v>log_PFBA</v>
      </c>
      <c r="B1" t="str">
        <f>_xlfn.CONCAT("log_",Table1_15[[#Headers],[PFPeA]])</f>
        <v>log_PFPeA</v>
      </c>
      <c r="C1" t="str">
        <f>_xlfn.CONCAT("log_",Table1_15[[#Headers],[PFBS]])</f>
        <v>log_PFBS</v>
      </c>
      <c r="D1" t="str">
        <f>_xlfn.CONCAT("log_",Table1_15[[#Headers],[PFHxA]])</f>
        <v>log_PFHxA</v>
      </c>
      <c r="E1" t="str">
        <f>_xlfn.CONCAT("log_",Table1_15[[#Headers],[PFPeS]])</f>
        <v>log_PFPeS</v>
      </c>
      <c r="F1" t="str">
        <f>_xlfn.CONCAT("log_",Table1_15[[#Headers],[PFHpA]])</f>
        <v>log_PFHpA</v>
      </c>
      <c r="G1" t="str">
        <f>_xlfn.CONCAT("log_",Table1_15[[#Headers],[PFHxS]])</f>
        <v>log_PFHxS</v>
      </c>
      <c r="H1" t="str">
        <f>_xlfn.CONCAT("log_",Table1_15[[#Headers],[PFOA]])</f>
        <v>log_PFOA</v>
      </c>
      <c r="I1" t="str">
        <f>_xlfn.CONCAT("log_",Table1_15[[#Headers],[6:2 FTS]])</f>
        <v>log_6:2 FTS</v>
      </c>
      <c r="J1" t="str">
        <f>_xlfn.CONCAT("log_",Table1_15[[#Headers],[PFHpS]])</f>
        <v>log_PFHpS</v>
      </c>
      <c r="K1" t="str">
        <f>_xlfn.CONCAT("log_",Table1_15[[#Headers],[PFNA]])</f>
        <v>log_PFNA</v>
      </c>
      <c r="L1" t="str">
        <f>_xlfn.CONCAT("log_",Table1_15[[#Headers],[PFOS]])</f>
        <v>log_PFOS</v>
      </c>
      <c r="M1" t="str">
        <f>_xlfn.CONCAT("log_",Table1_15[[#Headers],[PFDA]])</f>
        <v>log_PFDA</v>
      </c>
      <c r="N1" t="str">
        <f>_xlfn.CONCAT("log_",Table1_15[[#Headers],[PFUnA]])</f>
        <v>log_PFUnA</v>
      </c>
      <c r="O1" t="str">
        <f>_xlfn.CONCAT("log_",Table1_15[[#Headers],[PFDoA]])</f>
        <v>log_PFDoA</v>
      </c>
      <c r="P1" t="str">
        <f>_xlfn.CONCAT("log_",Table1_15[[#Headers],[PFTrDA]])</f>
        <v>log_PFTrDA</v>
      </c>
      <c r="Q1" t="str">
        <f>_xlfn.CONCAT("log_",Table1_15[[#Headers],[PFTeDA]])</f>
        <v>log_PFTeDA</v>
      </c>
      <c r="R1" t="str">
        <f>_xlfn.CONCAT("log_",Table1_15[[#Headers],[PFNS]])</f>
        <v>log_PFNS</v>
      </c>
      <c r="S1" t="str">
        <f>_xlfn.CONCAT("log_",Table1_15[[#Headers],[PFDoS]])</f>
        <v>log_PFDoS</v>
      </c>
      <c r="T1" t="str">
        <f>_xlfn.CONCAT("log_",Table1_15[[#Headers],[4:2 FTS]])</f>
        <v>log_4:2 FTS</v>
      </c>
      <c r="U1" t="str">
        <f>_xlfn.CONCAT("log_",Table1_15[[#Headers],[8:2 FTS]])</f>
        <v>log_8:2 FTS</v>
      </c>
      <c r="V1" t="str">
        <f>_xlfn.CONCAT("log_",Table1_15[[#Headers],[FOSA]])</f>
        <v>log_FOSA</v>
      </c>
      <c r="W1" t="str">
        <f>_xlfn.CONCAT("log_",Table1_15[[#Headers],[N-MeFOSA]])</f>
        <v>log_N-MeFOSA</v>
      </c>
      <c r="X1" t="str">
        <f>_xlfn.CONCAT("log_",Table1_15[[#Headers],[N-MeFOSAA]])</f>
        <v>log_N-MeFOSAA</v>
      </c>
      <c r="Y1" t="str">
        <f>_xlfn.CONCAT("log_",Table1_15[[#Headers],[N-EtFOSA]])</f>
        <v>log_N-EtFOSA</v>
      </c>
      <c r="Z1" t="str">
        <f>_xlfn.CONCAT("log_",Table1_15[[#Headers],[N-EtFOSAA]])</f>
        <v>log_N-EtFOSAA</v>
      </c>
      <c r="AA1" t="str">
        <f>_xlfn.CONCAT("log_",Table1_15[[#Headers],[N-MeFOSE]])</f>
        <v>log_N-MeFOSE</v>
      </c>
      <c r="AB1" t="str">
        <f>_xlfn.CONCAT("log_",Table1_15[[#Headers],[N-EtFOSE]])</f>
        <v>log_N-EtFOSE</v>
      </c>
      <c r="AC1" t="str">
        <f>_xlfn.CONCAT("log_",Table1_15[[#Headers],[HFPO-DA]])</f>
        <v>log_HFPO-DA</v>
      </c>
      <c r="AD1" t="str">
        <f>_xlfn.CONCAT("log_",Table1_15[[#Headers],[ADONA]])</f>
        <v>log_ADONA</v>
      </c>
      <c r="AE1" t="str">
        <f>_xlfn.CONCAT("log_",Table1_15[[#Headers],[PFMBA]])</f>
        <v>log_PFMBA</v>
      </c>
      <c r="AF1" t="str">
        <f>_xlfn.CONCAT("log_",Table1_15[[#Headers],[NFDHA]])</f>
        <v>log_NFDHA</v>
      </c>
      <c r="AG1" t="str">
        <f>_xlfn.CONCAT("log_",Table1_15[[#Headers],[9Cl-PF3ONS]])</f>
        <v>log_9Cl-PF3ONS</v>
      </c>
      <c r="AH1" t="str">
        <f>_xlfn.CONCAT("log_",Table1_15[[#Headers],[11Cl-PF3OUdS]])</f>
        <v>log_11Cl-PF3OUdS</v>
      </c>
      <c r="AI1" t="str">
        <f>_xlfn.CONCAT("log_",Table1_15[[#Headers],[PFEESA]])</f>
        <v>log_PFEESA</v>
      </c>
      <c r="AJ1" t="str">
        <f>_xlfn.CONCAT("log_",Table1_15[[#Headers],[3:3 FTCA]])</f>
        <v>log_3:3 FTCA</v>
      </c>
      <c r="AK1" t="str">
        <f>_xlfn.CONCAT("log_",Table1_15[[#Headers],[5:3 FTCA]])</f>
        <v>log_5:3 FTCA</v>
      </c>
      <c r="AL1" t="str">
        <f>_xlfn.CONCAT("log_",Table1_15[[#Headers],[7:3 FTCA]])</f>
        <v>log_7:3 FTCA</v>
      </c>
      <c r="AM1" t="str">
        <f>_xlfn.CONCAT("log_",Table1_15[[#Headers],[PFDS]])</f>
        <v>log_PFDS</v>
      </c>
      <c r="AN1" t="str">
        <f>_xlfn.CONCAT("log_",Table1_15[[#Headers],[PFMPA]])</f>
        <v>log_PFMPA</v>
      </c>
    </row>
    <row r="2" spans="1:40" x14ac:dyDescent="0.3">
      <c r="A2">
        <f>LOG(Table1_15[[#This Row],[PFBA]])</f>
        <v>-1.2041199826559248</v>
      </c>
      <c r="B2">
        <f>LOG(Table1_15[[#This Row],[PFPeA]])</f>
        <v>-1.2041199826559248</v>
      </c>
      <c r="C2">
        <f>LOG(Table1_15[[#This Row],[PFBS]])</f>
        <v>-0.90308998699194354</v>
      </c>
      <c r="D2">
        <f>LOG(Table1_15[[#This Row],[PFHxA]])</f>
        <v>-0.89312945552134604</v>
      </c>
      <c r="E2">
        <f>LOG(Table1_15[[#This Row],[PFPeS]])</f>
        <v>-1.2041199826559248</v>
      </c>
      <c r="F2">
        <f>LOG(Table1_15[[#This Row],[PFHpA]])</f>
        <v>-1.2041199826559248</v>
      </c>
      <c r="G2">
        <f>LOG(Table1_15[[#This Row],[PFHxS]])</f>
        <v>-0.72445831159869045</v>
      </c>
      <c r="H2">
        <f>LOG(Table1_15[[#This Row],[PFOA]])</f>
        <v>-0.90308998699194354</v>
      </c>
      <c r="I2">
        <f>LOG(Table1_15[[#This Row],[6:2 FTS]])</f>
        <v>-1.0061230850587888</v>
      </c>
      <c r="J2">
        <f>LOG(Table1_15[[#This Row],[PFHpS]])</f>
        <v>-1.6073030467403342</v>
      </c>
      <c r="K2">
        <f>LOG(Table1_15[[#This Row],[PFNA]])</f>
        <v>-0.90308998699194354</v>
      </c>
      <c r="L2">
        <f>LOG(Table1_15[[#This Row],[PFOS]])</f>
        <v>0.45452473559309708</v>
      </c>
      <c r="M2" t="e">
        <f>LOG(Table1_15[[#This Row],[PFDA]])</f>
        <v>#NUM!</v>
      </c>
      <c r="N2" t="e">
        <f>LOG(Table1_15[[#This Row],[PFUnA]])</f>
        <v>#NUM!</v>
      </c>
      <c r="O2" t="e">
        <f>LOG(Table1_15[[#This Row],[PFDoA]])</f>
        <v>#NUM!</v>
      </c>
      <c r="P2" t="e">
        <f>LOG(Table1_15[[#This Row],[PFTrDA]])</f>
        <v>#NUM!</v>
      </c>
      <c r="Q2" t="e">
        <f>LOG(Table1_15[[#This Row],[PFTeDA]])</f>
        <v>#NUM!</v>
      </c>
      <c r="R2" t="e">
        <f>LOG(Table1_15[[#This Row],[PFNS]])</f>
        <v>#NUM!</v>
      </c>
      <c r="S2" t="e">
        <f>LOG(Table1_15[[#This Row],[PFDoS]])</f>
        <v>#NUM!</v>
      </c>
      <c r="T2" t="e">
        <f>LOG(Table1_15[[#This Row],[4:2 FTS]])</f>
        <v>#NUM!</v>
      </c>
      <c r="U2" t="e">
        <f>LOG(Table1_15[[#This Row],[8:2 FTS]])</f>
        <v>#NUM!</v>
      </c>
      <c r="V2" t="e">
        <f>LOG(Table1_15[[#This Row],[FOSA]])</f>
        <v>#NUM!</v>
      </c>
      <c r="W2" t="e">
        <f>LOG(Table1_15[[#This Row],[N-MeFOSA]])</f>
        <v>#NUM!</v>
      </c>
      <c r="X2" t="e">
        <f>LOG(Table1_15[[#This Row],[N-MeFOSAA]])</f>
        <v>#NUM!</v>
      </c>
      <c r="Y2" t="e">
        <f>LOG(Table1_15[[#This Row],[N-EtFOSA]])</f>
        <v>#NUM!</v>
      </c>
      <c r="Z2" t="e">
        <f>LOG(Table1_15[[#This Row],[N-EtFOSAA]])</f>
        <v>#NUM!</v>
      </c>
      <c r="AA2" t="e">
        <f>LOG(Table1_15[[#This Row],[N-MeFOSE]])</f>
        <v>#NUM!</v>
      </c>
      <c r="AB2" t="e">
        <f>LOG(Table1_15[[#This Row],[N-EtFOSE]])</f>
        <v>#NUM!</v>
      </c>
      <c r="AC2" t="e">
        <f>LOG(Table1_15[[#This Row],[HFPO-DA]])</f>
        <v>#NUM!</v>
      </c>
      <c r="AD2" t="e">
        <f>LOG(Table1_15[[#This Row],[ADONA]])</f>
        <v>#NUM!</v>
      </c>
      <c r="AE2" t="e">
        <f>LOG(Table1_15[[#This Row],[PFMBA]])</f>
        <v>#NUM!</v>
      </c>
      <c r="AF2" t="e">
        <f>LOG(Table1_15[[#This Row],[NFDHA]])</f>
        <v>#NUM!</v>
      </c>
      <c r="AG2" t="e">
        <f>LOG(Table1_15[[#This Row],[9Cl-PF3ONS]])</f>
        <v>#NUM!</v>
      </c>
      <c r="AH2" t="e">
        <f>LOG(Table1_15[[#This Row],[11Cl-PF3OUdS]])</f>
        <v>#NUM!</v>
      </c>
      <c r="AI2" t="e">
        <f>LOG(Table1_15[[#This Row],[PFEESA]])</f>
        <v>#NUM!</v>
      </c>
      <c r="AJ2" t="e">
        <f>LOG(Table1_15[[#This Row],[3:3 FTCA]])</f>
        <v>#NUM!</v>
      </c>
      <c r="AK2" t="e">
        <f>LOG(Table1_15[[#This Row],[5:3 FTCA]])</f>
        <v>#NUM!</v>
      </c>
      <c r="AL2" t="e">
        <f>LOG(Table1_15[[#This Row],[7:3 FTCA]])</f>
        <v>#NUM!</v>
      </c>
      <c r="AM2" t="e">
        <f>LOG(Table1_15[[#This Row],[PFDS]])</f>
        <v>#NUM!</v>
      </c>
      <c r="AN2" t="e">
        <f>LOG(Table1_15[[#This Row],[PFMPA]])</f>
        <v>#NUM!</v>
      </c>
    </row>
    <row r="3" spans="1:40" x14ac:dyDescent="0.3">
      <c r="A3">
        <f>LOG(Table1_15[[#This Row],[PFBA]])</f>
        <v>-1.2041199826559248</v>
      </c>
      <c r="B3">
        <f>LOG(Table1_15[[#This Row],[PFPeA]])</f>
        <v>-1.2041199826559248</v>
      </c>
      <c r="C3">
        <f>LOG(Table1_15[[#This Row],[PFBS]])</f>
        <v>-0.90308998699194354</v>
      </c>
      <c r="D3">
        <f>LOG(Table1_15[[#This Row],[PFHxA]])</f>
        <v>-0.65975423843206826</v>
      </c>
      <c r="E3">
        <f>LOG(Table1_15[[#This Row],[PFPeS]])</f>
        <v>-1.2041199826559248</v>
      </c>
      <c r="F3">
        <f>LOG(Table1_15[[#This Row],[PFHpA]])</f>
        <v>-1.2041199826559248</v>
      </c>
      <c r="G3">
        <f>LOG(Table1_15[[#This Row],[PFHxS]])</f>
        <v>-0.20985563495709944</v>
      </c>
      <c r="H3">
        <f>LOG(Table1_15[[#This Row],[PFOA]])</f>
        <v>-0.42170469487917378</v>
      </c>
      <c r="I3">
        <f>LOG(Table1_15[[#This Row],[6:2 FTS]])</f>
        <v>-0.41998788747057569</v>
      </c>
      <c r="J3">
        <f>LOG(Table1_15[[#This Row],[PFHpS]])</f>
        <v>-1.0767559813697234</v>
      </c>
      <c r="K3">
        <f>LOG(Table1_15[[#This Row],[PFNA]])</f>
        <v>-0.90308998699194354</v>
      </c>
      <c r="L3">
        <f>LOG(Table1_15[[#This Row],[PFOS]])</f>
        <v>0.97638207983771685</v>
      </c>
      <c r="M3" t="e">
        <f>LOG(Table1_15[[#This Row],[PFDA]])</f>
        <v>#NUM!</v>
      </c>
      <c r="N3" t="e">
        <f>LOG(Table1_15[[#This Row],[PFUnA]])</f>
        <v>#NUM!</v>
      </c>
      <c r="O3" t="e">
        <f>LOG(Table1_15[[#This Row],[PFDoA]])</f>
        <v>#NUM!</v>
      </c>
      <c r="P3" t="e">
        <f>LOG(Table1_15[[#This Row],[PFTrDA]])</f>
        <v>#NUM!</v>
      </c>
      <c r="Q3" t="e">
        <f>LOG(Table1_15[[#This Row],[PFTeDA]])</f>
        <v>#NUM!</v>
      </c>
      <c r="R3" t="e">
        <f>LOG(Table1_15[[#This Row],[PFNS]])</f>
        <v>#NUM!</v>
      </c>
      <c r="S3" t="e">
        <f>LOG(Table1_15[[#This Row],[PFDoS]])</f>
        <v>#NUM!</v>
      </c>
      <c r="T3" t="e">
        <f>LOG(Table1_15[[#This Row],[4:2 FTS]])</f>
        <v>#NUM!</v>
      </c>
      <c r="U3" t="e">
        <f>LOG(Table1_15[[#This Row],[8:2 FTS]])</f>
        <v>#NUM!</v>
      </c>
      <c r="V3" t="e">
        <f>LOG(Table1_15[[#This Row],[FOSA]])</f>
        <v>#NUM!</v>
      </c>
      <c r="W3" t="e">
        <f>LOG(Table1_15[[#This Row],[N-MeFOSA]])</f>
        <v>#NUM!</v>
      </c>
      <c r="X3" t="e">
        <f>LOG(Table1_15[[#This Row],[N-MeFOSAA]])</f>
        <v>#NUM!</v>
      </c>
      <c r="Y3" t="e">
        <f>LOG(Table1_15[[#This Row],[N-EtFOSA]])</f>
        <v>#NUM!</v>
      </c>
      <c r="Z3" t="e">
        <f>LOG(Table1_15[[#This Row],[N-EtFOSAA]])</f>
        <v>#NUM!</v>
      </c>
      <c r="AA3" t="e">
        <f>LOG(Table1_15[[#This Row],[N-MeFOSE]])</f>
        <v>#NUM!</v>
      </c>
      <c r="AB3" t="e">
        <f>LOG(Table1_15[[#This Row],[N-EtFOSE]])</f>
        <v>#NUM!</v>
      </c>
      <c r="AC3" t="e">
        <f>LOG(Table1_15[[#This Row],[HFPO-DA]])</f>
        <v>#NUM!</v>
      </c>
      <c r="AD3" t="e">
        <f>LOG(Table1_15[[#This Row],[ADONA]])</f>
        <v>#NUM!</v>
      </c>
      <c r="AE3" t="e">
        <f>LOG(Table1_15[[#This Row],[PFMBA]])</f>
        <v>#NUM!</v>
      </c>
      <c r="AF3" t="e">
        <f>LOG(Table1_15[[#This Row],[NFDHA]])</f>
        <v>#NUM!</v>
      </c>
      <c r="AG3" t="e">
        <f>LOG(Table1_15[[#This Row],[9Cl-PF3ONS]])</f>
        <v>#NUM!</v>
      </c>
      <c r="AH3" t="e">
        <f>LOG(Table1_15[[#This Row],[11Cl-PF3OUdS]])</f>
        <v>#NUM!</v>
      </c>
      <c r="AI3" t="e">
        <f>LOG(Table1_15[[#This Row],[PFEESA]])</f>
        <v>#NUM!</v>
      </c>
      <c r="AJ3" t="e">
        <f>LOG(Table1_15[[#This Row],[3:3 FTCA]])</f>
        <v>#NUM!</v>
      </c>
      <c r="AK3" t="e">
        <f>LOG(Table1_15[[#This Row],[5:3 FTCA]])</f>
        <v>#NUM!</v>
      </c>
      <c r="AL3" t="e">
        <f>LOG(Table1_15[[#This Row],[7:3 FTCA]])</f>
        <v>#NUM!</v>
      </c>
      <c r="AM3" t="e">
        <f>LOG(Table1_15[[#This Row],[PFDS]])</f>
        <v>#NUM!</v>
      </c>
      <c r="AN3" t="e">
        <f>LOG(Table1_15[[#This Row],[PFMPA]])</f>
        <v>#NUM!</v>
      </c>
    </row>
    <row r="4" spans="1:40" x14ac:dyDescent="0.3">
      <c r="A4">
        <f>LOG(Table1_15[[#This Row],[PFBA]])</f>
        <v>-1.2041199826559248</v>
      </c>
      <c r="B4">
        <f>LOG(Table1_15[[#This Row],[PFPeA]])</f>
        <v>-1.2041199826559248</v>
      </c>
      <c r="C4">
        <f>LOG(Table1_15[[#This Row],[PFBS]])</f>
        <v>-0.90308998699194354</v>
      </c>
      <c r="D4">
        <f>LOG(Table1_15[[#This Row],[PFHxA]])</f>
        <v>-1.2041199826559248</v>
      </c>
      <c r="E4">
        <f>LOG(Table1_15[[#This Row],[PFPeS]])</f>
        <v>-1.2041199826559248</v>
      </c>
      <c r="F4">
        <f>LOG(Table1_15[[#This Row],[PFHpA]])</f>
        <v>-1.2041199826559248</v>
      </c>
      <c r="G4">
        <f>LOG(Table1_15[[#This Row],[PFHxS]])</f>
        <v>-0.81389162018679473</v>
      </c>
      <c r="H4">
        <f>LOG(Table1_15[[#This Row],[PFOA]])</f>
        <v>-0.90308998699194354</v>
      </c>
      <c r="I4">
        <f>LOG(Table1_15[[#This Row],[6:2 FTS]])</f>
        <v>-1.1073489661226996</v>
      </c>
      <c r="J4">
        <f>LOG(Table1_15[[#This Row],[PFHpS]])</f>
        <v>-1.3344190089820469</v>
      </c>
      <c r="K4">
        <f>LOG(Table1_15[[#This Row],[PFNA]])</f>
        <v>-0.90308998699194354</v>
      </c>
      <c r="L4">
        <f>LOG(Table1_15[[#This Row],[PFOS]])</f>
        <v>0.10612287400665418</v>
      </c>
      <c r="M4" t="e">
        <f>LOG(Table1_15[[#This Row],[PFDA]])</f>
        <v>#NUM!</v>
      </c>
      <c r="N4" t="e">
        <f>LOG(Table1_15[[#This Row],[PFUnA]])</f>
        <v>#NUM!</v>
      </c>
      <c r="O4" t="e">
        <f>LOG(Table1_15[[#This Row],[PFDoA]])</f>
        <v>#NUM!</v>
      </c>
      <c r="P4" t="e">
        <f>LOG(Table1_15[[#This Row],[PFTrDA]])</f>
        <v>#NUM!</v>
      </c>
      <c r="Q4" t="e">
        <f>LOG(Table1_15[[#This Row],[PFTeDA]])</f>
        <v>#NUM!</v>
      </c>
      <c r="R4" t="e">
        <f>LOG(Table1_15[[#This Row],[PFNS]])</f>
        <v>#NUM!</v>
      </c>
      <c r="S4" t="e">
        <f>LOG(Table1_15[[#This Row],[PFDoS]])</f>
        <v>#NUM!</v>
      </c>
      <c r="T4" t="e">
        <f>LOG(Table1_15[[#This Row],[4:2 FTS]])</f>
        <v>#NUM!</v>
      </c>
      <c r="U4" t="e">
        <f>LOG(Table1_15[[#This Row],[8:2 FTS]])</f>
        <v>#NUM!</v>
      </c>
      <c r="V4" t="e">
        <f>LOG(Table1_15[[#This Row],[FOSA]])</f>
        <v>#NUM!</v>
      </c>
      <c r="W4" t="e">
        <f>LOG(Table1_15[[#This Row],[N-MeFOSA]])</f>
        <v>#NUM!</v>
      </c>
      <c r="X4" t="e">
        <f>LOG(Table1_15[[#This Row],[N-MeFOSAA]])</f>
        <v>#NUM!</v>
      </c>
      <c r="Y4" t="e">
        <f>LOG(Table1_15[[#This Row],[N-EtFOSA]])</f>
        <v>#NUM!</v>
      </c>
      <c r="Z4" t="e">
        <f>LOG(Table1_15[[#This Row],[N-EtFOSAA]])</f>
        <v>#NUM!</v>
      </c>
      <c r="AA4" t="e">
        <f>LOG(Table1_15[[#This Row],[N-MeFOSE]])</f>
        <v>#NUM!</v>
      </c>
      <c r="AB4" t="e">
        <f>LOG(Table1_15[[#This Row],[N-EtFOSE]])</f>
        <v>#NUM!</v>
      </c>
      <c r="AC4" t="e">
        <f>LOG(Table1_15[[#This Row],[HFPO-DA]])</f>
        <v>#NUM!</v>
      </c>
      <c r="AD4" t="e">
        <f>LOG(Table1_15[[#This Row],[ADONA]])</f>
        <v>#NUM!</v>
      </c>
      <c r="AE4" t="e">
        <f>LOG(Table1_15[[#This Row],[PFMBA]])</f>
        <v>#NUM!</v>
      </c>
      <c r="AF4" t="e">
        <f>LOG(Table1_15[[#This Row],[NFDHA]])</f>
        <v>#NUM!</v>
      </c>
      <c r="AG4" t="e">
        <f>LOG(Table1_15[[#This Row],[9Cl-PF3ONS]])</f>
        <v>#NUM!</v>
      </c>
      <c r="AH4" t="e">
        <f>LOG(Table1_15[[#This Row],[11Cl-PF3OUdS]])</f>
        <v>#NUM!</v>
      </c>
      <c r="AI4" t="e">
        <f>LOG(Table1_15[[#This Row],[PFEESA]])</f>
        <v>#NUM!</v>
      </c>
      <c r="AJ4" t="e">
        <f>LOG(Table1_15[[#This Row],[3:3 FTCA]])</f>
        <v>#NUM!</v>
      </c>
      <c r="AK4" t="e">
        <f>LOG(Table1_15[[#This Row],[5:3 FTCA]])</f>
        <v>#NUM!</v>
      </c>
      <c r="AL4" t="e">
        <f>LOG(Table1_15[[#This Row],[7:3 FTCA]])</f>
        <v>#NUM!</v>
      </c>
      <c r="AM4" t="e">
        <f>LOG(Table1_15[[#This Row],[PFDS]])</f>
        <v>#NUM!</v>
      </c>
      <c r="AN4" t="e">
        <f>LOG(Table1_15[[#This Row],[PFMPA]])</f>
        <v>#NUM!</v>
      </c>
    </row>
    <row r="5" spans="1:40" x14ac:dyDescent="0.3">
      <c r="A5">
        <f>LOG(Table1_15[[#This Row],[PFBA]])</f>
        <v>-1.2041199826559248</v>
      </c>
      <c r="B5" t="e">
        <f>LOG(Table1_15[[#This Row],[PFPeA]])</f>
        <v>#NUM!</v>
      </c>
      <c r="C5">
        <f>LOG(Table1_15[[#This Row],[PFBS]])</f>
        <v>-0.47005659834133073</v>
      </c>
      <c r="D5">
        <f>LOG(Table1_15[[#This Row],[PFHxA]])</f>
        <v>-0.65955588515988162</v>
      </c>
      <c r="E5">
        <f>LOG(Table1_15[[#This Row],[PFPeS]])</f>
        <v>-0.58302682739696365</v>
      </c>
      <c r="F5">
        <f>LOG(Table1_15[[#This Row],[PFHpA]])</f>
        <v>-0.66094626429086079</v>
      </c>
      <c r="G5">
        <f>LOG(Table1_15[[#This Row],[PFHxS]])</f>
        <v>0.34533451483989575</v>
      </c>
      <c r="H5">
        <f>LOG(Table1_15[[#This Row],[PFOA]])</f>
        <v>-0.37242933581945692</v>
      </c>
      <c r="I5">
        <f>LOG(Table1_15[[#This Row],[6:2 FTS]])</f>
        <v>-8.0346717689635833E-2</v>
      </c>
      <c r="J5">
        <f>LOG(Table1_15[[#This Row],[PFHpS]])</f>
        <v>-0.47912361831165812</v>
      </c>
      <c r="K5">
        <f>LOG(Table1_15[[#This Row],[PFNA]])</f>
        <v>-0.36061313098231601</v>
      </c>
      <c r="L5">
        <f>LOG(Table1_15[[#This Row],[PFOS]])</f>
        <v>1.4791389251852158</v>
      </c>
      <c r="M5" t="e">
        <f>LOG(Table1_15[[#This Row],[PFDA]])</f>
        <v>#NUM!</v>
      </c>
      <c r="N5" t="e">
        <f>LOG(Table1_15[[#This Row],[PFUnA]])</f>
        <v>#NUM!</v>
      </c>
      <c r="O5" t="e">
        <f>LOG(Table1_15[[#This Row],[PFDoA]])</f>
        <v>#NUM!</v>
      </c>
      <c r="P5" t="e">
        <f>LOG(Table1_15[[#This Row],[PFTrDA]])</f>
        <v>#NUM!</v>
      </c>
      <c r="Q5" t="e">
        <f>LOG(Table1_15[[#This Row],[PFTeDA]])</f>
        <v>#NUM!</v>
      </c>
      <c r="R5" t="e">
        <f>LOG(Table1_15[[#This Row],[PFNS]])</f>
        <v>#NUM!</v>
      </c>
      <c r="S5" t="e">
        <f>LOG(Table1_15[[#This Row],[PFDoS]])</f>
        <v>#NUM!</v>
      </c>
      <c r="T5" t="e">
        <f>LOG(Table1_15[[#This Row],[4:2 FTS]])</f>
        <v>#NUM!</v>
      </c>
      <c r="U5" t="e">
        <f>LOG(Table1_15[[#This Row],[8:2 FTS]])</f>
        <v>#NUM!</v>
      </c>
      <c r="V5" t="e">
        <f>LOG(Table1_15[[#This Row],[FOSA]])</f>
        <v>#NUM!</v>
      </c>
      <c r="W5" t="e">
        <f>LOG(Table1_15[[#This Row],[N-MeFOSA]])</f>
        <v>#NUM!</v>
      </c>
      <c r="X5" t="e">
        <f>LOG(Table1_15[[#This Row],[N-MeFOSAA]])</f>
        <v>#NUM!</v>
      </c>
      <c r="Y5" t="e">
        <f>LOG(Table1_15[[#This Row],[N-EtFOSA]])</f>
        <v>#NUM!</v>
      </c>
      <c r="Z5" t="e">
        <f>LOG(Table1_15[[#This Row],[N-EtFOSAA]])</f>
        <v>#NUM!</v>
      </c>
      <c r="AA5" t="e">
        <f>LOG(Table1_15[[#This Row],[N-MeFOSE]])</f>
        <v>#NUM!</v>
      </c>
      <c r="AB5" t="e">
        <f>LOG(Table1_15[[#This Row],[N-EtFOSE]])</f>
        <v>#NUM!</v>
      </c>
      <c r="AC5" t="e">
        <f>LOG(Table1_15[[#This Row],[HFPO-DA]])</f>
        <v>#NUM!</v>
      </c>
      <c r="AD5" t="e">
        <f>LOG(Table1_15[[#This Row],[ADONA]])</f>
        <v>#NUM!</v>
      </c>
      <c r="AE5" t="e">
        <f>LOG(Table1_15[[#This Row],[PFMBA]])</f>
        <v>#NUM!</v>
      </c>
      <c r="AF5" t="e">
        <f>LOG(Table1_15[[#This Row],[NFDHA]])</f>
        <v>#NUM!</v>
      </c>
      <c r="AG5" t="e">
        <f>LOG(Table1_15[[#This Row],[9Cl-PF3ONS]])</f>
        <v>#NUM!</v>
      </c>
      <c r="AH5" t="e">
        <f>LOG(Table1_15[[#This Row],[11Cl-PF3OUdS]])</f>
        <v>#NUM!</v>
      </c>
      <c r="AI5" t="e">
        <f>LOG(Table1_15[[#This Row],[PFEESA]])</f>
        <v>#NUM!</v>
      </c>
      <c r="AJ5" t="e">
        <f>LOG(Table1_15[[#This Row],[3:3 FTCA]])</f>
        <v>#NUM!</v>
      </c>
      <c r="AK5" t="e">
        <f>LOG(Table1_15[[#This Row],[5:3 FTCA]])</f>
        <v>#NUM!</v>
      </c>
      <c r="AL5" t="e">
        <f>LOG(Table1_15[[#This Row],[7:3 FTCA]])</f>
        <v>#NUM!</v>
      </c>
      <c r="AM5" t="e">
        <f>LOG(Table1_15[[#This Row],[PFDS]])</f>
        <v>#NUM!</v>
      </c>
      <c r="AN5" t="e">
        <f>LOG(Table1_15[[#This Row],[PFMPA]])</f>
        <v>#NUM!</v>
      </c>
    </row>
    <row r="6" spans="1:40" x14ac:dyDescent="0.3">
      <c r="A6">
        <f>LOG(Table1_15[[#This Row],[PFBA]])</f>
        <v>-1.2041199826559248</v>
      </c>
      <c r="B6">
        <f>LOG(Table1_15[[#This Row],[PFPeA]])</f>
        <v>-1.2041199826559248</v>
      </c>
      <c r="C6">
        <f>LOG(Table1_15[[#This Row],[PFBS]])</f>
        <v>-0.90308998699194354</v>
      </c>
      <c r="D6">
        <f>LOG(Table1_15[[#This Row],[PFHxA]])</f>
        <v>-1.2041199826559248</v>
      </c>
      <c r="E6">
        <f>LOG(Table1_15[[#This Row],[PFPeS]])</f>
        <v>-1.2041199826559248</v>
      </c>
      <c r="F6">
        <f>LOG(Table1_15[[#This Row],[PFHpA]])</f>
        <v>-1.2041199826559248</v>
      </c>
      <c r="G6">
        <f>LOG(Table1_15[[#This Row],[PFHxS]])</f>
        <v>-0.75129126439908211</v>
      </c>
      <c r="H6">
        <f>LOG(Table1_15[[#This Row],[PFOA]])</f>
        <v>-0.90308998699194354</v>
      </c>
      <c r="I6">
        <f>LOG(Table1_15[[#This Row],[6:2 FTS]])</f>
        <v>-0.8728952016351923</v>
      </c>
      <c r="J6">
        <f>LOG(Table1_15[[#This Row],[PFHpS]])</f>
        <v>-1.5003129173815961</v>
      </c>
      <c r="K6">
        <f>LOG(Table1_15[[#This Row],[PFNA]])</f>
        <v>-0.90308998699194354</v>
      </c>
      <c r="L6">
        <f>LOG(Table1_15[[#This Row],[PFOS]])</f>
        <v>0.27420404834695339</v>
      </c>
      <c r="M6" t="e">
        <f>LOG(Table1_15[[#This Row],[PFDA]])</f>
        <v>#NUM!</v>
      </c>
      <c r="N6" t="e">
        <f>LOG(Table1_15[[#This Row],[PFUnA]])</f>
        <v>#NUM!</v>
      </c>
      <c r="O6" t="e">
        <f>LOG(Table1_15[[#This Row],[PFDoA]])</f>
        <v>#NUM!</v>
      </c>
      <c r="P6" t="e">
        <f>LOG(Table1_15[[#This Row],[PFTrDA]])</f>
        <v>#NUM!</v>
      </c>
      <c r="Q6" t="e">
        <f>LOG(Table1_15[[#This Row],[PFTeDA]])</f>
        <v>#NUM!</v>
      </c>
      <c r="R6" t="e">
        <f>LOG(Table1_15[[#This Row],[PFNS]])</f>
        <v>#NUM!</v>
      </c>
      <c r="S6" t="e">
        <f>LOG(Table1_15[[#This Row],[PFDoS]])</f>
        <v>#NUM!</v>
      </c>
      <c r="T6" t="e">
        <f>LOG(Table1_15[[#This Row],[4:2 FTS]])</f>
        <v>#NUM!</v>
      </c>
      <c r="U6" t="e">
        <f>LOG(Table1_15[[#This Row],[8:2 FTS]])</f>
        <v>#NUM!</v>
      </c>
      <c r="V6" t="e">
        <f>LOG(Table1_15[[#This Row],[FOSA]])</f>
        <v>#NUM!</v>
      </c>
      <c r="W6" t="e">
        <f>LOG(Table1_15[[#This Row],[N-MeFOSA]])</f>
        <v>#NUM!</v>
      </c>
      <c r="X6" t="e">
        <f>LOG(Table1_15[[#This Row],[N-MeFOSAA]])</f>
        <v>#NUM!</v>
      </c>
      <c r="Y6" t="e">
        <f>LOG(Table1_15[[#This Row],[N-EtFOSA]])</f>
        <v>#NUM!</v>
      </c>
      <c r="Z6" t="e">
        <f>LOG(Table1_15[[#This Row],[N-EtFOSAA]])</f>
        <v>#NUM!</v>
      </c>
      <c r="AA6" t="e">
        <f>LOG(Table1_15[[#This Row],[N-MeFOSE]])</f>
        <v>#NUM!</v>
      </c>
      <c r="AB6" t="e">
        <f>LOG(Table1_15[[#This Row],[N-EtFOSE]])</f>
        <v>#NUM!</v>
      </c>
      <c r="AC6" t="e">
        <f>LOG(Table1_15[[#This Row],[HFPO-DA]])</f>
        <v>#NUM!</v>
      </c>
      <c r="AD6" t="e">
        <f>LOG(Table1_15[[#This Row],[ADONA]])</f>
        <v>#NUM!</v>
      </c>
      <c r="AE6" t="e">
        <f>LOG(Table1_15[[#This Row],[PFMBA]])</f>
        <v>#NUM!</v>
      </c>
      <c r="AF6" t="e">
        <f>LOG(Table1_15[[#This Row],[NFDHA]])</f>
        <v>#NUM!</v>
      </c>
      <c r="AG6" t="e">
        <f>LOG(Table1_15[[#This Row],[9Cl-PF3ONS]])</f>
        <v>#NUM!</v>
      </c>
      <c r="AH6" t="e">
        <f>LOG(Table1_15[[#This Row],[11Cl-PF3OUdS]])</f>
        <v>#NUM!</v>
      </c>
      <c r="AI6" t="e">
        <f>LOG(Table1_15[[#This Row],[PFEESA]])</f>
        <v>#NUM!</v>
      </c>
      <c r="AJ6" t="e">
        <f>LOG(Table1_15[[#This Row],[3:3 FTCA]])</f>
        <v>#NUM!</v>
      </c>
      <c r="AK6" t="e">
        <f>LOG(Table1_15[[#This Row],[5:3 FTCA]])</f>
        <v>#NUM!</v>
      </c>
      <c r="AL6" t="e">
        <f>LOG(Table1_15[[#This Row],[7:3 FTCA]])</f>
        <v>#NUM!</v>
      </c>
      <c r="AM6" t="e">
        <f>LOG(Table1_15[[#This Row],[PFDS]])</f>
        <v>#NUM!</v>
      </c>
      <c r="AN6" t="e">
        <f>LOG(Table1_15[[#This Row],[PFMPA]])</f>
        <v>#NUM!</v>
      </c>
    </row>
    <row r="7" spans="1:40" x14ac:dyDescent="0.3">
      <c r="A7">
        <f>LOG(Table1_15[[#This Row],[PFBA]])</f>
        <v>-1.2041199826559248</v>
      </c>
      <c r="B7">
        <f>LOG(Table1_15[[#This Row],[PFPeA]])</f>
        <v>-0.84832376915295227</v>
      </c>
      <c r="C7">
        <f>LOG(Table1_15[[#This Row],[PFBS]])</f>
        <v>-0.58552805037069733</v>
      </c>
      <c r="D7">
        <f>LOG(Table1_15[[#This Row],[PFHxA]])</f>
        <v>-0.44745345204433956</v>
      </c>
      <c r="E7">
        <f>LOG(Table1_15[[#This Row],[PFPeS]])</f>
        <v>-0.65737995744665201</v>
      </c>
      <c r="F7">
        <f>LOG(Table1_15[[#This Row],[PFHpA]])</f>
        <v>-0.86106605974307637</v>
      </c>
      <c r="G7">
        <f>LOG(Table1_15[[#This Row],[PFHxS]])</f>
        <v>0.15475861915417682</v>
      </c>
      <c r="H7">
        <f>LOG(Table1_15[[#This Row],[PFOA]])</f>
        <v>-0.31488553095346061</v>
      </c>
      <c r="I7">
        <f>LOG(Table1_15[[#This Row],[6:2 FTS]])</f>
        <v>7.3767377403320331E-4</v>
      </c>
      <c r="J7">
        <f>LOG(Table1_15[[#This Row],[PFHpS]])</f>
        <v>-1.0136762229492347</v>
      </c>
      <c r="K7">
        <f>LOG(Table1_15[[#This Row],[PFNA]])</f>
        <v>-0.90308998699194354</v>
      </c>
      <c r="L7">
        <f>LOG(Table1_15[[#This Row],[PFOS]])</f>
        <v>1.0195109242605995</v>
      </c>
      <c r="M7" t="e">
        <f>LOG(Table1_15[[#This Row],[PFDA]])</f>
        <v>#NUM!</v>
      </c>
      <c r="N7" t="e">
        <f>LOG(Table1_15[[#This Row],[PFUnA]])</f>
        <v>#NUM!</v>
      </c>
      <c r="O7" t="e">
        <f>LOG(Table1_15[[#This Row],[PFDoA]])</f>
        <v>#NUM!</v>
      </c>
      <c r="P7" t="e">
        <f>LOG(Table1_15[[#This Row],[PFTrDA]])</f>
        <v>#NUM!</v>
      </c>
      <c r="Q7" t="e">
        <f>LOG(Table1_15[[#This Row],[PFTeDA]])</f>
        <v>#NUM!</v>
      </c>
      <c r="R7" t="e">
        <f>LOG(Table1_15[[#This Row],[PFNS]])</f>
        <v>#NUM!</v>
      </c>
      <c r="S7" t="e">
        <f>LOG(Table1_15[[#This Row],[PFDoS]])</f>
        <v>#NUM!</v>
      </c>
      <c r="T7" t="e">
        <f>LOG(Table1_15[[#This Row],[4:2 FTS]])</f>
        <v>#NUM!</v>
      </c>
      <c r="U7" t="e">
        <f>LOG(Table1_15[[#This Row],[8:2 FTS]])</f>
        <v>#NUM!</v>
      </c>
      <c r="V7" t="e">
        <f>LOG(Table1_15[[#This Row],[FOSA]])</f>
        <v>#NUM!</v>
      </c>
      <c r="W7" t="e">
        <f>LOG(Table1_15[[#This Row],[N-MeFOSA]])</f>
        <v>#NUM!</v>
      </c>
      <c r="X7" t="e">
        <f>LOG(Table1_15[[#This Row],[N-MeFOSAA]])</f>
        <v>#NUM!</v>
      </c>
      <c r="Y7" t="e">
        <f>LOG(Table1_15[[#This Row],[N-EtFOSA]])</f>
        <v>#NUM!</v>
      </c>
      <c r="Z7" t="e">
        <f>LOG(Table1_15[[#This Row],[N-EtFOSAA]])</f>
        <v>#NUM!</v>
      </c>
      <c r="AA7" t="e">
        <f>LOG(Table1_15[[#This Row],[N-MeFOSE]])</f>
        <v>#NUM!</v>
      </c>
      <c r="AB7" t="e">
        <f>LOG(Table1_15[[#This Row],[N-EtFOSE]])</f>
        <v>#NUM!</v>
      </c>
      <c r="AC7" t="e">
        <f>LOG(Table1_15[[#This Row],[HFPO-DA]])</f>
        <v>#NUM!</v>
      </c>
      <c r="AD7" t="e">
        <f>LOG(Table1_15[[#This Row],[ADONA]])</f>
        <v>#NUM!</v>
      </c>
      <c r="AE7" t="e">
        <f>LOG(Table1_15[[#This Row],[PFMBA]])</f>
        <v>#NUM!</v>
      </c>
      <c r="AF7" t="e">
        <f>LOG(Table1_15[[#This Row],[NFDHA]])</f>
        <v>#NUM!</v>
      </c>
      <c r="AG7" t="e">
        <f>LOG(Table1_15[[#This Row],[9Cl-PF3ONS]])</f>
        <v>#NUM!</v>
      </c>
      <c r="AH7" t="e">
        <f>LOG(Table1_15[[#This Row],[11Cl-PF3OUdS]])</f>
        <v>#NUM!</v>
      </c>
      <c r="AI7" t="e">
        <f>LOG(Table1_15[[#This Row],[PFEESA]])</f>
        <v>#NUM!</v>
      </c>
      <c r="AJ7" t="e">
        <f>LOG(Table1_15[[#This Row],[3:3 FTCA]])</f>
        <v>#NUM!</v>
      </c>
      <c r="AK7" t="e">
        <f>LOG(Table1_15[[#This Row],[5:3 FTCA]])</f>
        <v>#NUM!</v>
      </c>
      <c r="AL7" t="e">
        <f>LOG(Table1_15[[#This Row],[7:3 FTCA]])</f>
        <v>#NUM!</v>
      </c>
      <c r="AM7" t="e">
        <f>LOG(Table1_15[[#This Row],[PFDS]])</f>
        <v>#NUM!</v>
      </c>
      <c r="AN7" t="e">
        <f>LOG(Table1_15[[#This Row],[PFMPA]])</f>
        <v>#NUM!</v>
      </c>
    </row>
    <row r="8" spans="1:40" x14ac:dyDescent="0.3">
      <c r="A8">
        <f>LOG(Table1_15[[#This Row],[PFBA]])</f>
        <v>-1.2041199826559248</v>
      </c>
      <c r="B8">
        <f>LOG(Table1_15[[#This Row],[PFPeA]])</f>
        <v>-1.2041199826559248</v>
      </c>
      <c r="C8">
        <f>LOG(Table1_15[[#This Row],[PFBS]])</f>
        <v>-0.90308998699194354</v>
      </c>
      <c r="D8">
        <f>LOG(Table1_15[[#This Row],[PFHxA]])</f>
        <v>-1.2041199826559248</v>
      </c>
      <c r="E8">
        <f>LOG(Table1_15[[#This Row],[PFPeS]])</f>
        <v>-1.2041199826559248</v>
      </c>
      <c r="F8">
        <f>LOG(Table1_15[[#This Row],[PFHpA]])</f>
        <v>-1.2041199826559248</v>
      </c>
      <c r="G8">
        <f>LOG(Table1_15[[#This Row],[PFHxS]])</f>
        <v>-0.71602071576152015</v>
      </c>
      <c r="H8">
        <f>LOG(Table1_15[[#This Row],[PFOA]])</f>
        <v>-0.90308998699194354</v>
      </c>
      <c r="I8">
        <f>LOG(Table1_15[[#This Row],[6:2 FTS]])</f>
        <v>-1.0476919903378747</v>
      </c>
      <c r="J8">
        <f>LOG(Table1_15[[#This Row],[PFHpS]])</f>
        <v>-1.47755576649368</v>
      </c>
      <c r="K8">
        <f>LOG(Table1_15[[#This Row],[PFNA]])</f>
        <v>-0.90308998699194354</v>
      </c>
      <c r="L8">
        <f>LOG(Table1_15[[#This Row],[PFOS]])</f>
        <v>0.28057837036807631</v>
      </c>
      <c r="M8" t="e">
        <f>LOG(Table1_15[[#This Row],[PFDA]])</f>
        <v>#NUM!</v>
      </c>
      <c r="N8" t="e">
        <f>LOG(Table1_15[[#This Row],[PFUnA]])</f>
        <v>#NUM!</v>
      </c>
      <c r="O8" t="e">
        <f>LOG(Table1_15[[#This Row],[PFDoA]])</f>
        <v>#NUM!</v>
      </c>
      <c r="P8" t="e">
        <f>LOG(Table1_15[[#This Row],[PFTrDA]])</f>
        <v>#NUM!</v>
      </c>
      <c r="Q8" t="e">
        <f>LOG(Table1_15[[#This Row],[PFTeDA]])</f>
        <v>#NUM!</v>
      </c>
      <c r="R8" t="e">
        <f>LOG(Table1_15[[#This Row],[PFNS]])</f>
        <v>#NUM!</v>
      </c>
      <c r="S8" t="e">
        <f>LOG(Table1_15[[#This Row],[PFDoS]])</f>
        <v>#NUM!</v>
      </c>
      <c r="T8" t="e">
        <f>LOG(Table1_15[[#This Row],[4:2 FTS]])</f>
        <v>#NUM!</v>
      </c>
      <c r="U8" t="e">
        <f>LOG(Table1_15[[#This Row],[8:2 FTS]])</f>
        <v>#NUM!</v>
      </c>
      <c r="V8" t="e">
        <f>LOG(Table1_15[[#This Row],[FOSA]])</f>
        <v>#NUM!</v>
      </c>
      <c r="W8" t="e">
        <f>LOG(Table1_15[[#This Row],[N-MeFOSA]])</f>
        <v>#NUM!</v>
      </c>
      <c r="X8" t="e">
        <f>LOG(Table1_15[[#This Row],[N-MeFOSAA]])</f>
        <v>#NUM!</v>
      </c>
      <c r="Y8" t="e">
        <f>LOG(Table1_15[[#This Row],[N-EtFOSA]])</f>
        <v>#NUM!</v>
      </c>
      <c r="Z8" t="e">
        <f>LOG(Table1_15[[#This Row],[N-EtFOSAA]])</f>
        <v>#NUM!</v>
      </c>
      <c r="AA8" t="e">
        <f>LOG(Table1_15[[#This Row],[N-MeFOSE]])</f>
        <v>#NUM!</v>
      </c>
      <c r="AB8" t="e">
        <f>LOG(Table1_15[[#This Row],[N-EtFOSE]])</f>
        <v>#NUM!</v>
      </c>
      <c r="AC8" t="e">
        <f>LOG(Table1_15[[#This Row],[HFPO-DA]])</f>
        <v>#NUM!</v>
      </c>
      <c r="AD8" t="e">
        <f>LOG(Table1_15[[#This Row],[ADONA]])</f>
        <v>#NUM!</v>
      </c>
      <c r="AE8" t="e">
        <f>LOG(Table1_15[[#This Row],[PFMBA]])</f>
        <v>#NUM!</v>
      </c>
      <c r="AF8" t="e">
        <f>LOG(Table1_15[[#This Row],[NFDHA]])</f>
        <v>#NUM!</v>
      </c>
      <c r="AG8" t="e">
        <f>LOG(Table1_15[[#This Row],[9Cl-PF3ONS]])</f>
        <v>#NUM!</v>
      </c>
      <c r="AH8" t="e">
        <f>LOG(Table1_15[[#This Row],[11Cl-PF3OUdS]])</f>
        <v>#NUM!</v>
      </c>
      <c r="AI8" t="e">
        <f>LOG(Table1_15[[#This Row],[PFEESA]])</f>
        <v>#NUM!</v>
      </c>
      <c r="AJ8" t="e">
        <f>LOG(Table1_15[[#This Row],[3:3 FTCA]])</f>
        <v>#NUM!</v>
      </c>
      <c r="AK8" t="e">
        <f>LOG(Table1_15[[#This Row],[5:3 FTCA]])</f>
        <v>#NUM!</v>
      </c>
      <c r="AL8" t="e">
        <f>LOG(Table1_15[[#This Row],[7:3 FTCA]])</f>
        <v>#NUM!</v>
      </c>
      <c r="AM8" t="e">
        <f>LOG(Table1_15[[#This Row],[PFDS]])</f>
        <v>#NUM!</v>
      </c>
      <c r="AN8" t="e">
        <f>LOG(Table1_15[[#This Row],[PFMPA]])</f>
        <v>#NUM!</v>
      </c>
    </row>
    <row r="9" spans="1:40" x14ac:dyDescent="0.3">
      <c r="A9">
        <f>LOG(Table1_15[[#This Row],[PFBA]])</f>
        <v>-1.2041199826559248</v>
      </c>
      <c r="B9">
        <f>LOG(Table1_15[[#This Row],[PFPeA]])</f>
        <v>-0.85047298624565215</v>
      </c>
      <c r="C9">
        <f>LOG(Table1_15[[#This Row],[PFBS]])</f>
        <v>-0.34765694493728522</v>
      </c>
      <c r="D9">
        <f>LOG(Table1_15[[#This Row],[PFHxA]])</f>
        <v>-0.41907502432438071</v>
      </c>
      <c r="E9">
        <f>LOG(Table1_15[[#This Row],[PFPeS]])</f>
        <v>-0.64225567481962442</v>
      </c>
      <c r="F9">
        <f>LOG(Table1_15[[#This Row],[PFHpA]])</f>
        <v>-1.2041199826559248</v>
      </c>
      <c r="G9">
        <f>LOG(Table1_15[[#This Row],[PFHxS]])</f>
        <v>0.3084363471676525</v>
      </c>
      <c r="H9">
        <f>LOG(Table1_15[[#This Row],[PFOA]])</f>
        <v>-0.39902710431325172</v>
      </c>
      <c r="I9">
        <f>LOG(Table1_15[[#This Row],[6:2 FTS]])</f>
        <v>0.31860586405505559</v>
      </c>
      <c r="J9">
        <f>LOG(Table1_15[[#This Row],[PFHpS]])</f>
        <v>-0.7203330559515444</v>
      </c>
      <c r="K9">
        <f>LOG(Table1_15[[#This Row],[PFNA]])</f>
        <v>-0.90308998699194354</v>
      </c>
      <c r="L9">
        <f>LOG(Table1_15[[#This Row],[PFOS]])</f>
        <v>1.4482253932795834</v>
      </c>
      <c r="M9" t="e">
        <f>LOG(Table1_15[[#This Row],[PFDA]])</f>
        <v>#NUM!</v>
      </c>
      <c r="N9" t="e">
        <f>LOG(Table1_15[[#This Row],[PFUnA]])</f>
        <v>#NUM!</v>
      </c>
      <c r="O9" t="e">
        <f>LOG(Table1_15[[#This Row],[PFDoA]])</f>
        <v>#NUM!</v>
      </c>
      <c r="P9" t="e">
        <f>LOG(Table1_15[[#This Row],[PFTrDA]])</f>
        <v>#NUM!</v>
      </c>
      <c r="Q9" t="e">
        <f>LOG(Table1_15[[#This Row],[PFTeDA]])</f>
        <v>#NUM!</v>
      </c>
      <c r="R9" t="e">
        <f>LOG(Table1_15[[#This Row],[PFNS]])</f>
        <v>#NUM!</v>
      </c>
      <c r="S9" t="e">
        <f>LOG(Table1_15[[#This Row],[PFDoS]])</f>
        <v>#NUM!</v>
      </c>
      <c r="T9" t="e">
        <f>LOG(Table1_15[[#This Row],[4:2 FTS]])</f>
        <v>#NUM!</v>
      </c>
      <c r="U9" t="e">
        <f>LOG(Table1_15[[#This Row],[8:2 FTS]])</f>
        <v>#NUM!</v>
      </c>
      <c r="V9" t="e">
        <f>LOG(Table1_15[[#This Row],[FOSA]])</f>
        <v>#NUM!</v>
      </c>
      <c r="W9" t="e">
        <f>LOG(Table1_15[[#This Row],[N-MeFOSA]])</f>
        <v>#NUM!</v>
      </c>
      <c r="X9" t="e">
        <f>LOG(Table1_15[[#This Row],[N-MeFOSAA]])</f>
        <v>#NUM!</v>
      </c>
      <c r="Y9" t="e">
        <f>LOG(Table1_15[[#This Row],[N-EtFOSA]])</f>
        <v>#NUM!</v>
      </c>
      <c r="Z9" t="e">
        <f>LOG(Table1_15[[#This Row],[N-EtFOSAA]])</f>
        <v>#NUM!</v>
      </c>
      <c r="AA9" t="e">
        <f>LOG(Table1_15[[#This Row],[N-MeFOSE]])</f>
        <v>#NUM!</v>
      </c>
      <c r="AB9" t="e">
        <f>LOG(Table1_15[[#This Row],[N-EtFOSE]])</f>
        <v>#NUM!</v>
      </c>
      <c r="AC9" t="e">
        <f>LOG(Table1_15[[#This Row],[HFPO-DA]])</f>
        <v>#NUM!</v>
      </c>
      <c r="AD9" t="e">
        <f>LOG(Table1_15[[#This Row],[ADONA]])</f>
        <v>#NUM!</v>
      </c>
      <c r="AE9" t="e">
        <f>LOG(Table1_15[[#This Row],[PFMBA]])</f>
        <v>#NUM!</v>
      </c>
      <c r="AF9" t="e">
        <f>LOG(Table1_15[[#This Row],[NFDHA]])</f>
        <v>#NUM!</v>
      </c>
      <c r="AG9" t="e">
        <f>LOG(Table1_15[[#This Row],[9Cl-PF3ONS]])</f>
        <v>#NUM!</v>
      </c>
      <c r="AH9" t="e">
        <f>LOG(Table1_15[[#This Row],[11Cl-PF3OUdS]])</f>
        <v>#NUM!</v>
      </c>
      <c r="AI9" t="e">
        <f>LOG(Table1_15[[#This Row],[PFEESA]])</f>
        <v>#NUM!</v>
      </c>
      <c r="AJ9" t="e">
        <f>LOG(Table1_15[[#This Row],[3:3 FTCA]])</f>
        <v>#NUM!</v>
      </c>
      <c r="AK9" t="e">
        <f>LOG(Table1_15[[#This Row],[5:3 FTCA]])</f>
        <v>#NUM!</v>
      </c>
      <c r="AL9" t="e">
        <f>LOG(Table1_15[[#This Row],[7:3 FTCA]])</f>
        <v>#NUM!</v>
      </c>
      <c r="AM9" t="e">
        <f>LOG(Table1_15[[#This Row],[PFDS]])</f>
        <v>#NUM!</v>
      </c>
      <c r="AN9" t="e">
        <f>LOG(Table1_15[[#This Row],[PFMPA]])</f>
        <v>#NUM!</v>
      </c>
    </row>
    <row r="10" spans="1:40" x14ac:dyDescent="0.3">
      <c r="A10">
        <f>LOG(Table1_15[[#This Row],[PFBA]])</f>
        <v>-1.2041199826559248</v>
      </c>
      <c r="B10">
        <f>LOG(Table1_15[[#This Row],[PFPeA]])</f>
        <v>-1.2041199826559248</v>
      </c>
      <c r="C10">
        <f>LOG(Table1_15[[#This Row],[PFBS]])</f>
        <v>-0.90308998699194354</v>
      </c>
      <c r="D10">
        <f>LOG(Table1_15[[#This Row],[PFHxA]])</f>
        <v>-0.89380910273658465</v>
      </c>
      <c r="E10">
        <f>LOG(Table1_15[[#This Row],[PFPeS]])</f>
        <v>-1.2041199826559248</v>
      </c>
      <c r="F10">
        <f>LOG(Table1_15[[#This Row],[PFHpA]])</f>
        <v>-1.2041199826559248</v>
      </c>
      <c r="G10">
        <f>LOG(Table1_15[[#This Row],[PFHxS]])</f>
        <v>-0.7956086680807003</v>
      </c>
      <c r="H10">
        <f>LOG(Table1_15[[#This Row],[PFOA]])</f>
        <v>-0.90308998699194354</v>
      </c>
      <c r="I10">
        <f>LOG(Table1_15[[#This Row],[6:2 FTS]])</f>
        <v>-0.59226927197366452</v>
      </c>
      <c r="J10" t="e">
        <f>LOG(Table1_15[[#This Row],[PFHpS]])</f>
        <v>#NUM!</v>
      </c>
      <c r="K10">
        <f>LOG(Table1_15[[#This Row],[PFNA]])</f>
        <v>-0.90308998699194354</v>
      </c>
      <c r="L10">
        <f>LOG(Table1_15[[#This Row],[PFOS]])</f>
        <v>8.7177811761156521E-2</v>
      </c>
      <c r="M10" t="e">
        <f>LOG(Table1_15[[#This Row],[PFDA]])</f>
        <v>#NUM!</v>
      </c>
      <c r="N10" t="e">
        <f>LOG(Table1_15[[#This Row],[PFUnA]])</f>
        <v>#NUM!</v>
      </c>
      <c r="O10" t="e">
        <f>LOG(Table1_15[[#This Row],[PFDoA]])</f>
        <v>#NUM!</v>
      </c>
      <c r="P10" t="e">
        <f>LOG(Table1_15[[#This Row],[PFTrDA]])</f>
        <v>#NUM!</v>
      </c>
      <c r="Q10" t="e">
        <f>LOG(Table1_15[[#This Row],[PFTeDA]])</f>
        <v>#NUM!</v>
      </c>
      <c r="R10" t="e">
        <f>LOG(Table1_15[[#This Row],[PFNS]])</f>
        <v>#NUM!</v>
      </c>
      <c r="S10" t="e">
        <f>LOG(Table1_15[[#This Row],[PFDoS]])</f>
        <v>#NUM!</v>
      </c>
      <c r="T10" t="e">
        <f>LOG(Table1_15[[#This Row],[4:2 FTS]])</f>
        <v>#NUM!</v>
      </c>
      <c r="U10" t="e">
        <f>LOG(Table1_15[[#This Row],[8:2 FTS]])</f>
        <v>#NUM!</v>
      </c>
      <c r="V10" t="e">
        <f>LOG(Table1_15[[#This Row],[FOSA]])</f>
        <v>#NUM!</v>
      </c>
      <c r="W10" t="e">
        <f>LOG(Table1_15[[#This Row],[N-MeFOSA]])</f>
        <v>#NUM!</v>
      </c>
      <c r="X10" t="e">
        <f>LOG(Table1_15[[#This Row],[N-MeFOSAA]])</f>
        <v>#NUM!</v>
      </c>
      <c r="Y10" t="e">
        <f>LOG(Table1_15[[#This Row],[N-EtFOSA]])</f>
        <v>#NUM!</v>
      </c>
      <c r="Z10" t="e">
        <f>LOG(Table1_15[[#This Row],[N-EtFOSAA]])</f>
        <v>#NUM!</v>
      </c>
      <c r="AA10" t="e">
        <f>LOG(Table1_15[[#This Row],[N-MeFOSE]])</f>
        <v>#NUM!</v>
      </c>
      <c r="AB10" t="e">
        <f>LOG(Table1_15[[#This Row],[N-EtFOSE]])</f>
        <v>#NUM!</v>
      </c>
      <c r="AC10" t="e">
        <f>LOG(Table1_15[[#This Row],[HFPO-DA]])</f>
        <v>#NUM!</v>
      </c>
      <c r="AD10" t="e">
        <f>LOG(Table1_15[[#This Row],[ADONA]])</f>
        <v>#NUM!</v>
      </c>
      <c r="AE10" t="e">
        <f>LOG(Table1_15[[#This Row],[PFMBA]])</f>
        <v>#NUM!</v>
      </c>
      <c r="AF10" t="e">
        <f>LOG(Table1_15[[#This Row],[NFDHA]])</f>
        <v>#NUM!</v>
      </c>
      <c r="AG10" t="e">
        <f>LOG(Table1_15[[#This Row],[9Cl-PF3ONS]])</f>
        <v>#NUM!</v>
      </c>
      <c r="AH10" t="e">
        <f>LOG(Table1_15[[#This Row],[11Cl-PF3OUdS]])</f>
        <v>#NUM!</v>
      </c>
      <c r="AI10" t="e">
        <f>LOG(Table1_15[[#This Row],[PFEESA]])</f>
        <v>#NUM!</v>
      </c>
      <c r="AJ10" t="e">
        <f>LOG(Table1_15[[#This Row],[3:3 FTCA]])</f>
        <v>#NUM!</v>
      </c>
      <c r="AK10" t="e">
        <f>LOG(Table1_15[[#This Row],[5:3 FTCA]])</f>
        <v>#NUM!</v>
      </c>
      <c r="AL10" t="e">
        <f>LOG(Table1_15[[#This Row],[7:3 FTCA]])</f>
        <v>#NUM!</v>
      </c>
      <c r="AM10" t="e">
        <f>LOG(Table1_15[[#This Row],[PFDS]])</f>
        <v>#NUM!</v>
      </c>
      <c r="AN10" t="e">
        <f>LOG(Table1_15[[#This Row],[PFMPA]])</f>
        <v>#NUM!</v>
      </c>
    </row>
    <row r="11" spans="1:40" x14ac:dyDescent="0.3">
      <c r="A11">
        <f>LOG(Table1_15[[#This Row],[PFBA]])</f>
        <v>-1.2041199826559248</v>
      </c>
      <c r="B11">
        <f>LOG(Table1_15[[#This Row],[PFPeA]])</f>
        <v>-1.2041199826559248</v>
      </c>
      <c r="C11" t="e">
        <f>LOG(Table1_15[[#This Row],[PFBS]])</f>
        <v>#NUM!</v>
      </c>
      <c r="D11">
        <f>LOG(Table1_15[[#This Row],[PFHxA]])</f>
        <v>-1.2041199826559248</v>
      </c>
      <c r="E11">
        <f>LOG(Table1_15[[#This Row],[PFPeS]])</f>
        <v>-1.2041199826559248</v>
      </c>
      <c r="F11">
        <f>LOG(Table1_15[[#This Row],[PFHpA]])</f>
        <v>-1.2041199826559248</v>
      </c>
      <c r="G11">
        <f>LOG(Table1_15[[#This Row],[PFHxS]])</f>
        <v>-0.61870437699617409</v>
      </c>
      <c r="H11">
        <f>LOG(Table1_15[[#This Row],[PFOA]])</f>
        <v>-0.90308998699194354</v>
      </c>
      <c r="I11">
        <f>LOG(Table1_15[[#This Row],[6:2 FTS]])</f>
        <v>-0.91115543727299575</v>
      </c>
      <c r="J11">
        <f>LOG(Table1_15[[#This Row],[PFHpS]])</f>
        <v>-1.0947439512515487</v>
      </c>
      <c r="K11">
        <f>LOG(Table1_15[[#This Row],[PFNA]])</f>
        <v>-0.90308998699194354</v>
      </c>
      <c r="L11">
        <f>LOG(Table1_15[[#This Row],[PFOS]])</f>
        <v>0.51513173163721315</v>
      </c>
      <c r="M11" t="e">
        <f>LOG(Table1_15[[#This Row],[PFDA]])</f>
        <v>#NUM!</v>
      </c>
      <c r="N11" t="e">
        <f>LOG(Table1_15[[#This Row],[PFUnA]])</f>
        <v>#NUM!</v>
      </c>
      <c r="O11" t="e">
        <f>LOG(Table1_15[[#This Row],[PFDoA]])</f>
        <v>#NUM!</v>
      </c>
      <c r="P11" t="e">
        <f>LOG(Table1_15[[#This Row],[PFTrDA]])</f>
        <v>#NUM!</v>
      </c>
      <c r="Q11" t="e">
        <f>LOG(Table1_15[[#This Row],[PFTeDA]])</f>
        <v>#NUM!</v>
      </c>
      <c r="R11" t="e">
        <f>LOG(Table1_15[[#This Row],[PFNS]])</f>
        <v>#NUM!</v>
      </c>
      <c r="S11" t="e">
        <f>LOG(Table1_15[[#This Row],[PFDoS]])</f>
        <v>#NUM!</v>
      </c>
      <c r="T11" t="e">
        <f>LOG(Table1_15[[#This Row],[4:2 FTS]])</f>
        <v>#NUM!</v>
      </c>
      <c r="U11" t="e">
        <f>LOG(Table1_15[[#This Row],[8:2 FTS]])</f>
        <v>#NUM!</v>
      </c>
      <c r="V11" t="e">
        <f>LOG(Table1_15[[#This Row],[FOSA]])</f>
        <v>#NUM!</v>
      </c>
      <c r="W11" t="e">
        <f>LOG(Table1_15[[#This Row],[N-MeFOSA]])</f>
        <v>#NUM!</v>
      </c>
      <c r="X11" t="e">
        <f>LOG(Table1_15[[#This Row],[N-MeFOSAA]])</f>
        <v>#NUM!</v>
      </c>
      <c r="Y11" t="e">
        <f>LOG(Table1_15[[#This Row],[N-EtFOSA]])</f>
        <v>#NUM!</v>
      </c>
      <c r="Z11" t="e">
        <f>LOG(Table1_15[[#This Row],[N-EtFOSAA]])</f>
        <v>#NUM!</v>
      </c>
      <c r="AA11" t="e">
        <f>LOG(Table1_15[[#This Row],[N-MeFOSE]])</f>
        <v>#NUM!</v>
      </c>
      <c r="AB11" t="e">
        <f>LOG(Table1_15[[#This Row],[N-EtFOSE]])</f>
        <v>#NUM!</v>
      </c>
      <c r="AC11" t="e">
        <f>LOG(Table1_15[[#This Row],[HFPO-DA]])</f>
        <v>#NUM!</v>
      </c>
      <c r="AD11" t="e">
        <f>LOG(Table1_15[[#This Row],[ADONA]])</f>
        <v>#NUM!</v>
      </c>
      <c r="AE11" t="e">
        <f>LOG(Table1_15[[#This Row],[PFMBA]])</f>
        <v>#NUM!</v>
      </c>
      <c r="AF11" t="e">
        <f>LOG(Table1_15[[#This Row],[NFDHA]])</f>
        <v>#NUM!</v>
      </c>
      <c r="AG11" t="e">
        <f>LOG(Table1_15[[#This Row],[9Cl-PF3ONS]])</f>
        <v>#NUM!</v>
      </c>
      <c r="AH11" t="e">
        <f>LOG(Table1_15[[#This Row],[11Cl-PF3OUdS]])</f>
        <v>#NUM!</v>
      </c>
      <c r="AI11" t="e">
        <f>LOG(Table1_15[[#This Row],[PFEESA]])</f>
        <v>#NUM!</v>
      </c>
      <c r="AJ11" t="e">
        <f>LOG(Table1_15[[#This Row],[3:3 FTCA]])</f>
        <v>#NUM!</v>
      </c>
      <c r="AK11" t="e">
        <f>LOG(Table1_15[[#This Row],[5:3 FTCA]])</f>
        <v>#NUM!</v>
      </c>
      <c r="AL11" t="e">
        <f>LOG(Table1_15[[#This Row],[7:3 FTCA]])</f>
        <v>#NUM!</v>
      </c>
      <c r="AM11" t="e">
        <f>LOG(Table1_15[[#This Row],[PFDS]])</f>
        <v>#NUM!</v>
      </c>
      <c r="AN11" t="e">
        <f>LOG(Table1_15[[#This Row],[PFMPA]])</f>
        <v>#NUM!</v>
      </c>
    </row>
    <row r="12" spans="1:40" x14ac:dyDescent="0.3">
      <c r="A12">
        <f>LOG(Table1_15[[#This Row],[PFBA]])</f>
        <v>-1.2041199826559248</v>
      </c>
      <c r="B12" t="e">
        <f>LOG(Table1_15[[#This Row],[PFPeA]])</f>
        <v>#NUM!</v>
      </c>
      <c r="C12">
        <f>LOG(Table1_15[[#This Row],[PFBS]])</f>
        <v>-0.43592602102285327</v>
      </c>
      <c r="D12">
        <f>LOG(Table1_15[[#This Row],[PFHxA]])</f>
        <v>-0.44430110528109862</v>
      </c>
      <c r="E12">
        <f>LOG(Table1_15[[#This Row],[PFPeS]])</f>
        <v>-0.4788619162959637</v>
      </c>
      <c r="F12">
        <f>LOG(Table1_15[[#This Row],[PFHpA]])</f>
        <v>-0.6587633767613077</v>
      </c>
      <c r="G12">
        <f>LOG(Table1_15[[#This Row],[PFHxS]])</f>
        <v>0.54930985891949802</v>
      </c>
      <c r="H12">
        <f>LOG(Table1_15[[#This Row],[PFOA]])</f>
        <v>-0.37437891857509231</v>
      </c>
      <c r="I12">
        <f>LOG(Table1_15[[#This Row],[6:2 FTS]])</f>
        <v>0.13687903987551719</v>
      </c>
      <c r="J12">
        <f>LOG(Table1_15[[#This Row],[PFHpS]])</f>
        <v>-0.48678239993206096</v>
      </c>
      <c r="K12">
        <f>LOG(Table1_15[[#This Row],[PFNA]])</f>
        <v>-0.88339225601175153</v>
      </c>
      <c r="L12">
        <f>LOG(Table1_15[[#This Row],[PFOS]])</f>
        <v>1.7069310376722018</v>
      </c>
      <c r="M12" t="e">
        <f>LOG(Table1_15[[#This Row],[PFDA]])</f>
        <v>#NUM!</v>
      </c>
      <c r="N12" t="e">
        <f>LOG(Table1_15[[#This Row],[PFUnA]])</f>
        <v>#NUM!</v>
      </c>
      <c r="O12" t="e">
        <f>LOG(Table1_15[[#This Row],[PFDoA]])</f>
        <v>#NUM!</v>
      </c>
      <c r="P12" t="e">
        <f>LOG(Table1_15[[#This Row],[PFTrDA]])</f>
        <v>#NUM!</v>
      </c>
      <c r="Q12" t="e">
        <f>LOG(Table1_15[[#This Row],[PFTeDA]])</f>
        <v>#NUM!</v>
      </c>
      <c r="R12" t="e">
        <f>LOG(Table1_15[[#This Row],[PFNS]])</f>
        <v>#NUM!</v>
      </c>
      <c r="S12" t="e">
        <f>LOG(Table1_15[[#This Row],[PFDoS]])</f>
        <v>#NUM!</v>
      </c>
      <c r="T12" t="e">
        <f>LOG(Table1_15[[#This Row],[4:2 FTS]])</f>
        <v>#NUM!</v>
      </c>
      <c r="U12" t="e">
        <f>LOG(Table1_15[[#This Row],[8:2 FTS]])</f>
        <v>#NUM!</v>
      </c>
      <c r="V12" t="e">
        <f>LOG(Table1_15[[#This Row],[FOSA]])</f>
        <v>#NUM!</v>
      </c>
      <c r="W12" t="e">
        <f>LOG(Table1_15[[#This Row],[N-MeFOSA]])</f>
        <v>#NUM!</v>
      </c>
      <c r="X12" t="e">
        <f>LOG(Table1_15[[#This Row],[N-MeFOSAA]])</f>
        <v>#NUM!</v>
      </c>
      <c r="Y12" t="e">
        <f>LOG(Table1_15[[#This Row],[N-EtFOSA]])</f>
        <v>#NUM!</v>
      </c>
      <c r="Z12" t="e">
        <f>LOG(Table1_15[[#This Row],[N-EtFOSAA]])</f>
        <v>#NUM!</v>
      </c>
      <c r="AA12" t="e">
        <f>LOG(Table1_15[[#This Row],[N-MeFOSE]])</f>
        <v>#NUM!</v>
      </c>
      <c r="AB12" t="e">
        <f>LOG(Table1_15[[#This Row],[N-EtFOSE]])</f>
        <v>#NUM!</v>
      </c>
      <c r="AC12" t="e">
        <f>LOG(Table1_15[[#This Row],[HFPO-DA]])</f>
        <v>#NUM!</v>
      </c>
      <c r="AD12" t="e">
        <f>LOG(Table1_15[[#This Row],[ADONA]])</f>
        <v>#NUM!</v>
      </c>
      <c r="AE12" t="e">
        <f>LOG(Table1_15[[#This Row],[PFMBA]])</f>
        <v>#NUM!</v>
      </c>
      <c r="AF12" t="e">
        <f>LOG(Table1_15[[#This Row],[NFDHA]])</f>
        <v>#NUM!</v>
      </c>
      <c r="AG12" t="e">
        <f>LOG(Table1_15[[#This Row],[9Cl-PF3ONS]])</f>
        <v>#NUM!</v>
      </c>
      <c r="AH12" t="e">
        <f>LOG(Table1_15[[#This Row],[11Cl-PF3OUdS]])</f>
        <v>#NUM!</v>
      </c>
      <c r="AI12" t="e">
        <f>LOG(Table1_15[[#This Row],[PFEESA]])</f>
        <v>#NUM!</v>
      </c>
      <c r="AJ12" t="e">
        <f>LOG(Table1_15[[#This Row],[3:3 FTCA]])</f>
        <v>#NUM!</v>
      </c>
      <c r="AK12" t="e">
        <f>LOG(Table1_15[[#This Row],[5:3 FTCA]])</f>
        <v>#NUM!</v>
      </c>
      <c r="AL12" t="e">
        <f>LOG(Table1_15[[#This Row],[7:3 FTCA]])</f>
        <v>#NUM!</v>
      </c>
      <c r="AM12" t="e">
        <f>LOG(Table1_15[[#This Row],[PFDS]])</f>
        <v>#NUM!</v>
      </c>
      <c r="AN12" t="e">
        <f>LOG(Table1_15[[#This Row],[PFMPA]])</f>
        <v>#NUM!</v>
      </c>
    </row>
    <row r="13" spans="1:40" x14ac:dyDescent="0.3">
      <c r="A13">
        <f>LOG(Table1_15[[#This Row],[PFBA]])</f>
        <v>-1.2041199826559248</v>
      </c>
      <c r="B13">
        <f>LOG(Table1_15[[#This Row],[PFPeA]])</f>
        <v>-1.2041199826559248</v>
      </c>
      <c r="C13">
        <f>LOG(Table1_15[[#This Row],[PFBS]])</f>
        <v>-0.90308998699194354</v>
      </c>
      <c r="D13">
        <f>LOG(Table1_15[[#This Row],[PFHxA]])</f>
        <v>-1.2041199826559248</v>
      </c>
      <c r="E13">
        <f>LOG(Table1_15[[#This Row],[PFPeS]])</f>
        <v>-1.2041199826559248</v>
      </c>
      <c r="F13">
        <f>LOG(Table1_15[[#This Row],[PFHpA]])</f>
        <v>-1.2041199826559248</v>
      </c>
      <c r="G13">
        <f>LOG(Table1_15[[#This Row],[PFHxS]])</f>
        <v>-0.52403841080757618</v>
      </c>
      <c r="H13">
        <f>LOG(Table1_15[[#This Row],[PFOA]])</f>
        <v>-0.90308998699194354</v>
      </c>
      <c r="I13">
        <f>LOG(Table1_15[[#This Row],[6:2 FTS]])</f>
        <v>-1.1598939055432422</v>
      </c>
      <c r="J13">
        <f>LOG(Table1_15[[#This Row],[PFHpS]])</f>
        <v>-1.2992962828549806</v>
      </c>
      <c r="K13">
        <f>LOG(Table1_15[[#This Row],[PFNA]])</f>
        <v>-0.90308998699194354</v>
      </c>
      <c r="L13">
        <f>LOG(Table1_15[[#This Row],[PFOS]])</f>
        <v>0.77692626158937284</v>
      </c>
      <c r="M13" t="e">
        <f>LOG(Table1_15[[#This Row],[PFDA]])</f>
        <v>#NUM!</v>
      </c>
      <c r="N13" t="e">
        <f>LOG(Table1_15[[#This Row],[PFUnA]])</f>
        <v>#NUM!</v>
      </c>
      <c r="O13" t="e">
        <f>LOG(Table1_15[[#This Row],[PFDoA]])</f>
        <v>#NUM!</v>
      </c>
      <c r="P13" t="e">
        <f>LOG(Table1_15[[#This Row],[PFTrDA]])</f>
        <v>#NUM!</v>
      </c>
      <c r="Q13" t="e">
        <f>LOG(Table1_15[[#This Row],[PFTeDA]])</f>
        <v>#NUM!</v>
      </c>
      <c r="R13" t="e">
        <f>LOG(Table1_15[[#This Row],[PFNS]])</f>
        <v>#NUM!</v>
      </c>
      <c r="S13" t="e">
        <f>LOG(Table1_15[[#This Row],[PFDoS]])</f>
        <v>#NUM!</v>
      </c>
      <c r="T13" t="e">
        <f>LOG(Table1_15[[#This Row],[4:2 FTS]])</f>
        <v>#NUM!</v>
      </c>
      <c r="U13" t="e">
        <f>LOG(Table1_15[[#This Row],[8:2 FTS]])</f>
        <v>#NUM!</v>
      </c>
      <c r="V13" t="e">
        <f>LOG(Table1_15[[#This Row],[FOSA]])</f>
        <v>#NUM!</v>
      </c>
      <c r="W13" t="e">
        <f>LOG(Table1_15[[#This Row],[N-MeFOSA]])</f>
        <v>#NUM!</v>
      </c>
      <c r="X13" t="e">
        <f>LOG(Table1_15[[#This Row],[N-MeFOSAA]])</f>
        <v>#NUM!</v>
      </c>
      <c r="Y13" t="e">
        <f>LOG(Table1_15[[#This Row],[N-EtFOSA]])</f>
        <v>#NUM!</v>
      </c>
      <c r="Z13" t="e">
        <f>LOG(Table1_15[[#This Row],[N-EtFOSAA]])</f>
        <v>#NUM!</v>
      </c>
      <c r="AA13" t="e">
        <f>LOG(Table1_15[[#This Row],[N-MeFOSE]])</f>
        <v>#NUM!</v>
      </c>
      <c r="AB13" t="e">
        <f>LOG(Table1_15[[#This Row],[N-EtFOSE]])</f>
        <v>#NUM!</v>
      </c>
      <c r="AC13" t="e">
        <f>LOG(Table1_15[[#This Row],[HFPO-DA]])</f>
        <v>#NUM!</v>
      </c>
      <c r="AD13" t="e">
        <f>LOG(Table1_15[[#This Row],[ADONA]])</f>
        <v>#NUM!</v>
      </c>
      <c r="AE13" t="e">
        <f>LOG(Table1_15[[#This Row],[PFMBA]])</f>
        <v>#NUM!</v>
      </c>
      <c r="AF13" t="e">
        <f>LOG(Table1_15[[#This Row],[NFDHA]])</f>
        <v>#NUM!</v>
      </c>
      <c r="AG13" t="e">
        <f>LOG(Table1_15[[#This Row],[9Cl-PF3ONS]])</f>
        <v>#NUM!</v>
      </c>
      <c r="AH13" t="e">
        <f>LOG(Table1_15[[#This Row],[11Cl-PF3OUdS]])</f>
        <v>#NUM!</v>
      </c>
      <c r="AI13" t="e">
        <f>LOG(Table1_15[[#This Row],[PFEESA]])</f>
        <v>#NUM!</v>
      </c>
      <c r="AJ13" t="e">
        <f>LOG(Table1_15[[#This Row],[3:3 FTCA]])</f>
        <v>#NUM!</v>
      </c>
      <c r="AK13" t="e">
        <f>LOG(Table1_15[[#This Row],[5:3 FTCA]])</f>
        <v>#NUM!</v>
      </c>
      <c r="AL13" t="e">
        <f>LOG(Table1_15[[#This Row],[7:3 FTCA]])</f>
        <v>#NUM!</v>
      </c>
      <c r="AM13" t="e">
        <f>LOG(Table1_15[[#This Row],[PFDS]])</f>
        <v>#NUM!</v>
      </c>
      <c r="AN13" t="e">
        <f>LOG(Table1_15[[#This Row],[PFMPA]])</f>
        <v>#NUM!</v>
      </c>
    </row>
    <row r="14" spans="1:40" x14ac:dyDescent="0.3">
      <c r="A14">
        <f>LOG(Table1_15[[#This Row],[PFBA]])</f>
        <v>-1.2041199826559248</v>
      </c>
      <c r="B14">
        <f>LOG(Table1_15[[#This Row],[PFPeA]])</f>
        <v>-0.88505558428741526</v>
      </c>
      <c r="C14">
        <f>LOG(Table1_15[[#This Row],[PFBS]])</f>
        <v>-0.90308998699194354</v>
      </c>
      <c r="D14">
        <f>LOG(Table1_15[[#This Row],[PFHxA]])</f>
        <v>-0.59722293038965257</v>
      </c>
      <c r="E14">
        <f>LOG(Table1_15[[#This Row],[PFPeS]])</f>
        <v>-0.75995022788735234</v>
      </c>
      <c r="F14">
        <f>LOG(Table1_15[[#This Row],[PFHpA]])</f>
        <v>-0.88572270343841375</v>
      </c>
      <c r="G14">
        <f>LOG(Table1_15[[#This Row],[PFHxS]])</f>
        <v>3.4605321095064891E-3</v>
      </c>
      <c r="H14">
        <f>LOG(Table1_15[[#This Row],[PFOA]])</f>
        <v>-0.43027505077384109</v>
      </c>
      <c r="I14">
        <f>LOG(Table1_15[[#This Row],[6:2 FTS]])</f>
        <v>-0.24565166428898116</v>
      </c>
      <c r="J14">
        <f>LOG(Table1_15[[#This Row],[PFHpS]])</f>
        <v>-1.0159229660971691</v>
      </c>
      <c r="K14">
        <f>LOG(Table1_15[[#This Row],[PFNA]])</f>
        <v>-0.90308998699194354</v>
      </c>
      <c r="L14">
        <f>LOG(Table1_15[[#This Row],[PFOS]])</f>
        <v>1.2349599572129459</v>
      </c>
      <c r="M14" t="e">
        <f>LOG(Table1_15[[#This Row],[PFDA]])</f>
        <v>#NUM!</v>
      </c>
      <c r="N14" t="e">
        <f>LOG(Table1_15[[#This Row],[PFUnA]])</f>
        <v>#NUM!</v>
      </c>
      <c r="O14" t="e">
        <f>LOG(Table1_15[[#This Row],[PFDoA]])</f>
        <v>#NUM!</v>
      </c>
      <c r="P14" t="e">
        <f>LOG(Table1_15[[#This Row],[PFTrDA]])</f>
        <v>#NUM!</v>
      </c>
      <c r="Q14" t="e">
        <f>LOG(Table1_15[[#This Row],[PFTeDA]])</f>
        <v>#NUM!</v>
      </c>
      <c r="R14" t="e">
        <f>LOG(Table1_15[[#This Row],[PFNS]])</f>
        <v>#NUM!</v>
      </c>
      <c r="S14" t="e">
        <f>LOG(Table1_15[[#This Row],[PFDoS]])</f>
        <v>#NUM!</v>
      </c>
      <c r="T14" t="e">
        <f>LOG(Table1_15[[#This Row],[4:2 FTS]])</f>
        <v>#NUM!</v>
      </c>
      <c r="U14" t="e">
        <f>LOG(Table1_15[[#This Row],[8:2 FTS]])</f>
        <v>#NUM!</v>
      </c>
      <c r="V14" t="e">
        <f>LOG(Table1_15[[#This Row],[FOSA]])</f>
        <v>#NUM!</v>
      </c>
      <c r="W14" t="e">
        <f>LOG(Table1_15[[#This Row],[N-MeFOSA]])</f>
        <v>#NUM!</v>
      </c>
      <c r="X14" t="e">
        <f>LOG(Table1_15[[#This Row],[N-MeFOSAA]])</f>
        <v>#NUM!</v>
      </c>
      <c r="Y14" t="e">
        <f>LOG(Table1_15[[#This Row],[N-EtFOSA]])</f>
        <v>#NUM!</v>
      </c>
      <c r="Z14" t="e">
        <f>LOG(Table1_15[[#This Row],[N-EtFOSAA]])</f>
        <v>#NUM!</v>
      </c>
      <c r="AA14" t="e">
        <f>LOG(Table1_15[[#This Row],[N-MeFOSE]])</f>
        <v>#NUM!</v>
      </c>
      <c r="AB14" t="e">
        <f>LOG(Table1_15[[#This Row],[N-EtFOSE]])</f>
        <v>#NUM!</v>
      </c>
      <c r="AC14" t="e">
        <f>LOG(Table1_15[[#This Row],[HFPO-DA]])</f>
        <v>#NUM!</v>
      </c>
      <c r="AD14" t="e">
        <f>LOG(Table1_15[[#This Row],[ADONA]])</f>
        <v>#NUM!</v>
      </c>
      <c r="AE14" t="e">
        <f>LOG(Table1_15[[#This Row],[PFMBA]])</f>
        <v>#NUM!</v>
      </c>
      <c r="AF14" t="e">
        <f>LOG(Table1_15[[#This Row],[NFDHA]])</f>
        <v>#NUM!</v>
      </c>
      <c r="AG14" t="e">
        <f>LOG(Table1_15[[#This Row],[9Cl-PF3ONS]])</f>
        <v>#NUM!</v>
      </c>
      <c r="AH14" t="e">
        <f>LOG(Table1_15[[#This Row],[11Cl-PF3OUdS]])</f>
        <v>#NUM!</v>
      </c>
      <c r="AI14" t="e">
        <f>LOG(Table1_15[[#This Row],[PFEESA]])</f>
        <v>#NUM!</v>
      </c>
      <c r="AJ14" t="e">
        <f>LOG(Table1_15[[#This Row],[3:3 FTCA]])</f>
        <v>#NUM!</v>
      </c>
      <c r="AK14" t="e">
        <f>LOG(Table1_15[[#This Row],[5:3 FTCA]])</f>
        <v>#NUM!</v>
      </c>
      <c r="AL14" t="e">
        <f>LOG(Table1_15[[#This Row],[7:3 FTCA]])</f>
        <v>#NUM!</v>
      </c>
      <c r="AM14" t="e">
        <f>LOG(Table1_15[[#This Row],[PFDS]])</f>
        <v>#NUM!</v>
      </c>
      <c r="AN14" t="e">
        <f>LOG(Table1_15[[#This Row],[PFMPA]])</f>
        <v>#NUM!</v>
      </c>
    </row>
    <row r="15" spans="1:40" x14ac:dyDescent="0.3">
      <c r="A15">
        <f>LOG(Table1_15[[#This Row],[PFBA]])</f>
        <v>-1.2041199826559248</v>
      </c>
      <c r="B15">
        <f>LOG(Table1_15[[#This Row],[PFPeA]])</f>
        <v>-1.2041199826559248</v>
      </c>
      <c r="C15">
        <f>LOG(Table1_15[[#This Row],[PFBS]])</f>
        <v>-0.90308998699194354</v>
      </c>
      <c r="D15">
        <f>LOG(Table1_15[[#This Row],[PFHxA]])</f>
        <v>-1.2041199826559248</v>
      </c>
      <c r="E15">
        <f>LOG(Table1_15[[#This Row],[PFPeS]])</f>
        <v>-1.2041199826559248</v>
      </c>
      <c r="F15">
        <f>LOG(Table1_15[[#This Row],[PFHpA]])</f>
        <v>-1.2041199826559248</v>
      </c>
      <c r="G15">
        <f>LOG(Table1_15[[#This Row],[PFHxS]])</f>
        <v>-0.6032777214962266</v>
      </c>
      <c r="H15">
        <f>LOG(Table1_15[[#This Row],[PFOA]])</f>
        <v>-0.90308998699194354</v>
      </c>
      <c r="I15">
        <f>LOG(Table1_15[[#This Row],[6:2 FTS]])</f>
        <v>-1.0467236633326955</v>
      </c>
      <c r="J15">
        <f>LOG(Table1_15[[#This Row],[PFHpS]])</f>
        <v>-1.3605135107314139</v>
      </c>
      <c r="K15">
        <f>LOG(Table1_15[[#This Row],[PFNA]])</f>
        <v>-0.90308998699194354</v>
      </c>
      <c r="L15">
        <f>LOG(Table1_15[[#This Row],[PFOS]])</f>
        <v>0.51081301051249617</v>
      </c>
      <c r="M15" t="e">
        <f>LOG(Table1_15[[#This Row],[PFDA]])</f>
        <v>#NUM!</v>
      </c>
      <c r="N15" t="e">
        <f>LOG(Table1_15[[#This Row],[PFUnA]])</f>
        <v>#NUM!</v>
      </c>
      <c r="O15" t="e">
        <f>LOG(Table1_15[[#This Row],[PFDoA]])</f>
        <v>#NUM!</v>
      </c>
      <c r="P15" t="e">
        <f>LOG(Table1_15[[#This Row],[PFTrDA]])</f>
        <v>#NUM!</v>
      </c>
      <c r="Q15" t="e">
        <f>LOG(Table1_15[[#This Row],[PFTeDA]])</f>
        <v>#NUM!</v>
      </c>
      <c r="R15" t="e">
        <f>LOG(Table1_15[[#This Row],[PFNS]])</f>
        <v>#NUM!</v>
      </c>
      <c r="S15" t="e">
        <f>LOG(Table1_15[[#This Row],[PFDoS]])</f>
        <v>#NUM!</v>
      </c>
      <c r="T15" t="e">
        <f>LOG(Table1_15[[#This Row],[4:2 FTS]])</f>
        <v>#NUM!</v>
      </c>
      <c r="U15" t="e">
        <f>LOG(Table1_15[[#This Row],[8:2 FTS]])</f>
        <v>#NUM!</v>
      </c>
      <c r="V15" t="e">
        <f>LOG(Table1_15[[#This Row],[FOSA]])</f>
        <v>#NUM!</v>
      </c>
      <c r="W15" t="e">
        <f>LOG(Table1_15[[#This Row],[N-MeFOSA]])</f>
        <v>#NUM!</v>
      </c>
      <c r="X15" t="e">
        <f>LOG(Table1_15[[#This Row],[N-MeFOSAA]])</f>
        <v>#NUM!</v>
      </c>
      <c r="Y15" t="e">
        <f>LOG(Table1_15[[#This Row],[N-EtFOSA]])</f>
        <v>#NUM!</v>
      </c>
      <c r="Z15" t="e">
        <f>LOG(Table1_15[[#This Row],[N-EtFOSAA]])</f>
        <v>#NUM!</v>
      </c>
      <c r="AA15" t="e">
        <f>LOG(Table1_15[[#This Row],[N-MeFOSE]])</f>
        <v>#NUM!</v>
      </c>
      <c r="AB15" t="e">
        <f>LOG(Table1_15[[#This Row],[N-EtFOSE]])</f>
        <v>#NUM!</v>
      </c>
      <c r="AC15" t="e">
        <f>LOG(Table1_15[[#This Row],[HFPO-DA]])</f>
        <v>#NUM!</v>
      </c>
      <c r="AD15" t="e">
        <f>LOG(Table1_15[[#This Row],[ADONA]])</f>
        <v>#NUM!</v>
      </c>
      <c r="AE15" t="e">
        <f>LOG(Table1_15[[#This Row],[PFMBA]])</f>
        <v>#NUM!</v>
      </c>
      <c r="AF15" t="e">
        <f>LOG(Table1_15[[#This Row],[NFDHA]])</f>
        <v>#NUM!</v>
      </c>
      <c r="AG15" t="e">
        <f>LOG(Table1_15[[#This Row],[9Cl-PF3ONS]])</f>
        <v>#NUM!</v>
      </c>
      <c r="AH15" t="e">
        <f>LOG(Table1_15[[#This Row],[11Cl-PF3OUdS]])</f>
        <v>#NUM!</v>
      </c>
      <c r="AI15" t="e">
        <f>LOG(Table1_15[[#This Row],[PFEESA]])</f>
        <v>#NUM!</v>
      </c>
      <c r="AJ15" t="e">
        <f>LOG(Table1_15[[#This Row],[3:3 FTCA]])</f>
        <v>#NUM!</v>
      </c>
      <c r="AK15" t="e">
        <f>LOG(Table1_15[[#This Row],[5:3 FTCA]])</f>
        <v>#NUM!</v>
      </c>
      <c r="AL15" t="e">
        <f>LOG(Table1_15[[#This Row],[7:3 FTCA]])</f>
        <v>#NUM!</v>
      </c>
      <c r="AM15" t="e">
        <f>LOG(Table1_15[[#This Row],[PFDS]])</f>
        <v>#NUM!</v>
      </c>
      <c r="AN15" t="e">
        <f>LOG(Table1_15[[#This Row],[PFMPA]])</f>
        <v>#NUM!</v>
      </c>
    </row>
    <row r="16" spans="1:40" x14ac:dyDescent="0.3">
      <c r="A16">
        <f>LOG(Table1_15[[#This Row],[PFBA]])</f>
        <v>-1.2041199826559248</v>
      </c>
      <c r="B16">
        <f>LOG(Table1_15[[#This Row],[PFPeA]])</f>
        <v>-1.2041199826559248</v>
      </c>
      <c r="C16">
        <f>LOG(Table1_15[[#This Row],[PFBS]])</f>
        <v>-0.52768245368315814</v>
      </c>
      <c r="D16">
        <f>LOG(Table1_15[[#This Row],[PFHxA]])</f>
        <v>-0.51088563062108061</v>
      </c>
      <c r="E16">
        <f>LOG(Table1_15[[#This Row],[PFPeS]])</f>
        <v>-0.53760200210104392</v>
      </c>
      <c r="F16">
        <f>LOG(Table1_15[[#This Row],[PFHpA]])</f>
        <v>-0.88941028970075098</v>
      </c>
      <c r="G16">
        <f>LOG(Table1_15[[#This Row],[PFHxS]])</f>
        <v>0.22057875463282922</v>
      </c>
      <c r="H16">
        <f>LOG(Table1_15[[#This Row],[PFOA]])</f>
        <v>-0.37048846579954681</v>
      </c>
      <c r="I16">
        <f>LOG(Table1_15[[#This Row],[6:2 FTS]])</f>
        <v>-8.3335535458602825E-2</v>
      </c>
      <c r="J16">
        <f>LOG(Table1_15[[#This Row],[PFHpS]])</f>
        <v>-0.41072077876403273</v>
      </c>
      <c r="K16">
        <f>LOG(Table1_15[[#This Row],[PFNA]])</f>
        <v>-0.90308998699194354</v>
      </c>
      <c r="L16">
        <f>LOG(Table1_15[[#This Row],[PFOS]])</f>
        <v>1.0689572553448869</v>
      </c>
      <c r="M16" t="e">
        <f>LOG(Table1_15[[#This Row],[PFDA]])</f>
        <v>#NUM!</v>
      </c>
      <c r="N16" t="e">
        <f>LOG(Table1_15[[#This Row],[PFUnA]])</f>
        <v>#NUM!</v>
      </c>
      <c r="O16" t="e">
        <f>LOG(Table1_15[[#This Row],[PFDoA]])</f>
        <v>#NUM!</v>
      </c>
      <c r="P16" t="e">
        <f>LOG(Table1_15[[#This Row],[PFTrDA]])</f>
        <v>#NUM!</v>
      </c>
      <c r="Q16" t="e">
        <f>LOG(Table1_15[[#This Row],[PFTeDA]])</f>
        <v>#NUM!</v>
      </c>
      <c r="R16" t="e">
        <f>LOG(Table1_15[[#This Row],[PFNS]])</f>
        <v>#NUM!</v>
      </c>
      <c r="S16" t="e">
        <f>LOG(Table1_15[[#This Row],[PFDoS]])</f>
        <v>#NUM!</v>
      </c>
      <c r="T16" t="e">
        <f>LOG(Table1_15[[#This Row],[4:2 FTS]])</f>
        <v>#NUM!</v>
      </c>
      <c r="U16" t="e">
        <f>LOG(Table1_15[[#This Row],[8:2 FTS]])</f>
        <v>#NUM!</v>
      </c>
      <c r="V16" t="e">
        <f>LOG(Table1_15[[#This Row],[FOSA]])</f>
        <v>#NUM!</v>
      </c>
      <c r="W16" t="e">
        <f>LOG(Table1_15[[#This Row],[N-MeFOSA]])</f>
        <v>#NUM!</v>
      </c>
      <c r="X16" t="e">
        <f>LOG(Table1_15[[#This Row],[N-MeFOSAA]])</f>
        <v>#NUM!</v>
      </c>
      <c r="Y16" t="e">
        <f>LOG(Table1_15[[#This Row],[N-EtFOSA]])</f>
        <v>#NUM!</v>
      </c>
      <c r="Z16" t="e">
        <f>LOG(Table1_15[[#This Row],[N-EtFOSAA]])</f>
        <v>#NUM!</v>
      </c>
      <c r="AA16" t="e">
        <f>LOG(Table1_15[[#This Row],[N-MeFOSE]])</f>
        <v>#NUM!</v>
      </c>
      <c r="AB16" t="e">
        <f>LOG(Table1_15[[#This Row],[N-EtFOSE]])</f>
        <v>#NUM!</v>
      </c>
      <c r="AC16" t="e">
        <f>LOG(Table1_15[[#This Row],[HFPO-DA]])</f>
        <v>#NUM!</v>
      </c>
      <c r="AD16" t="e">
        <f>LOG(Table1_15[[#This Row],[ADONA]])</f>
        <v>#NUM!</v>
      </c>
      <c r="AE16" t="e">
        <f>LOG(Table1_15[[#This Row],[PFMBA]])</f>
        <v>#NUM!</v>
      </c>
      <c r="AF16" t="e">
        <f>LOG(Table1_15[[#This Row],[NFDHA]])</f>
        <v>#NUM!</v>
      </c>
      <c r="AG16" t="e">
        <f>LOG(Table1_15[[#This Row],[9Cl-PF3ONS]])</f>
        <v>#NUM!</v>
      </c>
      <c r="AH16" t="e">
        <f>LOG(Table1_15[[#This Row],[11Cl-PF3OUdS]])</f>
        <v>#NUM!</v>
      </c>
      <c r="AI16" t="e">
        <f>LOG(Table1_15[[#This Row],[PFEESA]])</f>
        <v>#NUM!</v>
      </c>
      <c r="AJ16" t="e">
        <f>LOG(Table1_15[[#This Row],[3:3 FTCA]])</f>
        <v>#NUM!</v>
      </c>
      <c r="AK16" t="e">
        <f>LOG(Table1_15[[#This Row],[5:3 FTCA]])</f>
        <v>#NUM!</v>
      </c>
      <c r="AL16" t="e">
        <f>LOG(Table1_15[[#This Row],[7:3 FTCA]])</f>
        <v>#NUM!</v>
      </c>
      <c r="AM16" t="e">
        <f>LOG(Table1_15[[#This Row],[PFDS]])</f>
        <v>#NUM!</v>
      </c>
      <c r="AN16" t="e">
        <f>LOG(Table1_15[[#This Row],[PFMPA]])</f>
        <v>#NUM!</v>
      </c>
    </row>
    <row r="17" spans="1:40" x14ac:dyDescent="0.3">
      <c r="A17">
        <f>LOG(Table1_15[[#This Row],[PFBA]])</f>
        <v>-1.2041199826559248</v>
      </c>
      <c r="B17">
        <f>LOG(Table1_15[[#This Row],[PFPeA]])</f>
        <v>-1.2041199826559248</v>
      </c>
      <c r="C17">
        <f>LOG(Table1_15[[#This Row],[PFBS]])</f>
        <v>-0.90308998699194354</v>
      </c>
      <c r="D17">
        <f>LOG(Table1_15[[#This Row],[PFHxA]])</f>
        <v>-1.2041199826559248</v>
      </c>
      <c r="E17">
        <f>LOG(Table1_15[[#This Row],[PFPeS]])</f>
        <v>-1.2041199826559248</v>
      </c>
      <c r="F17">
        <f>LOG(Table1_15[[#This Row],[PFHpA]])</f>
        <v>-1.2041199826559248</v>
      </c>
      <c r="G17">
        <f>LOG(Table1_15[[#This Row],[PFHxS]])</f>
        <v>-0.7466619946738936</v>
      </c>
      <c r="H17">
        <f>LOG(Table1_15[[#This Row],[PFOA]])</f>
        <v>-0.90308998699194354</v>
      </c>
      <c r="I17">
        <f>LOG(Table1_15[[#This Row],[6:2 FTS]])</f>
        <v>-1.0535477349869269</v>
      </c>
      <c r="J17">
        <f>LOG(Table1_15[[#This Row],[PFHpS]])</f>
        <v>-1.4045037781744258</v>
      </c>
      <c r="K17">
        <f>LOG(Table1_15[[#This Row],[PFNA]])</f>
        <v>-0.90308998699194354</v>
      </c>
      <c r="L17">
        <f>LOG(Table1_15[[#This Row],[PFOS]])</f>
        <v>8.9127629044278539E-2</v>
      </c>
      <c r="M17" t="e">
        <f>LOG(Table1_15[[#This Row],[PFDA]])</f>
        <v>#NUM!</v>
      </c>
      <c r="N17" t="e">
        <f>LOG(Table1_15[[#This Row],[PFUnA]])</f>
        <v>#NUM!</v>
      </c>
      <c r="O17" t="e">
        <f>LOG(Table1_15[[#This Row],[PFDoA]])</f>
        <v>#NUM!</v>
      </c>
      <c r="P17" t="e">
        <f>LOG(Table1_15[[#This Row],[PFTrDA]])</f>
        <v>#NUM!</v>
      </c>
      <c r="Q17" t="e">
        <f>LOG(Table1_15[[#This Row],[PFTeDA]])</f>
        <v>#NUM!</v>
      </c>
      <c r="R17" t="e">
        <f>LOG(Table1_15[[#This Row],[PFNS]])</f>
        <v>#NUM!</v>
      </c>
      <c r="S17" t="e">
        <f>LOG(Table1_15[[#This Row],[PFDoS]])</f>
        <v>#NUM!</v>
      </c>
      <c r="T17" t="e">
        <f>LOG(Table1_15[[#This Row],[4:2 FTS]])</f>
        <v>#NUM!</v>
      </c>
      <c r="U17" t="e">
        <f>LOG(Table1_15[[#This Row],[8:2 FTS]])</f>
        <v>#NUM!</v>
      </c>
      <c r="V17" t="e">
        <f>LOG(Table1_15[[#This Row],[FOSA]])</f>
        <v>#NUM!</v>
      </c>
      <c r="W17" t="e">
        <f>LOG(Table1_15[[#This Row],[N-MeFOSA]])</f>
        <v>#NUM!</v>
      </c>
      <c r="X17" t="e">
        <f>LOG(Table1_15[[#This Row],[N-MeFOSAA]])</f>
        <v>#NUM!</v>
      </c>
      <c r="Y17" t="e">
        <f>LOG(Table1_15[[#This Row],[N-EtFOSA]])</f>
        <v>#NUM!</v>
      </c>
      <c r="Z17" t="e">
        <f>LOG(Table1_15[[#This Row],[N-EtFOSAA]])</f>
        <v>#NUM!</v>
      </c>
      <c r="AA17" t="e">
        <f>LOG(Table1_15[[#This Row],[N-MeFOSE]])</f>
        <v>#NUM!</v>
      </c>
      <c r="AB17" t="e">
        <f>LOG(Table1_15[[#This Row],[N-EtFOSE]])</f>
        <v>#NUM!</v>
      </c>
      <c r="AC17" t="e">
        <f>LOG(Table1_15[[#This Row],[HFPO-DA]])</f>
        <v>#NUM!</v>
      </c>
      <c r="AD17" t="e">
        <f>LOG(Table1_15[[#This Row],[ADONA]])</f>
        <v>#NUM!</v>
      </c>
      <c r="AE17" t="e">
        <f>LOG(Table1_15[[#This Row],[PFMBA]])</f>
        <v>#NUM!</v>
      </c>
      <c r="AF17" t="e">
        <f>LOG(Table1_15[[#This Row],[NFDHA]])</f>
        <v>#NUM!</v>
      </c>
      <c r="AG17" t="e">
        <f>LOG(Table1_15[[#This Row],[9Cl-PF3ONS]])</f>
        <v>#NUM!</v>
      </c>
      <c r="AH17" t="e">
        <f>LOG(Table1_15[[#This Row],[11Cl-PF3OUdS]])</f>
        <v>#NUM!</v>
      </c>
      <c r="AI17" t="e">
        <f>LOG(Table1_15[[#This Row],[PFEESA]])</f>
        <v>#NUM!</v>
      </c>
      <c r="AJ17" t="e">
        <f>LOG(Table1_15[[#This Row],[3:3 FTCA]])</f>
        <v>#NUM!</v>
      </c>
      <c r="AK17" t="e">
        <f>LOG(Table1_15[[#This Row],[5:3 FTCA]])</f>
        <v>#NUM!</v>
      </c>
      <c r="AL17" t="e">
        <f>LOG(Table1_15[[#This Row],[7:3 FTCA]])</f>
        <v>#NUM!</v>
      </c>
      <c r="AM17" t="e">
        <f>LOG(Table1_15[[#This Row],[PFDS]])</f>
        <v>#NUM!</v>
      </c>
      <c r="AN17" t="e">
        <f>LOG(Table1_15[[#This Row],[PFMPA]])</f>
        <v>#NUM!</v>
      </c>
    </row>
    <row r="18" spans="1:40" x14ac:dyDescent="0.3">
      <c r="A18">
        <f>LOG(Table1_15[[#This Row],[PFBA]])</f>
        <v>-1.2041199826559248</v>
      </c>
      <c r="B18">
        <f>LOG(Table1_15[[#This Row],[PFPeA]])</f>
        <v>-0.87844015581249901</v>
      </c>
      <c r="C18">
        <f>LOG(Table1_15[[#This Row],[PFBS]])</f>
        <v>-0.55392906429899491</v>
      </c>
      <c r="D18">
        <f>LOG(Table1_15[[#This Row],[PFHxA]])</f>
        <v>-0.4789927475913961</v>
      </c>
      <c r="E18">
        <f>LOG(Table1_15[[#This Row],[PFPeS]])</f>
        <v>-0.5721894273240099</v>
      </c>
      <c r="F18">
        <f>LOG(Table1_15[[#This Row],[PFHpA]])</f>
        <v>-0.84436036624022359</v>
      </c>
      <c r="G18">
        <f>LOG(Table1_15[[#This Row],[PFHxS]])</f>
        <v>2.5715383901340642E-2</v>
      </c>
      <c r="H18">
        <f>LOG(Table1_15[[#This Row],[PFOA]])</f>
        <v>-0.38205656517102698</v>
      </c>
      <c r="I18">
        <f>LOG(Table1_15[[#This Row],[6:2 FTS]])</f>
        <v>-9.5068172604347398E-2</v>
      </c>
      <c r="J18">
        <f>LOG(Table1_15[[#This Row],[PFHpS]])</f>
        <v>-0.82739706879014019</v>
      </c>
      <c r="K18">
        <f>LOG(Table1_15[[#This Row],[PFNA]])</f>
        <v>-0.90308998699194354</v>
      </c>
      <c r="L18">
        <f>LOG(Table1_15[[#This Row],[PFOS]])</f>
        <v>1.1149044174487619</v>
      </c>
      <c r="M18" t="e">
        <f>LOG(Table1_15[[#This Row],[PFDA]])</f>
        <v>#NUM!</v>
      </c>
      <c r="N18" t="e">
        <f>LOG(Table1_15[[#This Row],[PFUnA]])</f>
        <v>#NUM!</v>
      </c>
      <c r="O18" t="e">
        <f>LOG(Table1_15[[#This Row],[PFDoA]])</f>
        <v>#NUM!</v>
      </c>
      <c r="P18" t="e">
        <f>LOG(Table1_15[[#This Row],[PFTrDA]])</f>
        <v>#NUM!</v>
      </c>
      <c r="Q18" t="e">
        <f>LOG(Table1_15[[#This Row],[PFTeDA]])</f>
        <v>#NUM!</v>
      </c>
      <c r="R18" t="e">
        <f>LOG(Table1_15[[#This Row],[PFNS]])</f>
        <v>#NUM!</v>
      </c>
      <c r="S18" t="e">
        <f>LOG(Table1_15[[#This Row],[PFDoS]])</f>
        <v>#NUM!</v>
      </c>
      <c r="T18" t="e">
        <f>LOG(Table1_15[[#This Row],[4:2 FTS]])</f>
        <v>#NUM!</v>
      </c>
      <c r="U18" t="e">
        <f>LOG(Table1_15[[#This Row],[8:2 FTS]])</f>
        <v>#NUM!</v>
      </c>
      <c r="V18" t="e">
        <f>LOG(Table1_15[[#This Row],[FOSA]])</f>
        <v>#NUM!</v>
      </c>
      <c r="W18" t="e">
        <f>LOG(Table1_15[[#This Row],[N-MeFOSA]])</f>
        <v>#NUM!</v>
      </c>
      <c r="X18" t="e">
        <f>LOG(Table1_15[[#This Row],[N-MeFOSAA]])</f>
        <v>#NUM!</v>
      </c>
      <c r="Y18" t="e">
        <f>LOG(Table1_15[[#This Row],[N-EtFOSA]])</f>
        <v>#NUM!</v>
      </c>
      <c r="Z18" t="e">
        <f>LOG(Table1_15[[#This Row],[N-EtFOSAA]])</f>
        <v>#NUM!</v>
      </c>
      <c r="AA18" t="e">
        <f>LOG(Table1_15[[#This Row],[N-MeFOSE]])</f>
        <v>#NUM!</v>
      </c>
      <c r="AB18" t="e">
        <f>LOG(Table1_15[[#This Row],[N-EtFOSE]])</f>
        <v>#NUM!</v>
      </c>
      <c r="AC18" t="e">
        <f>LOG(Table1_15[[#This Row],[HFPO-DA]])</f>
        <v>#NUM!</v>
      </c>
      <c r="AD18" t="e">
        <f>LOG(Table1_15[[#This Row],[ADONA]])</f>
        <v>#NUM!</v>
      </c>
      <c r="AE18" t="e">
        <f>LOG(Table1_15[[#This Row],[PFMBA]])</f>
        <v>#NUM!</v>
      </c>
      <c r="AF18" t="e">
        <f>LOG(Table1_15[[#This Row],[NFDHA]])</f>
        <v>#NUM!</v>
      </c>
      <c r="AG18" t="e">
        <f>LOG(Table1_15[[#This Row],[9Cl-PF3ONS]])</f>
        <v>#NUM!</v>
      </c>
      <c r="AH18" t="e">
        <f>LOG(Table1_15[[#This Row],[11Cl-PF3OUdS]])</f>
        <v>#NUM!</v>
      </c>
      <c r="AI18" t="e">
        <f>LOG(Table1_15[[#This Row],[PFEESA]])</f>
        <v>#NUM!</v>
      </c>
      <c r="AJ18" t="e">
        <f>LOG(Table1_15[[#This Row],[3:3 FTCA]])</f>
        <v>#NUM!</v>
      </c>
      <c r="AK18" t="e">
        <f>LOG(Table1_15[[#This Row],[5:3 FTCA]])</f>
        <v>#NUM!</v>
      </c>
      <c r="AL18" t="e">
        <f>LOG(Table1_15[[#This Row],[7:3 FTCA]])</f>
        <v>#NUM!</v>
      </c>
      <c r="AM18" t="e">
        <f>LOG(Table1_15[[#This Row],[PFDS]])</f>
        <v>#NUM!</v>
      </c>
      <c r="AN18" t="e">
        <f>LOG(Table1_15[[#This Row],[PFMPA]])</f>
        <v>#NUM!</v>
      </c>
    </row>
    <row r="19" spans="1:40" x14ac:dyDescent="0.3">
      <c r="A19">
        <f>LOG(Table1_15[[#This Row],[PFBA]])</f>
        <v>-1.2041199826559248</v>
      </c>
      <c r="B19">
        <f>LOG(Table1_15[[#This Row],[PFPeA]])</f>
        <v>-1.2041199826559248</v>
      </c>
      <c r="C19">
        <f>LOG(Table1_15[[#This Row],[PFBS]])</f>
        <v>-0.90308998699194354</v>
      </c>
      <c r="D19">
        <f>LOG(Table1_15[[#This Row],[PFHxA]])</f>
        <v>-1.2041199826559248</v>
      </c>
      <c r="E19">
        <f>LOG(Table1_15[[#This Row],[PFPeS]])</f>
        <v>-1.2041199826559248</v>
      </c>
      <c r="F19">
        <f>LOG(Table1_15[[#This Row],[PFHpA]])</f>
        <v>-1.2041199826559248</v>
      </c>
      <c r="G19">
        <f>LOG(Table1_15[[#This Row],[PFHxS]])</f>
        <v>-0.64206515299954614</v>
      </c>
      <c r="H19">
        <f>LOG(Table1_15[[#This Row],[PFOA]])</f>
        <v>-0.90308998699194354</v>
      </c>
      <c r="I19">
        <f>LOG(Table1_15[[#This Row],[6:2 FTS]])</f>
        <v>-1.0649968485463452</v>
      </c>
      <c r="J19">
        <f>LOG(Table1_15[[#This Row],[PFHpS]])</f>
        <v>-1.4259687322722812</v>
      </c>
      <c r="K19">
        <f>LOG(Table1_15[[#This Row],[PFNA]])</f>
        <v>-0.90308998699194354</v>
      </c>
      <c r="L19">
        <f>LOG(Table1_15[[#This Row],[PFOS]])</f>
        <v>0.39089979717353301</v>
      </c>
      <c r="M19" t="e">
        <f>LOG(Table1_15[[#This Row],[PFDA]])</f>
        <v>#NUM!</v>
      </c>
      <c r="N19" t="e">
        <f>LOG(Table1_15[[#This Row],[PFUnA]])</f>
        <v>#NUM!</v>
      </c>
      <c r="O19" t="e">
        <f>LOG(Table1_15[[#This Row],[PFDoA]])</f>
        <v>#NUM!</v>
      </c>
      <c r="P19" t="e">
        <f>LOG(Table1_15[[#This Row],[PFTrDA]])</f>
        <v>#NUM!</v>
      </c>
      <c r="Q19" t="e">
        <f>LOG(Table1_15[[#This Row],[PFTeDA]])</f>
        <v>#NUM!</v>
      </c>
      <c r="R19" t="e">
        <f>LOG(Table1_15[[#This Row],[PFNS]])</f>
        <v>#NUM!</v>
      </c>
      <c r="S19" t="e">
        <f>LOG(Table1_15[[#This Row],[PFDoS]])</f>
        <v>#NUM!</v>
      </c>
      <c r="T19" t="e">
        <f>LOG(Table1_15[[#This Row],[4:2 FTS]])</f>
        <v>#NUM!</v>
      </c>
      <c r="U19" t="e">
        <f>LOG(Table1_15[[#This Row],[8:2 FTS]])</f>
        <v>#NUM!</v>
      </c>
      <c r="V19" t="e">
        <f>LOG(Table1_15[[#This Row],[FOSA]])</f>
        <v>#NUM!</v>
      </c>
      <c r="W19" t="e">
        <f>LOG(Table1_15[[#This Row],[N-MeFOSA]])</f>
        <v>#NUM!</v>
      </c>
      <c r="X19" t="e">
        <f>LOG(Table1_15[[#This Row],[N-MeFOSAA]])</f>
        <v>#NUM!</v>
      </c>
      <c r="Y19" t="e">
        <f>LOG(Table1_15[[#This Row],[N-EtFOSA]])</f>
        <v>#NUM!</v>
      </c>
      <c r="Z19" t="e">
        <f>LOG(Table1_15[[#This Row],[N-EtFOSAA]])</f>
        <v>#NUM!</v>
      </c>
      <c r="AA19" t="e">
        <f>LOG(Table1_15[[#This Row],[N-MeFOSE]])</f>
        <v>#NUM!</v>
      </c>
      <c r="AB19" t="e">
        <f>LOG(Table1_15[[#This Row],[N-EtFOSE]])</f>
        <v>#NUM!</v>
      </c>
      <c r="AC19" t="e">
        <f>LOG(Table1_15[[#This Row],[HFPO-DA]])</f>
        <v>#NUM!</v>
      </c>
      <c r="AD19" t="e">
        <f>LOG(Table1_15[[#This Row],[ADONA]])</f>
        <v>#NUM!</v>
      </c>
      <c r="AE19" t="e">
        <f>LOG(Table1_15[[#This Row],[PFMBA]])</f>
        <v>#NUM!</v>
      </c>
      <c r="AF19" t="e">
        <f>LOG(Table1_15[[#This Row],[NFDHA]])</f>
        <v>#NUM!</v>
      </c>
      <c r="AG19" t="e">
        <f>LOG(Table1_15[[#This Row],[9Cl-PF3ONS]])</f>
        <v>#NUM!</v>
      </c>
      <c r="AH19" t="e">
        <f>LOG(Table1_15[[#This Row],[11Cl-PF3OUdS]])</f>
        <v>#NUM!</v>
      </c>
      <c r="AI19" t="e">
        <f>LOG(Table1_15[[#This Row],[PFEESA]])</f>
        <v>#NUM!</v>
      </c>
      <c r="AJ19" t="e">
        <f>LOG(Table1_15[[#This Row],[3:3 FTCA]])</f>
        <v>#NUM!</v>
      </c>
      <c r="AK19" t="e">
        <f>LOG(Table1_15[[#This Row],[5:3 FTCA]])</f>
        <v>#NUM!</v>
      </c>
      <c r="AL19" t="e">
        <f>LOG(Table1_15[[#This Row],[7:3 FTCA]])</f>
        <v>#NUM!</v>
      </c>
      <c r="AM19" t="e">
        <f>LOG(Table1_15[[#This Row],[PFDS]])</f>
        <v>#NUM!</v>
      </c>
      <c r="AN19" t="e">
        <f>LOG(Table1_15[[#This Row],[PFMPA]])</f>
        <v>#NUM!</v>
      </c>
    </row>
    <row r="20" spans="1:40" x14ac:dyDescent="0.3">
      <c r="A20">
        <f>LOG(Table1_15[[#This Row],[PFBA]])</f>
        <v>-1.2041199826559248</v>
      </c>
      <c r="B20">
        <f>LOG(Table1_15[[#This Row],[PFPeA]])</f>
        <v>-1.2041199826559248</v>
      </c>
      <c r="C20">
        <f>LOG(Table1_15[[#This Row],[PFBS]])</f>
        <v>-0.90308998699194354</v>
      </c>
      <c r="D20">
        <f>LOG(Table1_15[[#This Row],[PFHxA]])</f>
        <v>-0.83833258756226414</v>
      </c>
      <c r="E20">
        <f>LOG(Table1_15[[#This Row],[PFPeS]])</f>
        <v>-1.2041199826559248</v>
      </c>
      <c r="F20">
        <f>LOG(Table1_15[[#This Row],[PFHpA]])</f>
        <v>-1.2041199826559248</v>
      </c>
      <c r="G20">
        <f>LOG(Table1_15[[#This Row],[PFHxS]])</f>
        <v>-0.75770709501706912</v>
      </c>
      <c r="H20">
        <f>LOG(Table1_15[[#This Row],[PFOA]])</f>
        <v>-0.90308998699194354</v>
      </c>
      <c r="I20">
        <f>LOG(Table1_15[[#This Row],[6:2 FTS]])</f>
        <v>-0.75795576063044912</v>
      </c>
      <c r="J20" t="e">
        <f>LOG(Table1_15[[#This Row],[PFHpS]])</f>
        <v>#NUM!</v>
      </c>
      <c r="K20">
        <f>LOG(Table1_15[[#This Row],[PFNA]])</f>
        <v>-0.90308998699194354</v>
      </c>
      <c r="L20">
        <f>LOG(Table1_15[[#This Row],[PFOS]])</f>
        <v>3.2135046879901617E-2</v>
      </c>
      <c r="M20" t="e">
        <f>LOG(Table1_15[[#This Row],[PFDA]])</f>
        <v>#NUM!</v>
      </c>
      <c r="N20" t="e">
        <f>LOG(Table1_15[[#This Row],[PFUnA]])</f>
        <v>#NUM!</v>
      </c>
      <c r="O20" t="e">
        <f>LOG(Table1_15[[#This Row],[PFDoA]])</f>
        <v>#NUM!</v>
      </c>
      <c r="P20" t="e">
        <f>LOG(Table1_15[[#This Row],[PFTrDA]])</f>
        <v>#NUM!</v>
      </c>
      <c r="Q20" t="e">
        <f>LOG(Table1_15[[#This Row],[PFTeDA]])</f>
        <v>#NUM!</v>
      </c>
      <c r="R20" t="e">
        <f>LOG(Table1_15[[#This Row],[PFNS]])</f>
        <v>#NUM!</v>
      </c>
      <c r="S20" t="e">
        <f>LOG(Table1_15[[#This Row],[PFDoS]])</f>
        <v>#NUM!</v>
      </c>
      <c r="T20" t="e">
        <f>LOG(Table1_15[[#This Row],[4:2 FTS]])</f>
        <v>#NUM!</v>
      </c>
      <c r="U20" t="e">
        <f>LOG(Table1_15[[#This Row],[8:2 FTS]])</f>
        <v>#NUM!</v>
      </c>
      <c r="V20" t="e">
        <f>LOG(Table1_15[[#This Row],[FOSA]])</f>
        <v>#NUM!</v>
      </c>
      <c r="W20" t="e">
        <f>LOG(Table1_15[[#This Row],[N-MeFOSA]])</f>
        <v>#NUM!</v>
      </c>
      <c r="X20" t="e">
        <f>LOG(Table1_15[[#This Row],[N-MeFOSAA]])</f>
        <v>#NUM!</v>
      </c>
      <c r="Y20" t="e">
        <f>LOG(Table1_15[[#This Row],[N-EtFOSA]])</f>
        <v>#NUM!</v>
      </c>
      <c r="Z20" t="e">
        <f>LOG(Table1_15[[#This Row],[N-EtFOSAA]])</f>
        <v>#NUM!</v>
      </c>
      <c r="AA20" t="e">
        <f>LOG(Table1_15[[#This Row],[N-MeFOSE]])</f>
        <v>#NUM!</v>
      </c>
      <c r="AB20" t="e">
        <f>LOG(Table1_15[[#This Row],[N-EtFOSE]])</f>
        <v>#NUM!</v>
      </c>
      <c r="AC20" t="e">
        <f>LOG(Table1_15[[#This Row],[HFPO-DA]])</f>
        <v>#NUM!</v>
      </c>
      <c r="AD20" t="e">
        <f>LOG(Table1_15[[#This Row],[ADONA]])</f>
        <v>#NUM!</v>
      </c>
      <c r="AE20" t="e">
        <f>LOG(Table1_15[[#This Row],[PFMBA]])</f>
        <v>#NUM!</v>
      </c>
      <c r="AF20" t="e">
        <f>LOG(Table1_15[[#This Row],[NFDHA]])</f>
        <v>#NUM!</v>
      </c>
      <c r="AG20" t="e">
        <f>LOG(Table1_15[[#This Row],[9Cl-PF3ONS]])</f>
        <v>#NUM!</v>
      </c>
      <c r="AH20" t="e">
        <f>LOG(Table1_15[[#This Row],[11Cl-PF3OUdS]])</f>
        <v>#NUM!</v>
      </c>
      <c r="AI20" t="e">
        <f>LOG(Table1_15[[#This Row],[PFEESA]])</f>
        <v>#NUM!</v>
      </c>
      <c r="AJ20" t="e">
        <f>LOG(Table1_15[[#This Row],[3:3 FTCA]])</f>
        <v>#NUM!</v>
      </c>
      <c r="AK20" t="e">
        <f>LOG(Table1_15[[#This Row],[5:3 FTCA]])</f>
        <v>#NUM!</v>
      </c>
      <c r="AL20" t="e">
        <f>LOG(Table1_15[[#This Row],[7:3 FTCA]])</f>
        <v>#NUM!</v>
      </c>
      <c r="AM20" t="e">
        <f>LOG(Table1_15[[#This Row],[PFDS]])</f>
        <v>#NUM!</v>
      </c>
      <c r="AN20" t="e">
        <f>LOG(Table1_15[[#This Row],[PFMPA]])</f>
        <v>#NUM!</v>
      </c>
    </row>
    <row r="21" spans="1:40" x14ac:dyDescent="0.3">
      <c r="A21">
        <f>LOG(Table1_15[[#This Row],[PFBA]])</f>
        <v>-0.88907375773357966</v>
      </c>
      <c r="B21">
        <f>LOG(Table1_15[[#This Row],[PFPeA]])</f>
        <v>-0.8141746403870378</v>
      </c>
      <c r="C21">
        <f>LOG(Table1_15[[#This Row],[PFBS]])</f>
        <v>-0.90308998699194354</v>
      </c>
      <c r="D21">
        <f>LOG(Table1_15[[#This Row],[PFHxA]])</f>
        <v>-0.46941614035488227</v>
      </c>
      <c r="E21">
        <f>LOG(Table1_15[[#This Row],[PFPeS]])</f>
        <v>-0.68655462957358582</v>
      </c>
      <c r="F21">
        <f>LOG(Table1_15[[#This Row],[PFHpA]])</f>
        <v>-0.81673015631719537</v>
      </c>
      <c r="G21">
        <f>LOG(Table1_15[[#This Row],[PFHxS]])</f>
        <v>0.11640848062989922</v>
      </c>
      <c r="H21">
        <f>LOG(Table1_15[[#This Row],[PFOA]])</f>
        <v>-0.36845477216569061</v>
      </c>
      <c r="I21">
        <f>LOG(Table1_15[[#This Row],[6:2 FTS]])</f>
        <v>-9.4419971764757471E-2</v>
      </c>
      <c r="J21">
        <f>LOG(Table1_15[[#This Row],[PFHpS]])</f>
        <v>-0.73072061022810142</v>
      </c>
      <c r="K21">
        <f>LOG(Table1_15[[#This Row],[PFNA]])</f>
        <v>-0.90308998699194354</v>
      </c>
      <c r="L21">
        <f>LOG(Table1_15[[#This Row],[PFOS]])</f>
        <v>1.2325717676034356</v>
      </c>
      <c r="M21" t="e">
        <f>LOG(Table1_15[[#This Row],[PFDA]])</f>
        <v>#NUM!</v>
      </c>
      <c r="N21" t="e">
        <f>LOG(Table1_15[[#This Row],[PFUnA]])</f>
        <v>#NUM!</v>
      </c>
      <c r="O21" t="e">
        <f>LOG(Table1_15[[#This Row],[PFDoA]])</f>
        <v>#NUM!</v>
      </c>
      <c r="P21" t="e">
        <f>LOG(Table1_15[[#This Row],[PFTrDA]])</f>
        <v>#NUM!</v>
      </c>
      <c r="Q21" t="e">
        <f>LOG(Table1_15[[#This Row],[PFTeDA]])</f>
        <v>#NUM!</v>
      </c>
      <c r="R21" t="e">
        <f>LOG(Table1_15[[#This Row],[PFNS]])</f>
        <v>#NUM!</v>
      </c>
      <c r="S21" t="e">
        <f>LOG(Table1_15[[#This Row],[PFDoS]])</f>
        <v>#NUM!</v>
      </c>
      <c r="T21" t="e">
        <f>LOG(Table1_15[[#This Row],[4:2 FTS]])</f>
        <v>#NUM!</v>
      </c>
      <c r="U21" t="e">
        <f>LOG(Table1_15[[#This Row],[8:2 FTS]])</f>
        <v>#NUM!</v>
      </c>
      <c r="V21" t="e">
        <f>LOG(Table1_15[[#This Row],[FOSA]])</f>
        <v>#NUM!</v>
      </c>
      <c r="W21" t="e">
        <f>LOG(Table1_15[[#This Row],[N-MeFOSA]])</f>
        <v>#NUM!</v>
      </c>
      <c r="X21" t="e">
        <f>LOG(Table1_15[[#This Row],[N-MeFOSAA]])</f>
        <v>#NUM!</v>
      </c>
      <c r="Y21" t="e">
        <f>LOG(Table1_15[[#This Row],[N-EtFOSA]])</f>
        <v>#NUM!</v>
      </c>
      <c r="Z21" t="e">
        <f>LOG(Table1_15[[#This Row],[N-EtFOSAA]])</f>
        <v>#NUM!</v>
      </c>
      <c r="AA21" t="e">
        <f>LOG(Table1_15[[#This Row],[N-MeFOSE]])</f>
        <v>#NUM!</v>
      </c>
      <c r="AB21" t="e">
        <f>LOG(Table1_15[[#This Row],[N-EtFOSE]])</f>
        <v>#NUM!</v>
      </c>
      <c r="AC21" t="e">
        <f>LOG(Table1_15[[#This Row],[HFPO-DA]])</f>
        <v>#NUM!</v>
      </c>
      <c r="AD21" t="e">
        <f>LOG(Table1_15[[#This Row],[ADONA]])</f>
        <v>#NUM!</v>
      </c>
      <c r="AE21" t="e">
        <f>LOG(Table1_15[[#This Row],[PFMBA]])</f>
        <v>#NUM!</v>
      </c>
      <c r="AF21" t="e">
        <f>LOG(Table1_15[[#This Row],[NFDHA]])</f>
        <v>#NUM!</v>
      </c>
      <c r="AG21" t="e">
        <f>LOG(Table1_15[[#This Row],[9Cl-PF3ONS]])</f>
        <v>#NUM!</v>
      </c>
      <c r="AH21" t="e">
        <f>LOG(Table1_15[[#This Row],[11Cl-PF3OUdS]])</f>
        <v>#NUM!</v>
      </c>
      <c r="AI21" t="e">
        <f>LOG(Table1_15[[#This Row],[PFEESA]])</f>
        <v>#NUM!</v>
      </c>
      <c r="AJ21" t="e">
        <f>LOG(Table1_15[[#This Row],[3:3 FTCA]])</f>
        <v>#NUM!</v>
      </c>
      <c r="AK21" t="e">
        <f>LOG(Table1_15[[#This Row],[5:3 FTCA]])</f>
        <v>#NUM!</v>
      </c>
      <c r="AL21" t="e">
        <f>LOG(Table1_15[[#This Row],[7:3 FTCA]])</f>
        <v>#NUM!</v>
      </c>
      <c r="AM21" t="e">
        <f>LOG(Table1_15[[#This Row],[PFDS]])</f>
        <v>#NUM!</v>
      </c>
      <c r="AN21" t="e">
        <f>LOG(Table1_15[[#This Row],[PFMPA]])</f>
        <v>#NUM!</v>
      </c>
    </row>
    <row r="22" spans="1:40" x14ac:dyDescent="0.3">
      <c r="A22">
        <f>LOG(Table1_15[[#This Row],[PFBA]])</f>
        <v>-1.2041199826559248</v>
      </c>
      <c r="B22">
        <f>LOG(Table1_15[[#This Row],[PFPeA]])</f>
        <v>-1.2041199826559248</v>
      </c>
      <c r="C22">
        <f>LOG(Table1_15[[#This Row],[PFBS]])</f>
        <v>-0.90308998699194354</v>
      </c>
      <c r="D22">
        <f>LOG(Table1_15[[#This Row],[PFHxA]])</f>
        <v>-0.8907590314117968</v>
      </c>
      <c r="E22">
        <f>LOG(Table1_15[[#This Row],[PFPeS]])</f>
        <v>-0.84893674664624974</v>
      </c>
      <c r="F22">
        <f>LOG(Table1_15[[#This Row],[PFHpA]])</f>
        <v>-1.2041199826559248</v>
      </c>
      <c r="G22">
        <f>LOG(Table1_15[[#This Row],[PFHxS]])</f>
        <v>-0.61906553666929809</v>
      </c>
      <c r="H22">
        <f>LOG(Table1_15[[#This Row],[PFOA]])</f>
        <v>-0.90308998699194354</v>
      </c>
      <c r="I22">
        <f>LOG(Table1_15[[#This Row],[6:2 FTS]])</f>
        <v>-0.74208154968594153</v>
      </c>
      <c r="J22">
        <f>LOG(Table1_15[[#This Row],[PFHpS]])</f>
        <v>-1.3777859770337046</v>
      </c>
      <c r="K22">
        <f>LOG(Table1_15[[#This Row],[PFNA]])</f>
        <v>-0.90308998699194354</v>
      </c>
      <c r="L22">
        <f>LOG(Table1_15[[#This Row],[PFOS]])</f>
        <v>0.29710365014925649</v>
      </c>
      <c r="M22" t="e">
        <f>LOG(Table1_15[[#This Row],[PFDA]])</f>
        <v>#NUM!</v>
      </c>
      <c r="N22" t="e">
        <f>LOG(Table1_15[[#This Row],[PFUnA]])</f>
        <v>#NUM!</v>
      </c>
      <c r="O22" t="e">
        <f>LOG(Table1_15[[#This Row],[PFDoA]])</f>
        <v>#NUM!</v>
      </c>
      <c r="P22" t="e">
        <f>LOG(Table1_15[[#This Row],[PFTrDA]])</f>
        <v>#NUM!</v>
      </c>
      <c r="Q22" t="e">
        <f>LOG(Table1_15[[#This Row],[PFTeDA]])</f>
        <v>#NUM!</v>
      </c>
      <c r="R22" t="e">
        <f>LOG(Table1_15[[#This Row],[PFNS]])</f>
        <v>#NUM!</v>
      </c>
      <c r="S22" t="e">
        <f>LOG(Table1_15[[#This Row],[PFDoS]])</f>
        <v>#NUM!</v>
      </c>
      <c r="T22" t="e">
        <f>LOG(Table1_15[[#This Row],[4:2 FTS]])</f>
        <v>#NUM!</v>
      </c>
      <c r="U22" t="e">
        <f>LOG(Table1_15[[#This Row],[8:2 FTS]])</f>
        <v>#NUM!</v>
      </c>
      <c r="V22" t="e">
        <f>LOG(Table1_15[[#This Row],[FOSA]])</f>
        <v>#NUM!</v>
      </c>
      <c r="W22" t="e">
        <f>LOG(Table1_15[[#This Row],[N-MeFOSA]])</f>
        <v>#NUM!</v>
      </c>
      <c r="X22" t="e">
        <f>LOG(Table1_15[[#This Row],[N-MeFOSAA]])</f>
        <v>#NUM!</v>
      </c>
      <c r="Y22" t="e">
        <f>LOG(Table1_15[[#This Row],[N-EtFOSA]])</f>
        <v>#NUM!</v>
      </c>
      <c r="Z22" t="e">
        <f>LOG(Table1_15[[#This Row],[N-EtFOSAA]])</f>
        <v>#NUM!</v>
      </c>
      <c r="AA22" t="e">
        <f>LOG(Table1_15[[#This Row],[N-MeFOSE]])</f>
        <v>#NUM!</v>
      </c>
      <c r="AB22" t="e">
        <f>LOG(Table1_15[[#This Row],[N-EtFOSE]])</f>
        <v>#NUM!</v>
      </c>
      <c r="AC22" t="e">
        <f>LOG(Table1_15[[#This Row],[HFPO-DA]])</f>
        <v>#NUM!</v>
      </c>
      <c r="AD22" t="e">
        <f>LOG(Table1_15[[#This Row],[ADONA]])</f>
        <v>#NUM!</v>
      </c>
      <c r="AE22" t="e">
        <f>LOG(Table1_15[[#This Row],[PFMBA]])</f>
        <v>#NUM!</v>
      </c>
      <c r="AF22" t="e">
        <f>LOG(Table1_15[[#This Row],[NFDHA]])</f>
        <v>#NUM!</v>
      </c>
      <c r="AG22" t="e">
        <f>LOG(Table1_15[[#This Row],[9Cl-PF3ONS]])</f>
        <v>#NUM!</v>
      </c>
      <c r="AH22" t="e">
        <f>LOG(Table1_15[[#This Row],[11Cl-PF3OUdS]])</f>
        <v>#NUM!</v>
      </c>
      <c r="AI22" t="e">
        <f>LOG(Table1_15[[#This Row],[PFEESA]])</f>
        <v>#NUM!</v>
      </c>
      <c r="AJ22" t="e">
        <f>LOG(Table1_15[[#This Row],[3:3 FTCA]])</f>
        <v>#NUM!</v>
      </c>
      <c r="AK22" t="e">
        <f>LOG(Table1_15[[#This Row],[5:3 FTCA]])</f>
        <v>#NUM!</v>
      </c>
      <c r="AL22" t="e">
        <f>LOG(Table1_15[[#This Row],[7:3 FTCA]])</f>
        <v>#NUM!</v>
      </c>
      <c r="AM22" t="e">
        <f>LOG(Table1_15[[#This Row],[PFDS]])</f>
        <v>#NUM!</v>
      </c>
      <c r="AN22" t="e">
        <f>LOG(Table1_15[[#This Row],[PFMPA]])</f>
        <v>#NUM!</v>
      </c>
    </row>
    <row r="23" spans="1:40" x14ac:dyDescent="0.3">
      <c r="A23">
        <f>LOG(Table1_15[[#This Row],[PFBA]])</f>
        <v>-1.2041199826559248</v>
      </c>
      <c r="B23">
        <f>LOG(Table1_15[[#This Row],[PFPeA]])</f>
        <v>-1.2041199826559248</v>
      </c>
      <c r="C23">
        <f>LOG(Table1_15[[#This Row],[PFBS]])</f>
        <v>-0.90308998699194354</v>
      </c>
      <c r="D23">
        <f>LOG(Table1_15[[#This Row],[PFHxA]])</f>
        <v>-1.2041199826559248</v>
      </c>
      <c r="E23">
        <f>LOG(Table1_15[[#This Row],[PFPeS]])</f>
        <v>-1.2041199826559248</v>
      </c>
      <c r="F23">
        <f>LOG(Table1_15[[#This Row],[PFHpA]])</f>
        <v>-1.2041199826559248</v>
      </c>
      <c r="G23">
        <f>LOG(Table1_15[[#This Row],[PFHxS]])</f>
        <v>-0.65423430688551176</v>
      </c>
      <c r="H23">
        <f>LOG(Table1_15[[#This Row],[PFOA]])</f>
        <v>-0.90308998699194354</v>
      </c>
      <c r="I23">
        <f>LOG(Table1_15[[#This Row],[6:2 FTS]])</f>
        <v>-0.80715388481115824</v>
      </c>
      <c r="J23">
        <f>LOG(Table1_15[[#This Row],[PFHpS]])</f>
        <v>-1.3925449767853315</v>
      </c>
      <c r="K23">
        <f>LOG(Table1_15[[#This Row],[PFNA]])</f>
        <v>-0.90308998699194354</v>
      </c>
      <c r="L23">
        <f>LOG(Table1_15[[#This Row],[PFOS]])</f>
        <v>0.37346372163236902</v>
      </c>
      <c r="M23" t="e">
        <f>LOG(Table1_15[[#This Row],[PFDA]])</f>
        <v>#NUM!</v>
      </c>
      <c r="N23" t="e">
        <f>LOG(Table1_15[[#This Row],[PFUnA]])</f>
        <v>#NUM!</v>
      </c>
      <c r="O23" t="e">
        <f>LOG(Table1_15[[#This Row],[PFDoA]])</f>
        <v>#NUM!</v>
      </c>
      <c r="P23" t="e">
        <f>LOG(Table1_15[[#This Row],[PFTrDA]])</f>
        <v>#NUM!</v>
      </c>
      <c r="Q23" t="e">
        <f>LOG(Table1_15[[#This Row],[PFTeDA]])</f>
        <v>#NUM!</v>
      </c>
      <c r="R23" t="e">
        <f>LOG(Table1_15[[#This Row],[PFNS]])</f>
        <v>#NUM!</v>
      </c>
      <c r="S23" t="e">
        <f>LOG(Table1_15[[#This Row],[PFDoS]])</f>
        <v>#NUM!</v>
      </c>
      <c r="T23" t="e">
        <f>LOG(Table1_15[[#This Row],[4:2 FTS]])</f>
        <v>#NUM!</v>
      </c>
      <c r="U23" t="e">
        <f>LOG(Table1_15[[#This Row],[8:2 FTS]])</f>
        <v>#NUM!</v>
      </c>
      <c r="V23" t="e">
        <f>LOG(Table1_15[[#This Row],[FOSA]])</f>
        <v>#NUM!</v>
      </c>
      <c r="W23" t="e">
        <f>LOG(Table1_15[[#This Row],[N-MeFOSA]])</f>
        <v>#NUM!</v>
      </c>
      <c r="X23" t="e">
        <f>LOG(Table1_15[[#This Row],[N-MeFOSAA]])</f>
        <v>#NUM!</v>
      </c>
      <c r="Y23" t="e">
        <f>LOG(Table1_15[[#This Row],[N-EtFOSA]])</f>
        <v>#NUM!</v>
      </c>
      <c r="Z23" t="e">
        <f>LOG(Table1_15[[#This Row],[N-EtFOSAA]])</f>
        <v>#NUM!</v>
      </c>
      <c r="AA23" t="e">
        <f>LOG(Table1_15[[#This Row],[N-MeFOSE]])</f>
        <v>#NUM!</v>
      </c>
      <c r="AB23" t="e">
        <f>LOG(Table1_15[[#This Row],[N-EtFOSE]])</f>
        <v>#NUM!</v>
      </c>
      <c r="AC23" t="e">
        <f>LOG(Table1_15[[#This Row],[HFPO-DA]])</f>
        <v>#NUM!</v>
      </c>
      <c r="AD23" t="e">
        <f>LOG(Table1_15[[#This Row],[ADONA]])</f>
        <v>#NUM!</v>
      </c>
      <c r="AE23" t="e">
        <f>LOG(Table1_15[[#This Row],[PFMBA]])</f>
        <v>#NUM!</v>
      </c>
      <c r="AF23" t="e">
        <f>LOG(Table1_15[[#This Row],[NFDHA]])</f>
        <v>#NUM!</v>
      </c>
      <c r="AG23" t="e">
        <f>LOG(Table1_15[[#This Row],[9Cl-PF3ONS]])</f>
        <v>#NUM!</v>
      </c>
      <c r="AH23" t="e">
        <f>LOG(Table1_15[[#This Row],[11Cl-PF3OUdS]])</f>
        <v>#NUM!</v>
      </c>
      <c r="AI23" t="e">
        <f>LOG(Table1_15[[#This Row],[PFEESA]])</f>
        <v>#NUM!</v>
      </c>
      <c r="AJ23" t="e">
        <f>LOG(Table1_15[[#This Row],[3:3 FTCA]])</f>
        <v>#NUM!</v>
      </c>
      <c r="AK23" t="e">
        <f>LOG(Table1_15[[#This Row],[5:3 FTCA]])</f>
        <v>#NUM!</v>
      </c>
      <c r="AL23" t="e">
        <f>LOG(Table1_15[[#This Row],[7:3 FTCA]])</f>
        <v>#NUM!</v>
      </c>
      <c r="AM23" t="e">
        <f>LOG(Table1_15[[#This Row],[PFDS]])</f>
        <v>#NUM!</v>
      </c>
      <c r="AN23" t="e">
        <f>LOG(Table1_15[[#This Row],[PFMPA]])</f>
        <v>#NUM!</v>
      </c>
    </row>
    <row r="24" spans="1:40" x14ac:dyDescent="0.3">
      <c r="A24">
        <f>LOG(Table1_15[[#This Row],[PFBA]])</f>
        <v>-0.89211197481720139</v>
      </c>
      <c r="B24">
        <f>LOG(Table1_15[[#This Row],[PFPeA]])</f>
        <v>-0.80024482274652531</v>
      </c>
      <c r="C24">
        <f>LOG(Table1_15[[#This Row],[PFBS]])</f>
        <v>-0.60171269464259891</v>
      </c>
      <c r="D24">
        <f>LOG(Table1_15[[#This Row],[PFHxA]])</f>
        <v>-0.50113831100711592</v>
      </c>
      <c r="E24">
        <f>LOG(Table1_15[[#This Row],[PFPeS]])</f>
        <v>-0.49133563694705729</v>
      </c>
      <c r="F24">
        <f>LOG(Table1_15[[#This Row],[PFHpA]])</f>
        <v>-0.77910775078048078</v>
      </c>
      <c r="G24">
        <f>LOG(Table1_15[[#This Row],[PFHxS]])</f>
        <v>0.31236779471597348</v>
      </c>
      <c r="H24">
        <f>LOG(Table1_15[[#This Row],[PFOA]])</f>
        <v>-0.29567785917776457</v>
      </c>
      <c r="I24">
        <f>LOG(Table1_15[[#This Row],[6:2 FTS]])</f>
        <v>0.1064288947934113</v>
      </c>
      <c r="J24">
        <f>LOG(Table1_15[[#This Row],[PFHpS]])</f>
        <v>-0.64493179365114928</v>
      </c>
      <c r="K24">
        <f>LOG(Table1_15[[#This Row],[PFNA]])</f>
        <v>-0.90308998699194354</v>
      </c>
      <c r="L24">
        <f>LOG(Table1_15[[#This Row],[PFOS]])</f>
        <v>1.1483527402070439</v>
      </c>
      <c r="M24" t="e">
        <f>LOG(Table1_15[[#This Row],[PFDA]])</f>
        <v>#NUM!</v>
      </c>
      <c r="N24" t="e">
        <f>LOG(Table1_15[[#This Row],[PFUnA]])</f>
        <v>#NUM!</v>
      </c>
      <c r="O24" t="e">
        <f>LOG(Table1_15[[#This Row],[PFDoA]])</f>
        <v>#NUM!</v>
      </c>
      <c r="P24" t="e">
        <f>LOG(Table1_15[[#This Row],[PFTrDA]])</f>
        <v>#NUM!</v>
      </c>
      <c r="Q24" t="e">
        <f>LOG(Table1_15[[#This Row],[PFTeDA]])</f>
        <v>#NUM!</v>
      </c>
      <c r="R24" t="e">
        <f>LOG(Table1_15[[#This Row],[PFNS]])</f>
        <v>#NUM!</v>
      </c>
      <c r="S24" t="e">
        <f>LOG(Table1_15[[#This Row],[PFDoS]])</f>
        <v>#NUM!</v>
      </c>
      <c r="T24" t="e">
        <f>LOG(Table1_15[[#This Row],[4:2 FTS]])</f>
        <v>#NUM!</v>
      </c>
      <c r="U24" t="e">
        <f>LOG(Table1_15[[#This Row],[8:2 FTS]])</f>
        <v>#NUM!</v>
      </c>
      <c r="V24" t="e">
        <f>LOG(Table1_15[[#This Row],[FOSA]])</f>
        <v>#NUM!</v>
      </c>
      <c r="W24" t="e">
        <f>LOG(Table1_15[[#This Row],[N-MeFOSA]])</f>
        <v>#NUM!</v>
      </c>
      <c r="X24" t="e">
        <f>LOG(Table1_15[[#This Row],[N-MeFOSAA]])</f>
        <v>#NUM!</v>
      </c>
      <c r="Y24" t="e">
        <f>LOG(Table1_15[[#This Row],[N-EtFOSA]])</f>
        <v>#NUM!</v>
      </c>
      <c r="Z24" t="e">
        <f>LOG(Table1_15[[#This Row],[N-EtFOSAA]])</f>
        <v>#NUM!</v>
      </c>
      <c r="AA24" t="e">
        <f>LOG(Table1_15[[#This Row],[N-MeFOSE]])</f>
        <v>#NUM!</v>
      </c>
      <c r="AB24" t="e">
        <f>LOG(Table1_15[[#This Row],[N-EtFOSE]])</f>
        <v>#NUM!</v>
      </c>
      <c r="AC24" t="e">
        <f>LOG(Table1_15[[#This Row],[HFPO-DA]])</f>
        <v>#NUM!</v>
      </c>
      <c r="AD24" t="e">
        <f>LOG(Table1_15[[#This Row],[ADONA]])</f>
        <v>#NUM!</v>
      </c>
      <c r="AE24" t="e">
        <f>LOG(Table1_15[[#This Row],[PFMBA]])</f>
        <v>#NUM!</v>
      </c>
      <c r="AF24" t="e">
        <f>LOG(Table1_15[[#This Row],[NFDHA]])</f>
        <v>#NUM!</v>
      </c>
      <c r="AG24" t="e">
        <f>LOG(Table1_15[[#This Row],[9Cl-PF3ONS]])</f>
        <v>#NUM!</v>
      </c>
      <c r="AH24" t="e">
        <f>LOG(Table1_15[[#This Row],[11Cl-PF3OUdS]])</f>
        <v>#NUM!</v>
      </c>
      <c r="AI24" t="e">
        <f>LOG(Table1_15[[#This Row],[PFEESA]])</f>
        <v>#NUM!</v>
      </c>
      <c r="AJ24" t="e">
        <f>LOG(Table1_15[[#This Row],[3:3 FTCA]])</f>
        <v>#NUM!</v>
      </c>
      <c r="AK24" t="e">
        <f>LOG(Table1_15[[#This Row],[5:3 FTCA]])</f>
        <v>#NUM!</v>
      </c>
      <c r="AL24" t="e">
        <f>LOG(Table1_15[[#This Row],[7:3 FTCA]])</f>
        <v>#NUM!</v>
      </c>
      <c r="AM24" t="e">
        <f>LOG(Table1_15[[#This Row],[PFDS]])</f>
        <v>#NUM!</v>
      </c>
      <c r="AN24" t="e">
        <f>LOG(Table1_15[[#This Row],[PFMPA]])</f>
        <v>#NUM!</v>
      </c>
    </row>
    <row r="25" spans="1:40" x14ac:dyDescent="0.3">
      <c r="A25">
        <f>LOG(Table1_15[[#This Row],[PFBA]])</f>
        <v>-1.2041199826559248</v>
      </c>
      <c r="B25">
        <f>LOG(Table1_15[[#This Row],[PFPeA]])</f>
        <v>-1.2041199826559248</v>
      </c>
      <c r="C25">
        <f>LOG(Table1_15[[#This Row],[PFBS]])</f>
        <v>-0.90308998699194354</v>
      </c>
      <c r="D25">
        <f>LOG(Table1_15[[#This Row],[PFHxA]])</f>
        <v>-0.88008458974200898</v>
      </c>
      <c r="E25">
        <f>LOG(Table1_15[[#This Row],[PFPeS]])</f>
        <v>-1.2041199826559248</v>
      </c>
      <c r="F25">
        <f>LOG(Table1_15[[#This Row],[PFHpA]])</f>
        <v>-1.2041199826559248</v>
      </c>
      <c r="G25">
        <f>LOG(Table1_15[[#This Row],[PFHxS]])</f>
        <v>-0.70202075584063761</v>
      </c>
      <c r="H25">
        <f>LOG(Table1_15[[#This Row],[PFOA]])</f>
        <v>-0.90308998699194354</v>
      </c>
      <c r="I25">
        <f>LOG(Table1_15[[#This Row],[6:2 FTS]])</f>
        <v>-0.76674999045889969</v>
      </c>
      <c r="J25">
        <f>LOG(Table1_15[[#This Row],[PFHpS]])</f>
        <v>-1.5451551399914898</v>
      </c>
      <c r="K25">
        <f>LOG(Table1_15[[#This Row],[PFNA]])</f>
        <v>-0.90308998699194354</v>
      </c>
      <c r="L25">
        <f>LOG(Table1_15[[#This Row],[PFOS]])</f>
        <v>0.29749788592569842</v>
      </c>
      <c r="M25" t="e">
        <f>LOG(Table1_15[[#This Row],[PFDA]])</f>
        <v>#NUM!</v>
      </c>
      <c r="N25" t="e">
        <f>LOG(Table1_15[[#This Row],[PFUnA]])</f>
        <v>#NUM!</v>
      </c>
      <c r="O25" t="e">
        <f>LOG(Table1_15[[#This Row],[PFDoA]])</f>
        <v>#NUM!</v>
      </c>
      <c r="P25" t="e">
        <f>LOG(Table1_15[[#This Row],[PFTrDA]])</f>
        <v>#NUM!</v>
      </c>
      <c r="Q25" t="e">
        <f>LOG(Table1_15[[#This Row],[PFTeDA]])</f>
        <v>#NUM!</v>
      </c>
      <c r="R25" t="e">
        <f>LOG(Table1_15[[#This Row],[PFNS]])</f>
        <v>#NUM!</v>
      </c>
      <c r="S25" t="e">
        <f>LOG(Table1_15[[#This Row],[PFDoS]])</f>
        <v>#NUM!</v>
      </c>
      <c r="T25" t="e">
        <f>LOG(Table1_15[[#This Row],[4:2 FTS]])</f>
        <v>#NUM!</v>
      </c>
      <c r="U25" t="e">
        <f>LOG(Table1_15[[#This Row],[8:2 FTS]])</f>
        <v>#NUM!</v>
      </c>
      <c r="V25" t="e">
        <f>LOG(Table1_15[[#This Row],[FOSA]])</f>
        <v>#NUM!</v>
      </c>
      <c r="W25" t="e">
        <f>LOG(Table1_15[[#This Row],[N-MeFOSA]])</f>
        <v>#NUM!</v>
      </c>
      <c r="X25" t="e">
        <f>LOG(Table1_15[[#This Row],[N-MeFOSAA]])</f>
        <v>#NUM!</v>
      </c>
      <c r="Y25" t="e">
        <f>LOG(Table1_15[[#This Row],[N-EtFOSA]])</f>
        <v>#NUM!</v>
      </c>
      <c r="Z25" t="e">
        <f>LOG(Table1_15[[#This Row],[N-EtFOSAA]])</f>
        <v>#NUM!</v>
      </c>
      <c r="AA25" t="e">
        <f>LOG(Table1_15[[#This Row],[N-MeFOSE]])</f>
        <v>#NUM!</v>
      </c>
      <c r="AB25" t="e">
        <f>LOG(Table1_15[[#This Row],[N-EtFOSE]])</f>
        <v>#NUM!</v>
      </c>
      <c r="AC25" t="e">
        <f>LOG(Table1_15[[#This Row],[HFPO-DA]])</f>
        <v>#NUM!</v>
      </c>
      <c r="AD25" t="e">
        <f>LOG(Table1_15[[#This Row],[ADONA]])</f>
        <v>#NUM!</v>
      </c>
      <c r="AE25" t="e">
        <f>LOG(Table1_15[[#This Row],[PFMBA]])</f>
        <v>#NUM!</v>
      </c>
      <c r="AF25" t="e">
        <f>LOG(Table1_15[[#This Row],[NFDHA]])</f>
        <v>#NUM!</v>
      </c>
      <c r="AG25" t="e">
        <f>LOG(Table1_15[[#This Row],[9Cl-PF3ONS]])</f>
        <v>#NUM!</v>
      </c>
      <c r="AH25" t="e">
        <f>LOG(Table1_15[[#This Row],[11Cl-PF3OUdS]])</f>
        <v>#NUM!</v>
      </c>
      <c r="AI25" t="e">
        <f>LOG(Table1_15[[#This Row],[PFEESA]])</f>
        <v>#NUM!</v>
      </c>
      <c r="AJ25" t="e">
        <f>LOG(Table1_15[[#This Row],[3:3 FTCA]])</f>
        <v>#NUM!</v>
      </c>
      <c r="AK25" t="e">
        <f>LOG(Table1_15[[#This Row],[5:3 FTCA]])</f>
        <v>#NUM!</v>
      </c>
      <c r="AL25" t="e">
        <f>LOG(Table1_15[[#This Row],[7:3 FTCA]])</f>
        <v>#NUM!</v>
      </c>
      <c r="AM25" t="e">
        <f>LOG(Table1_15[[#This Row],[PFDS]])</f>
        <v>#NUM!</v>
      </c>
      <c r="AN25" t="e">
        <f>LOG(Table1_15[[#This Row],[PFMPA]])</f>
        <v>#NUM!</v>
      </c>
    </row>
    <row r="26" spans="1:40" x14ac:dyDescent="0.3">
      <c r="A26">
        <f>LOG(Table1_15[[#This Row],[PFBA]])</f>
        <v>-0.89448981523002602</v>
      </c>
      <c r="B26">
        <f>LOG(Table1_15[[#This Row],[PFPeA]])</f>
        <v>-0.80910828307783034</v>
      </c>
      <c r="C26">
        <f>LOG(Table1_15[[#This Row],[PFBS]])</f>
        <v>-0.48624984991817644</v>
      </c>
      <c r="D26">
        <f>LOG(Table1_15[[#This Row],[PFHxA]])</f>
        <v>-0.34418950550474775</v>
      </c>
      <c r="E26">
        <f>LOG(Table1_15[[#This Row],[PFPeS]])</f>
        <v>-0.41499072009753896</v>
      </c>
      <c r="F26">
        <f>LOG(Table1_15[[#This Row],[PFHpA]])</f>
        <v>-0.82915179635669067</v>
      </c>
      <c r="G26">
        <f>LOG(Table1_15[[#This Row],[PFHxS]])</f>
        <v>0.43598762132621299</v>
      </c>
      <c r="H26">
        <f>LOG(Table1_15[[#This Row],[PFOA]])</f>
        <v>-0.30364361126666789</v>
      </c>
      <c r="I26">
        <f>LOG(Table1_15[[#This Row],[6:2 FTS]])</f>
        <v>0.31422547092649677</v>
      </c>
      <c r="J26">
        <f>LOG(Table1_15[[#This Row],[PFHpS]])</f>
        <v>-0.22767829327708025</v>
      </c>
      <c r="K26">
        <f>LOG(Table1_15[[#This Row],[PFNA]])</f>
        <v>-0.90308998699194354</v>
      </c>
      <c r="L26">
        <f>LOG(Table1_15[[#This Row],[PFOS]])</f>
        <v>1.3404540301260608</v>
      </c>
      <c r="M26" t="e">
        <f>LOG(Table1_15[[#This Row],[PFDA]])</f>
        <v>#NUM!</v>
      </c>
      <c r="N26" t="e">
        <f>LOG(Table1_15[[#This Row],[PFUnA]])</f>
        <v>#NUM!</v>
      </c>
      <c r="O26" t="e">
        <f>LOG(Table1_15[[#This Row],[PFDoA]])</f>
        <v>#NUM!</v>
      </c>
      <c r="P26" t="e">
        <f>LOG(Table1_15[[#This Row],[PFTrDA]])</f>
        <v>#NUM!</v>
      </c>
      <c r="Q26" t="e">
        <f>LOG(Table1_15[[#This Row],[PFTeDA]])</f>
        <v>#NUM!</v>
      </c>
      <c r="R26" t="e">
        <f>LOG(Table1_15[[#This Row],[PFNS]])</f>
        <v>#NUM!</v>
      </c>
      <c r="S26" t="e">
        <f>LOG(Table1_15[[#This Row],[PFDoS]])</f>
        <v>#NUM!</v>
      </c>
      <c r="T26" t="e">
        <f>LOG(Table1_15[[#This Row],[4:2 FTS]])</f>
        <v>#NUM!</v>
      </c>
      <c r="U26" t="e">
        <f>LOG(Table1_15[[#This Row],[8:2 FTS]])</f>
        <v>#NUM!</v>
      </c>
      <c r="V26" t="e">
        <f>LOG(Table1_15[[#This Row],[FOSA]])</f>
        <v>#NUM!</v>
      </c>
      <c r="W26" t="e">
        <f>LOG(Table1_15[[#This Row],[N-MeFOSA]])</f>
        <v>#NUM!</v>
      </c>
      <c r="X26" t="e">
        <f>LOG(Table1_15[[#This Row],[N-MeFOSAA]])</f>
        <v>#NUM!</v>
      </c>
      <c r="Y26" t="e">
        <f>LOG(Table1_15[[#This Row],[N-EtFOSA]])</f>
        <v>#NUM!</v>
      </c>
      <c r="Z26" t="e">
        <f>LOG(Table1_15[[#This Row],[N-EtFOSAA]])</f>
        <v>#NUM!</v>
      </c>
      <c r="AA26" t="e">
        <f>LOG(Table1_15[[#This Row],[N-MeFOSE]])</f>
        <v>#NUM!</v>
      </c>
      <c r="AB26" t="e">
        <f>LOG(Table1_15[[#This Row],[N-EtFOSE]])</f>
        <v>#NUM!</v>
      </c>
      <c r="AC26" t="e">
        <f>LOG(Table1_15[[#This Row],[HFPO-DA]])</f>
        <v>#NUM!</v>
      </c>
      <c r="AD26" t="e">
        <f>LOG(Table1_15[[#This Row],[ADONA]])</f>
        <v>#NUM!</v>
      </c>
      <c r="AE26" t="e">
        <f>LOG(Table1_15[[#This Row],[PFMBA]])</f>
        <v>#NUM!</v>
      </c>
      <c r="AF26" t="e">
        <f>LOG(Table1_15[[#This Row],[NFDHA]])</f>
        <v>#NUM!</v>
      </c>
      <c r="AG26" t="e">
        <f>LOG(Table1_15[[#This Row],[9Cl-PF3ONS]])</f>
        <v>#NUM!</v>
      </c>
      <c r="AH26" t="e">
        <f>LOG(Table1_15[[#This Row],[11Cl-PF3OUdS]])</f>
        <v>#NUM!</v>
      </c>
      <c r="AI26" t="e">
        <f>LOG(Table1_15[[#This Row],[PFEESA]])</f>
        <v>#NUM!</v>
      </c>
      <c r="AJ26" t="e">
        <f>LOG(Table1_15[[#This Row],[3:3 FTCA]])</f>
        <v>#NUM!</v>
      </c>
      <c r="AK26" t="e">
        <f>LOG(Table1_15[[#This Row],[5:3 FTCA]])</f>
        <v>#NUM!</v>
      </c>
      <c r="AL26" t="e">
        <f>LOG(Table1_15[[#This Row],[7:3 FTCA]])</f>
        <v>#NUM!</v>
      </c>
      <c r="AM26" t="e">
        <f>LOG(Table1_15[[#This Row],[PFDS]])</f>
        <v>#NUM!</v>
      </c>
      <c r="AN26" t="e">
        <f>LOG(Table1_15[[#This Row],[PFMPA]])</f>
        <v>#NUM!</v>
      </c>
    </row>
    <row r="27" spans="1:40" x14ac:dyDescent="0.3">
      <c r="A27">
        <f>LOG(Table1_15[[#This Row],[PFBA]])</f>
        <v>-1.2041199826559248</v>
      </c>
      <c r="B27">
        <f>LOG(Table1_15[[#This Row],[PFPeA]])</f>
        <v>-1.2041199826559248</v>
      </c>
      <c r="C27">
        <f>LOG(Table1_15[[#This Row],[PFBS]])</f>
        <v>-0.90308998699194354</v>
      </c>
      <c r="D27">
        <f>LOG(Table1_15[[#This Row],[PFHxA]])</f>
        <v>-1.2041199826559248</v>
      </c>
      <c r="E27">
        <f>LOG(Table1_15[[#This Row],[PFPeS]])</f>
        <v>-1.2041199826559248</v>
      </c>
      <c r="F27">
        <f>LOG(Table1_15[[#This Row],[PFHpA]])</f>
        <v>-1.2041199826559248</v>
      </c>
      <c r="G27">
        <f>LOG(Table1_15[[#This Row],[PFHxS]])</f>
        <v>-0.7430418474390682</v>
      </c>
      <c r="H27">
        <f>LOG(Table1_15[[#This Row],[PFOA]])</f>
        <v>-0.90308998699194354</v>
      </c>
      <c r="I27">
        <f>LOG(Table1_15[[#This Row],[6:2 FTS]])</f>
        <v>-0.78015361397563932</v>
      </c>
      <c r="J27" t="e">
        <f>LOG(Table1_15[[#This Row],[PFHpS]])</f>
        <v>#NUM!</v>
      </c>
      <c r="K27">
        <f>LOG(Table1_15[[#This Row],[PFNA]])</f>
        <v>-0.90308998699194354</v>
      </c>
      <c r="L27">
        <f>LOG(Table1_15[[#This Row],[PFOS]])</f>
        <v>0.21144093557866939</v>
      </c>
      <c r="M27" t="e">
        <f>LOG(Table1_15[[#This Row],[PFDA]])</f>
        <v>#NUM!</v>
      </c>
      <c r="N27" t="e">
        <f>LOG(Table1_15[[#This Row],[PFUnA]])</f>
        <v>#NUM!</v>
      </c>
      <c r="O27" t="e">
        <f>LOG(Table1_15[[#This Row],[PFDoA]])</f>
        <v>#NUM!</v>
      </c>
      <c r="P27" t="e">
        <f>LOG(Table1_15[[#This Row],[PFTrDA]])</f>
        <v>#NUM!</v>
      </c>
      <c r="Q27" t="e">
        <f>LOG(Table1_15[[#This Row],[PFTeDA]])</f>
        <v>#NUM!</v>
      </c>
      <c r="R27" t="e">
        <f>LOG(Table1_15[[#This Row],[PFNS]])</f>
        <v>#NUM!</v>
      </c>
      <c r="S27" t="e">
        <f>LOG(Table1_15[[#This Row],[PFDoS]])</f>
        <v>#NUM!</v>
      </c>
      <c r="T27" t="e">
        <f>LOG(Table1_15[[#This Row],[4:2 FTS]])</f>
        <v>#NUM!</v>
      </c>
      <c r="U27" t="e">
        <f>LOG(Table1_15[[#This Row],[8:2 FTS]])</f>
        <v>#NUM!</v>
      </c>
      <c r="V27" t="e">
        <f>LOG(Table1_15[[#This Row],[FOSA]])</f>
        <v>#NUM!</v>
      </c>
      <c r="W27" t="e">
        <f>LOG(Table1_15[[#This Row],[N-MeFOSA]])</f>
        <v>#NUM!</v>
      </c>
      <c r="X27" t="e">
        <f>LOG(Table1_15[[#This Row],[N-MeFOSAA]])</f>
        <v>#NUM!</v>
      </c>
      <c r="Y27" t="e">
        <f>LOG(Table1_15[[#This Row],[N-EtFOSA]])</f>
        <v>#NUM!</v>
      </c>
      <c r="Z27" t="e">
        <f>LOG(Table1_15[[#This Row],[N-EtFOSAA]])</f>
        <v>#NUM!</v>
      </c>
      <c r="AA27" t="e">
        <f>LOG(Table1_15[[#This Row],[N-MeFOSE]])</f>
        <v>#NUM!</v>
      </c>
      <c r="AB27" t="e">
        <f>LOG(Table1_15[[#This Row],[N-EtFOSE]])</f>
        <v>#NUM!</v>
      </c>
      <c r="AC27" t="e">
        <f>LOG(Table1_15[[#This Row],[HFPO-DA]])</f>
        <v>#NUM!</v>
      </c>
      <c r="AD27" t="e">
        <f>LOG(Table1_15[[#This Row],[ADONA]])</f>
        <v>#NUM!</v>
      </c>
      <c r="AE27" t="e">
        <f>LOG(Table1_15[[#This Row],[PFMBA]])</f>
        <v>#NUM!</v>
      </c>
      <c r="AF27" t="e">
        <f>LOG(Table1_15[[#This Row],[NFDHA]])</f>
        <v>#NUM!</v>
      </c>
      <c r="AG27" t="e">
        <f>LOG(Table1_15[[#This Row],[9Cl-PF3ONS]])</f>
        <v>#NUM!</v>
      </c>
      <c r="AH27" t="e">
        <f>LOG(Table1_15[[#This Row],[11Cl-PF3OUdS]])</f>
        <v>#NUM!</v>
      </c>
      <c r="AI27" t="e">
        <f>LOG(Table1_15[[#This Row],[PFEESA]])</f>
        <v>#NUM!</v>
      </c>
      <c r="AJ27" t="e">
        <f>LOG(Table1_15[[#This Row],[3:3 FTCA]])</f>
        <v>#NUM!</v>
      </c>
      <c r="AK27" t="e">
        <f>LOG(Table1_15[[#This Row],[5:3 FTCA]])</f>
        <v>#NUM!</v>
      </c>
      <c r="AL27" t="e">
        <f>LOG(Table1_15[[#This Row],[7:3 FTCA]])</f>
        <v>#NUM!</v>
      </c>
      <c r="AM27" t="e">
        <f>LOG(Table1_15[[#This Row],[PFDS]])</f>
        <v>#NUM!</v>
      </c>
      <c r="AN27" t="e">
        <f>LOG(Table1_15[[#This Row],[PFMPA]])</f>
        <v>#NUM!</v>
      </c>
    </row>
    <row r="28" spans="1:40" x14ac:dyDescent="0.3">
      <c r="A28">
        <f>LOG(Table1_15[[#This Row],[PFBA]])</f>
        <v>-1.2041199826559248</v>
      </c>
      <c r="B28">
        <f>LOG(Table1_15[[#This Row],[PFPeA]])</f>
        <v>-1.2041199826559248</v>
      </c>
      <c r="C28">
        <f>LOG(Table1_15[[#This Row],[PFBS]])</f>
        <v>-0.90308998699194354</v>
      </c>
      <c r="D28">
        <f>LOG(Table1_15[[#This Row],[PFHxA]])</f>
        <v>-1.2041199826559248</v>
      </c>
      <c r="E28">
        <f>LOG(Table1_15[[#This Row],[PFPeS]])</f>
        <v>-0.90727935531590087</v>
      </c>
      <c r="F28">
        <f>LOG(Table1_15[[#This Row],[PFHpA]])</f>
        <v>-1.2041199826559248</v>
      </c>
      <c r="G28">
        <f>LOG(Table1_15[[#This Row],[PFHxS]])</f>
        <v>-0.47599355444262748</v>
      </c>
      <c r="H28">
        <f>LOG(Table1_15[[#This Row],[PFOA]])</f>
        <v>-0.90308998699194354</v>
      </c>
      <c r="I28">
        <f>LOG(Table1_15[[#This Row],[6:2 FTS]])</f>
        <v>-0.83120797968581828</v>
      </c>
      <c r="J28">
        <f>LOG(Table1_15[[#This Row],[PFHpS]])</f>
        <v>-1.2790142558462609</v>
      </c>
      <c r="K28">
        <f>LOG(Table1_15[[#This Row],[PFNA]])</f>
        <v>-0.90308998699194354</v>
      </c>
      <c r="L28">
        <f>LOG(Table1_15[[#This Row],[PFOS]])</f>
        <v>0.43613082942970088</v>
      </c>
      <c r="M28" t="e">
        <f>LOG(Table1_15[[#This Row],[PFDA]])</f>
        <v>#NUM!</v>
      </c>
      <c r="N28" t="e">
        <f>LOG(Table1_15[[#This Row],[PFUnA]])</f>
        <v>#NUM!</v>
      </c>
      <c r="O28" t="e">
        <f>LOG(Table1_15[[#This Row],[PFDoA]])</f>
        <v>#NUM!</v>
      </c>
      <c r="P28" t="e">
        <f>LOG(Table1_15[[#This Row],[PFTrDA]])</f>
        <v>#NUM!</v>
      </c>
      <c r="Q28" t="e">
        <f>LOG(Table1_15[[#This Row],[PFTeDA]])</f>
        <v>#NUM!</v>
      </c>
      <c r="R28" t="e">
        <f>LOG(Table1_15[[#This Row],[PFNS]])</f>
        <v>#NUM!</v>
      </c>
      <c r="S28" t="e">
        <f>LOG(Table1_15[[#This Row],[PFDoS]])</f>
        <v>#NUM!</v>
      </c>
      <c r="T28" t="e">
        <f>LOG(Table1_15[[#This Row],[4:2 FTS]])</f>
        <v>#NUM!</v>
      </c>
      <c r="U28" t="e">
        <f>LOG(Table1_15[[#This Row],[8:2 FTS]])</f>
        <v>#NUM!</v>
      </c>
      <c r="V28" t="e">
        <f>LOG(Table1_15[[#This Row],[FOSA]])</f>
        <v>#NUM!</v>
      </c>
      <c r="W28" t="e">
        <f>LOG(Table1_15[[#This Row],[N-MeFOSA]])</f>
        <v>#NUM!</v>
      </c>
      <c r="X28" t="e">
        <f>LOG(Table1_15[[#This Row],[N-MeFOSAA]])</f>
        <v>#NUM!</v>
      </c>
      <c r="Y28" t="e">
        <f>LOG(Table1_15[[#This Row],[N-EtFOSA]])</f>
        <v>#NUM!</v>
      </c>
      <c r="Z28" t="e">
        <f>LOG(Table1_15[[#This Row],[N-EtFOSAA]])</f>
        <v>#NUM!</v>
      </c>
      <c r="AA28" t="e">
        <f>LOG(Table1_15[[#This Row],[N-MeFOSE]])</f>
        <v>#NUM!</v>
      </c>
      <c r="AB28" t="e">
        <f>LOG(Table1_15[[#This Row],[N-EtFOSE]])</f>
        <v>#NUM!</v>
      </c>
      <c r="AC28" t="e">
        <f>LOG(Table1_15[[#This Row],[HFPO-DA]])</f>
        <v>#NUM!</v>
      </c>
      <c r="AD28" t="e">
        <f>LOG(Table1_15[[#This Row],[ADONA]])</f>
        <v>#NUM!</v>
      </c>
      <c r="AE28" t="e">
        <f>LOG(Table1_15[[#This Row],[PFMBA]])</f>
        <v>#NUM!</v>
      </c>
      <c r="AF28" t="e">
        <f>LOG(Table1_15[[#This Row],[NFDHA]])</f>
        <v>#NUM!</v>
      </c>
      <c r="AG28" t="e">
        <f>LOG(Table1_15[[#This Row],[9Cl-PF3ONS]])</f>
        <v>#NUM!</v>
      </c>
      <c r="AH28" t="e">
        <f>LOG(Table1_15[[#This Row],[11Cl-PF3OUdS]])</f>
        <v>#NUM!</v>
      </c>
      <c r="AI28" t="e">
        <f>LOG(Table1_15[[#This Row],[PFEESA]])</f>
        <v>#NUM!</v>
      </c>
      <c r="AJ28" t="e">
        <f>LOG(Table1_15[[#This Row],[3:3 FTCA]])</f>
        <v>#NUM!</v>
      </c>
      <c r="AK28" t="e">
        <f>LOG(Table1_15[[#This Row],[5:3 FTCA]])</f>
        <v>#NUM!</v>
      </c>
      <c r="AL28" t="e">
        <f>LOG(Table1_15[[#This Row],[7:3 FTCA]])</f>
        <v>#NUM!</v>
      </c>
      <c r="AM28" t="e">
        <f>LOG(Table1_15[[#This Row],[PFDS]])</f>
        <v>#NUM!</v>
      </c>
      <c r="AN28" t="e">
        <f>LOG(Table1_15[[#This Row],[PFMPA]])</f>
        <v>#NUM!</v>
      </c>
    </row>
    <row r="29" spans="1:40" x14ac:dyDescent="0.3">
      <c r="A29">
        <f>LOG(Table1_15[[#This Row],[PFBA]])</f>
        <v>-1.2041199826559248</v>
      </c>
      <c r="B29">
        <f>LOG(Table1_15[[#This Row],[PFPeA]])</f>
        <v>-1.2041199826559248</v>
      </c>
      <c r="C29">
        <f>LOG(Table1_15[[#This Row],[PFBS]])</f>
        <v>-0.90308998699194354</v>
      </c>
      <c r="D29">
        <f>LOG(Table1_15[[#This Row],[PFHxA]])</f>
        <v>-1.2041199826559248</v>
      </c>
      <c r="E29">
        <f>LOG(Table1_15[[#This Row],[PFPeS]])</f>
        <v>-1.2041199826559248</v>
      </c>
      <c r="F29">
        <f>LOG(Table1_15[[#This Row],[PFHpA]])</f>
        <v>-1.2041199826559248</v>
      </c>
      <c r="G29">
        <f>LOG(Table1_15[[#This Row],[PFHxS]])</f>
        <v>-0.69875291136378859</v>
      </c>
      <c r="H29">
        <f>LOG(Table1_15[[#This Row],[PFOA]])</f>
        <v>-0.90308998699194354</v>
      </c>
      <c r="I29">
        <f>LOG(Table1_15[[#This Row],[6:2 FTS]])</f>
        <v>-0.64454847987348263</v>
      </c>
      <c r="J29">
        <f>LOG(Table1_15[[#This Row],[PFHpS]])</f>
        <v>-1.9030899869919435</v>
      </c>
      <c r="K29">
        <f>LOG(Table1_15[[#This Row],[PFNA]])</f>
        <v>-0.90308998699194354</v>
      </c>
      <c r="L29">
        <f>LOG(Table1_15[[#This Row],[PFOS]])</f>
        <v>0.49059048702883279</v>
      </c>
      <c r="M29" t="e">
        <f>LOG(Table1_15[[#This Row],[PFDA]])</f>
        <v>#NUM!</v>
      </c>
      <c r="N29" t="e">
        <f>LOG(Table1_15[[#This Row],[PFUnA]])</f>
        <v>#NUM!</v>
      </c>
      <c r="O29" t="e">
        <f>LOG(Table1_15[[#This Row],[PFDoA]])</f>
        <v>#NUM!</v>
      </c>
      <c r="P29" t="e">
        <f>LOG(Table1_15[[#This Row],[PFTrDA]])</f>
        <v>#NUM!</v>
      </c>
      <c r="Q29" t="e">
        <f>LOG(Table1_15[[#This Row],[PFTeDA]])</f>
        <v>#NUM!</v>
      </c>
      <c r="R29" t="e">
        <f>LOG(Table1_15[[#This Row],[PFNS]])</f>
        <v>#NUM!</v>
      </c>
      <c r="S29" t="e">
        <f>LOG(Table1_15[[#This Row],[PFDoS]])</f>
        <v>#NUM!</v>
      </c>
      <c r="T29" t="e">
        <f>LOG(Table1_15[[#This Row],[4:2 FTS]])</f>
        <v>#NUM!</v>
      </c>
      <c r="U29" t="e">
        <f>LOG(Table1_15[[#This Row],[8:2 FTS]])</f>
        <v>#NUM!</v>
      </c>
      <c r="V29" t="e">
        <f>LOG(Table1_15[[#This Row],[FOSA]])</f>
        <v>#NUM!</v>
      </c>
      <c r="W29" t="e">
        <f>LOG(Table1_15[[#This Row],[N-MeFOSA]])</f>
        <v>#NUM!</v>
      </c>
      <c r="X29" t="e">
        <f>LOG(Table1_15[[#This Row],[N-MeFOSAA]])</f>
        <v>#NUM!</v>
      </c>
      <c r="Y29" t="e">
        <f>LOG(Table1_15[[#This Row],[N-EtFOSA]])</f>
        <v>#NUM!</v>
      </c>
      <c r="Z29" t="e">
        <f>LOG(Table1_15[[#This Row],[N-EtFOSAA]])</f>
        <v>#NUM!</v>
      </c>
      <c r="AA29" t="e">
        <f>LOG(Table1_15[[#This Row],[N-MeFOSE]])</f>
        <v>#NUM!</v>
      </c>
      <c r="AB29" t="e">
        <f>LOG(Table1_15[[#This Row],[N-EtFOSE]])</f>
        <v>#NUM!</v>
      </c>
      <c r="AC29" t="e">
        <f>LOG(Table1_15[[#This Row],[HFPO-DA]])</f>
        <v>#NUM!</v>
      </c>
      <c r="AD29" t="e">
        <f>LOG(Table1_15[[#This Row],[ADONA]])</f>
        <v>#NUM!</v>
      </c>
      <c r="AE29" t="e">
        <f>LOG(Table1_15[[#This Row],[PFMBA]])</f>
        <v>#NUM!</v>
      </c>
      <c r="AF29" t="e">
        <f>LOG(Table1_15[[#This Row],[NFDHA]])</f>
        <v>#NUM!</v>
      </c>
      <c r="AG29" t="e">
        <f>LOG(Table1_15[[#This Row],[9Cl-PF3ONS]])</f>
        <v>#NUM!</v>
      </c>
      <c r="AH29" t="e">
        <f>LOG(Table1_15[[#This Row],[11Cl-PF3OUdS]])</f>
        <v>#NUM!</v>
      </c>
      <c r="AI29" t="e">
        <f>LOG(Table1_15[[#This Row],[PFEESA]])</f>
        <v>#NUM!</v>
      </c>
      <c r="AJ29" t="e">
        <f>LOG(Table1_15[[#This Row],[3:3 FTCA]])</f>
        <v>#NUM!</v>
      </c>
      <c r="AK29" t="e">
        <f>LOG(Table1_15[[#This Row],[5:3 FTCA]])</f>
        <v>#NUM!</v>
      </c>
      <c r="AL29" t="e">
        <f>LOG(Table1_15[[#This Row],[7:3 FTCA]])</f>
        <v>#NUM!</v>
      </c>
      <c r="AM29" t="e">
        <f>LOG(Table1_15[[#This Row],[PFDS]])</f>
        <v>#NUM!</v>
      </c>
      <c r="AN29" t="e">
        <f>LOG(Table1_15[[#This Row],[PFMPA]])</f>
        <v>#NUM!</v>
      </c>
    </row>
    <row r="30" spans="1:40" x14ac:dyDescent="0.3">
      <c r="A30">
        <f>LOG(Table1_15[[#This Row],[PFBA]])</f>
        <v>-1.2041199826559248</v>
      </c>
      <c r="B30">
        <f>LOG(Table1_15[[#This Row],[PFPeA]])</f>
        <v>-1.2041199826559248</v>
      </c>
      <c r="C30">
        <f>LOG(Table1_15[[#This Row],[PFBS]])</f>
        <v>-0.90308998699194354</v>
      </c>
      <c r="D30">
        <f>LOG(Table1_15[[#This Row],[PFHxA]])</f>
        <v>-1.2041199826559248</v>
      </c>
      <c r="E30">
        <f>LOG(Table1_15[[#This Row],[PFPeS]])</f>
        <v>-0.54944299058167101</v>
      </c>
      <c r="F30">
        <f>LOG(Table1_15[[#This Row],[PFHpA]])</f>
        <v>-1.2041199826559248</v>
      </c>
      <c r="G30">
        <f>LOG(Table1_15[[#This Row],[PFHxS]])</f>
        <v>-0.58552805037069733</v>
      </c>
      <c r="H30">
        <f>LOG(Table1_15[[#This Row],[PFOA]])</f>
        <v>-0.90308998699194354</v>
      </c>
      <c r="I30">
        <f>LOG(Table1_15[[#This Row],[6:2 FTS]])</f>
        <v>-0.83032556594119311</v>
      </c>
      <c r="J30">
        <f>LOG(Table1_15[[#This Row],[PFHpS]])</f>
        <v>-1.0824944904474534</v>
      </c>
      <c r="K30">
        <f>LOG(Table1_15[[#This Row],[PFNA]])</f>
        <v>-0.90308998699194354</v>
      </c>
      <c r="L30">
        <f>LOG(Table1_15[[#This Row],[PFOS]])</f>
        <v>0.41620766119023062</v>
      </c>
      <c r="M30" t="e">
        <f>LOG(Table1_15[[#This Row],[PFDA]])</f>
        <v>#NUM!</v>
      </c>
      <c r="N30" t="e">
        <f>LOG(Table1_15[[#This Row],[PFUnA]])</f>
        <v>#NUM!</v>
      </c>
      <c r="O30" t="e">
        <f>LOG(Table1_15[[#This Row],[PFDoA]])</f>
        <v>#NUM!</v>
      </c>
      <c r="P30" t="e">
        <f>LOG(Table1_15[[#This Row],[PFTrDA]])</f>
        <v>#NUM!</v>
      </c>
      <c r="Q30" t="e">
        <f>LOG(Table1_15[[#This Row],[PFTeDA]])</f>
        <v>#NUM!</v>
      </c>
      <c r="R30" t="e">
        <f>LOG(Table1_15[[#This Row],[PFNS]])</f>
        <v>#NUM!</v>
      </c>
      <c r="S30" t="e">
        <f>LOG(Table1_15[[#This Row],[PFDoS]])</f>
        <v>#NUM!</v>
      </c>
      <c r="T30" t="e">
        <f>LOG(Table1_15[[#This Row],[4:2 FTS]])</f>
        <v>#NUM!</v>
      </c>
      <c r="U30" t="e">
        <f>LOG(Table1_15[[#This Row],[8:2 FTS]])</f>
        <v>#NUM!</v>
      </c>
      <c r="V30" t="e">
        <f>LOG(Table1_15[[#This Row],[FOSA]])</f>
        <v>#NUM!</v>
      </c>
      <c r="W30" t="e">
        <f>LOG(Table1_15[[#This Row],[N-MeFOSA]])</f>
        <v>#NUM!</v>
      </c>
      <c r="X30" t="e">
        <f>LOG(Table1_15[[#This Row],[N-MeFOSAA]])</f>
        <v>#NUM!</v>
      </c>
      <c r="Y30" t="e">
        <f>LOG(Table1_15[[#This Row],[N-EtFOSA]])</f>
        <v>#NUM!</v>
      </c>
      <c r="Z30" t="e">
        <f>LOG(Table1_15[[#This Row],[N-EtFOSAA]])</f>
        <v>#NUM!</v>
      </c>
      <c r="AA30" t="e">
        <f>LOG(Table1_15[[#This Row],[N-MeFOSE]])</f>
        <v>#NUM!</v>
      </c>
      <c r="AB30" t="e">
        <f>LOG(Table1_15[[#This Row],[N-EtFOSE]])</f>
        <v>#NUM!</v>
      </c>
      <c r="AC30" t="e">
        <f>LOG(Table1_15[[#This Row],[HFPO-DA]])</f>
        <v>#NUM!</v>
      </c>
      <c r="AD30" t="e">
        <f>LOG(Table1_15[[#This Row],[ADONA]])</f>
        <v>#NUM!</v>
      </c>
      <c r="AE30" t="e">
        <f>LOG(Table1_15[[#This Row],[PFMBA]])</f>
        <v>#NUM!</v>
      </c>
      <c r="AF30" t="e">
        <f>LOG(Table1_15[[#This Row],[NFDHA]])</f>
        <v>#NUM!</v>
      </c>
      <c r="AG30" t="e">
        <f>LOG(Table1_15[[#This Row],[9Cl-PF3ONS]])</f>
        <v>#NUM!</v>
      </c>
      <c r="AH30" t="e">
        <f>LOG(Table1_15[[#This Row],[11Cl-PF3OUdS]])</f>
        <v>#NUM!</v>
      </c>
      <c r="AI30" t="e">
        <f>LOG(Table1_15[[#This Row],[PFEESA]])</f>
        <v>#NUM!</v>
      </c>
      <c r="AJ30" t="e">
        <f>LOG(Table1_15[[#This Row],[3:3 FTCA]])</f>
        <v>#NUM!</v>
      </c>
      <c r="AK30" t="e">
        <f>LOG(Table1_15[[#This Row],[5:3 FTCA]])</f>
        <v>#NUM!</v>
      </c>
      <c r="AL30" t="e">
        <f>LOG(Table1_15[[#This Row],[7:3 FTCA]])</f>
        <v>#NUM!</v>
      </c>
      <c r="AM30" t="e">
        <f>LOG(Table1_15[[#This Row],[PFDS]])</f>
        <v>#NUM!</v>
      </c>
      <c r="AN30" t="e">
        <f>LOG(Table1_15[[#This Row],[PFMPA]])</f>
        <v>#NUM!</v>
      </c>
    </row>
    <row r="31" spans="1:40" x14ac:dyDescent="0.3">
      <c r="A31">
        <f>LOG(Table1_15[[#This Row],[PFBA]])</f>
        <v>-1.2041199826559248</v>
      </c>
      <c r="B31" t="e">
        <f>LOG(Table1_15[[#This Row],[PFPeA]])</f>
        <v>#NUM!</v>
      </c>
      <c r="C31">
        <f>LOG(Table1_15[[#This Row],[PFBS]])</f>
        <v>-0.38615817812393083</v>
      </c>
      <c r="D31">
        <f>LOG(Table1_15[[#This Row],[PFHxA]])</f>
        <v>-0.56177419239547055</v>
      </c>
      <c r="E31">
        <f>LOG(Table1_15[[#This Row],[PFPeS]])</f>
        <v>-0.36271045232182553</v>
      </c>
      <c r="F31">
        <f>LOG(Table1_15[[#This Row],[PFHpA]])</f>
        <v>-0.63997491081060254</v>
      </c>
      <c r="G31">
        <f>LOG(Table1_15[[#This Row],[PFHxS]])</f>
        <v>0.43296929087440572</v>
      </c>
      <c r="H31">
        <f>LOG(Table1_15[[#This Row],[PFOA]])</f>
        <v>-0.38615817812393083</v>
      </c>
      <c r="I31">
        <f>LOG(Table1_15[[#This Row],[6:2 FTS]])</f>
        <v>0.19722540611819192</v>
      </c>
      <c r="J31">
        <f>LOG(Table1_15[[#This Row],[PFHpS]])</f>
        <v>-0.49106647394996722</v>
      </c>
      <c r="K31">
        <f>LOG(Table1_15[[#This Row],[PFNA]])</f>
        <v>-0.87516985058614083</v>
      </c>
      <c r="L31">
        <f>LOG(Table1_15[[#This Row],[PFOS]])</f>
        <v>1.486784571399042</v>
      </c>
      <c r="M31" t="e">
        <f>LOG(Table1_15[[#This Row],[PFDA]])</f>
        <v>#NUM!</v>
      </c>
      <c r="N31" t="e">
        <f>LOG(Table1_15[[#This Row],[PFUnA]])</f>
        <v>#NUM!</v>
      </c>
      <c r="O31" t="e">
        <f>LOG(Table1_15[[#This Row],[PFDoA]])</f>
        <v>#NUM!</v>
      </c>
      <c r="P31" t="e">
        <f>LOG(Table1_15[[#This Row],[PFTrDA]])</f>
        <v>#NUM!</v>
      </c>
      <c r="Q31" t="e">
        <f>LOG(Table1_15[[#This Row],[PFTeDA]])</f>
        <v>#NUM!</v>
      </c>
      <c r="R31" t="e">
        <f>LOG(Table1_15[[#This Row],[PFNS]])</f>
        <v>#NUM!</v>
      </c>
      <c r="S31" t="e">
        <f>LOG(Table1_15[[#This Row],[PFDoS]])</f>
        <v>#NUM!</v>
      </c>
      <c r="T31" t="e">
        <f>LOG(Table1_15[[#This Row],[4:2 FTS]])</f>
        <v>#NUM!</v>
      </c>
      <c r="U31" t="e">
        <f>LOG(Table1_15[[#This Row],[8:2 FTS]])</f>
        <v>#NUM!</v>
      </c>
      <c r="V31" t="e">
        <f>LOG(Table1_15[[#This Row],[FOSA]])</f>
        <v>#NUM!</v>
      </c>
      <c r="W31" t="e">
        <f>LOG(Table1_15[[#This Row],[N-MeFOSA]])</f>
        <v>#NUM!</v>
      </c>
      <c r="X31" t="e">
        <f>LOG(Table1_15[[#This Row],[N-MeFOSAA]])</f>
        <v>#NUM!</v>
      </c>
      <c r="Y31" t="e">
        <f>LOG(Table1_15[[#This Row],[N-EtFOSA]])</f>
        <v>#NUM!</v>
      </c>
      <c r="Z31" t="e">
        <f>LOG(Table1_15[[#This Row],[N-EtFOSAA]])</f>
        <v>#NUM!</v>
      </c>
      <c r="AA31" t="e">
        <f>LOG(Table1_15[[#This Row],[N-MeFOSE]])</f>
        <v>#NUM!</v>
      </c>
      <c r="AB31" t="e">
        <f>LOG(Table1_15[[#This Row],[N-EtFOSE]])</f>
        <v>#NUM!</v>
      </c>
      <c r="AC31" t="e">
        <f>LOG(Table1_15[[#This Row],[HFPO-DA]])</f>
        <v>#NUM!</v>
      </c>
      <c r="AD31" t="e">
        <f>LOG(Table1_15[[#This Row],[ADONA]])</f>
        <v>#NUM!</v>
      </c>
      <c r="AE31" t="e">
        <f>LOG(Table1_15[[#This Row],[PFMBA]])</f>
        <v>#NUM!</v>
      </c>
      <c r="AF31" t="e">
        <f>LOG(Table1_15[[#This Row],[NFDHA]])</f>
        <v>#NUM!</v>
      </c>
      <c r="AG31" t="e">
        <f>LOG(Table1_15[[#This Row],[9Cl-PF3ONS]])</f>
        <v>#NUM!</v>
      </c>
      <c r="AH31" t="e">
        <f>LOG(Table1_15[[#This Row],[11Cl-PF3OUdS]])</f>
        <v>#NUM!</v>
      </c>
      <c r="AI31" t="e">
        <f>LOG(Table1_15[[#This Row],[PFEESA]])</f>
        <v>#NUM!</v>
      </c>
      <c r="AJ31" t="e">
        <f>LOG(Table1_15[[#This Row],[3:3 FTCA]])</f>
        <v>#NUM!</v>
      </c>
      <c r="AK31" t="e">
        <f>LOG(Table1_15[[#This Row],[5:3 FTCA]])</f>
        <v>#NUM!</v>
      </c>
      <c r="AL31" t="e">
        <f>LOG(Table1_15[[#This Row],[7:3 FTCA]])</f>
        <v>#NUM!</v>
      </c>
      <c r="AM31" t="e">
        <f>LOG(Table1_15[[#This Row],[PFDS]])</f>
        <v>#NUM!</v>
      </c>
      <c r="AN31" t="e">
        <f>LOG(Table1_15[[#This Row],[PFMPA]])</f>
        <v>#NUM!</v>
      </c>
    </row>
    <row r="32" spans="1:40" x14ac:dyDescent="0.3">
      <c r="A32">
        <f>LOG(Table1_15[[#This Row],[PFBA]])</f>
        <v>-1.2041199826559248</v>
      </c>
      <c r="B32">
        <f>LOG(Table1_15[[#This Row],[PFPeA]])</f>
        <v>-1.2041199826559248</v>
      </c>
      <c r="C32">
        <f>LOG(Table1_15[[#This Row],[PFBS]])</f>
        <v>-0.90308998699194354</v>
      </c>
      <c r="D32">
        <f>LOG(Table1_15[[#This Row],[PFHxA]])</f>
        <v>-0.89722338511655864</v>
      </c>
      <c r="E32">
        <f>LOG(Table1_15[[#This Row],[PFPeS]])</f>
        <v>-0.74982405191607493</v>
      </c>
      <c r="F32">
        <f>LOG(Table1_15[[#This Row],[PFHpA]])</f>
        <v>-1.2041199826559248</v>
      </c>
      <c r="G32">
        <f>LOG(Table1_15[[#This Row],[PFHxS]])</f>
        <v>-0.38531365771798742</v>
      </c>
      <c r="H32">
        <f>LOG(Table1_15[[#This Row],[PFOA]])</f>
        <v>-0.90308998699194354</v>
      </c>
      <c r="I32">
        <f>LOG(Table1_15[[#This Row],[6:2 FTS]])</f>
        <v>-0.89448981523002602</v>
      </c>
      <c r="J32">
        <f>LOG(Table1_15[[#This Row],[PFHpS]])</f>
        <v>-1.2441251443275085</v>
      </c>
      <c r="K32">
        <f>LOG(Table1_15[[#This Row],[PFNA]])</f>
        <v>-0.90308998699194354</v>
      </c>
      <c r="L32">
        <f>LOG(Table1_15[[#This Row],[PFOS]])</f>
        <v>0.54020429984205975</v>
      </c>
      <c r="M32" t="e">
        <f>LOG(Table1_15[[#This Row],[PFDA]])</f>
        <v>#NUM!</v>
      </c>
      <c r="N32" t="e">
        <f>LOG(Table1_15[[#This Row],[PFUnA]])</f>
        <v>#NUM!</v>
      </c>
      <c r="O32" t="e">
        <f>LOG(Table1_15[[#This Row],[PFDoA]])</f>
        <v>#NUM!</v>
      </c>
      <c r="P32" t="e">
        <f>LOG(Table1_15[[#This Row],[PFTrDA]])</f>
        <v>#NUM!</v>
      </c>
      <c r="Q32" t="e">
        <f>LOG(Table1_15[[#This Row],[PFTeDA]])</f>
        <v>#NUM!</v>
      </c>
      <c r="R32" t="e">
        <f>LOG(Table1_15[[#This Row],[PFNS]])</f>
        <v>#NUM!</v>
      </c>
      <c r="S32" t="e">
        <f>LOG(Table1_15[[#This Row],[PFDoS]])</f>
        <v>#NUM!</v>
      </c>
      <c r="T32" t="e">
        <f>LOG(Table1_15[[#This Row],[4:2 FTS]])</f>
        <v>#NUM!</v>
      </c>
      <c r="U32" t="e">
        <f>LOG(Table1_15[[#This Row],[8:2 FTS]])</f>
        <v>#NUM!</v>
      </c>
      <c r="V32" t="e">
        <f>LOG(Table1_15[[#This Row],[FOSA]])</f>
        <v>#NUM!</v>
      </c>
      <c r="W32" t="e">
        <f>LOG(Table1_15[[#This Row],[N-MeFOSA]])</f>
        <v>#NUM!</v>
      </c>
      <c r="X32" t="e">
        <f>LOG(Table1_15[[#This Row],[N-MeFOSAA]])</f>
        <v>#NUM!</v>
      </c>
      <c r="Y32" t="e">
        <f>LOG(Table1_15[[#This Row],[N-EtFOSA]])</f>
        <v>#NUM!</v>
      </c>
      <c r="Z32" t="e">
        <f>LOG(Table1_15[[#This Row],[N-EtFOSAA]])</f>
        <v>#NUM!</v>
      </c>
      <c r="AA32" t="e">
        <f>LOG(Table1_15[[#This Row],[N-MeFOSE]])</f>
        <v>#NUM!</v>
      </c>
      <c r="AB32" t="e">
        <f>LOG(Table1_15[[#This Row],[N-EtFOSE]])</f>
        <v>#NUM!</v>
      </c>
      <c r="AC32" t="e">
        <f>LOG(Table1_15[[#This Row],[HFPO-DA]])</f>
        <v>#NUM!</v>
      </c>
      <c r="AD32" t="e">
        <f>LOG(Table1_15[[#This Row],[ADONA]])</f>
        <v>#NUM!</v>
      </c>
      <c r="AE32" t="e">
        <f>LOG(Table1_15[[#This Row],[PFMBA]])</f>
        <v>#NUM!</v>
      </c>
      <c r="AF32" t="e">
        <f>LOG(Table1_15[[#This Row],[NFDHA]])</f>
        <v>#NUM!</v>
      </c>
      <c r="AG32" t="e">
        <f>LOG(Table1_15[[#This Row],[9Cl-PF3ONS]])</f>
        <v>#NUM!</v>
      </c>
      <c r="AH32" t="e">
        <f>LOG(Table1_15[[#This Row],[11Cl-PF3OUdS]])</f>
        <v>#NUM!</v>
      </c>
      <c r="AI32" t="e">
        <f>LOG(Table1_15[[#This Row],[PFEESA]])</f>
        <v>#NUM!</v>
      </c>
      <c r="AJ32" t="e">
        <f>LOG(Table1_15[[#This Row],[3:3 FTCA]])</f>
        <v>#NUM!</v>
      </c>
      <c r="AK32" t="e">
        <f>LOG(Table1_15[[#This Row],[5:3 FTCA]])</f>
        <v>#NUM!</v>
      </c>
      <c r="AL32" t="e">
        <f>LOG(Table1_15[[#This Row],[7:3 FTCA]])</f>
        <v>#NUM!</v>
      </c>
      <c r="AM32" t="e">
        <f>LOG(Table1_15[[#This Row],[PFDS]])</f>
        <v>#NUM!</v>
      </c>
      <c r="AN32" t="e">
        <f>LOG(Table1_15[[#This Row],[PFMPA]])</f>
        <v>#NUM!</v>
      </c>
    </row>
    <row r="33" spans="1:40" x14ac:dyDescent="0.3">
      <c r="A33">
        <f>LOG(Table1_15[[#This Row],[PFBA]])</f>
        <v>-0.70289634985074345</v>
      </c>
      <c r="B33">
        <f>LOG(Table1_15[[#This Row],[PFPeA]])</f>
        <v>-1.2041199826559248</v>
      </c>
      <c r="C33">
        <f>LOG(Table1_15[[#This Row],[PFBS]])</f>
        <v>-0.25266589038409498</v>
      </c>
      <c r="D33">
        <f>LOG(Table1_15[[#This Row],[PFHxA]])</f>
        <v>-0.32762502125392051</v>
      </c>
      <c r="E33">
        <f>LOG(Table1_15[[#This Row],[PFPeS]])</f>
        <v>-0.34843126113420814</v>
      </c>
      <c r="F33">
        <f>LOG(Table1_15[[#This Row],[PFHpA]])</f>
        <v>0.74136435890596242</v>
      </c>
      <c r="G33">
        <f>LOG(Table1_15[[#This Row],[PFHxS]])</f>
        <v>0.46756371205596253</v>
      </c>
      <c r="H33">
        <f>LOG(Table1_15[[#This Row],[PFOA]])</f>
        <v>-8.0869586139385607E-2</v>
      </c>
      <c r="I33">
        <f>LOG(Table1_15[[#This Row],[6:2 FTS]])</f>
        <v>0.63183932444854873</v>
      </c>
      <c r="J33">
        <f>LOG(Table1_15[[#This Row],[PFHpS]])</f>
        <v>-0.34027390476220837</v>
      </c>
      <c r="K33">
        <f>LOG(Table1_15[[#This Row],[PFNA]])</f>
        <v>-0.34678748622465633</v>
      </c>
      <c r="L33">
        <f>LOG(Table1_15[[#This Row],[PFOS]])</f>
        <v>1.5543037730056444</v>
      </c>
      <c r="M33" t="e">
        <f>LOG(Table1_15[[#This Row],[PFDA]])</f>
        <v>#NUM!</v>
      </c>
      <c r="N33" t="e">
        <f>LOG(Table1_15[[#This Row],[PFUnA]])</f>
        <v>#NUM!</v>
      </c>
      <c r="O33" t="e">
        <f>LOG(Table1_15[[#This Row],[PFDoA]])</f>
        <v>#NUM!</v>
      </c>
      <c r="P33" t="e">
        <f>LOG(Table1_15[[#This Row],[PFTrDA]])</f>
        <v>#NUM!</v>
      </c>
      <c r="Q33" t="e">
        <f>LOG(Table1_15[[#This Row],[PFTeDA]])</f>
        <v>#NUM!</v>
      </c>
      <c r="R33" t="e">
        <f>LOG(Table1_15[[#This Row],[PFNS]])</f>
        <v>#NUM!</v>
      </c>
      <c r="S33" t="e">
        <f>LOG(Table1_15[[#This Row],[PFDoS]])</f>
        <v>#NUM!</v>
      </c>
      <c r="T33" t="e">
        <f>LOG(Table1_15[[#This Row],[4:2 FTS]])</f>
        <v>#NUM!</v>
      </c>
      <c r="U33" t="e">
        <f>LOG(Table1_15[[#This Row],[8:2 FTS]])</f>
        <v>#NUM!</v>
      </c>
      <c r="V33" t="e">
        <f>LOG(Table1_15[[#This Row],[FOSA]])</f>
        <v>#NUM!</v>
      </c>
      <c r="W33" t="e">
        <f>LOG(Table1_15[[#This Row],[N-MeFOSA]])</f>
        <v>#NUM!</v>
      </c>
      <c r="X33" t="e">
        <f>LOG(Table1_15[[#This Row],[N-MeFOSAA]])</f>
        <v>#NUM!</v>
      </c>
      <c r="Y33" t="e">
        <f>LOG(Table1_15[[#This Row],[N-EtFOSA]])</f>
        <v>#NUM!</v>
      </c>
      <c r="Z33" t="e">
        <f>LOG(Table1_15[[#This Row],[N-EtFOSAA]])</f>
        <v>#NUM!</v>
      </c>
      <c r="AA33" t="e">
        <f>LOG(Table1_15[[#This Row],[N-MeFOSE]])</f>
        <v>#NUM!</v>
      </c>
      <c r="AB33" t="e">
        <f>LOG(Table1_15[[#This Row],[N-EtFOSE]])</f>
        <v>#NUM!</v>
      </c>
      <c r="AC33" t="e">
        <f>LOG(Table1_15[[#This Row],[HFPO-DA]])</f>
        <v>#NUM!</v>
      </c>
      <c r="AD33" t="e">
        <f>LOG(Table1_15[[#This Row],[ADONA]])</f>
        <v>#NUM!</v>
      </c>
      <c r="AE33" t="e">
        <f>LOG(Table1_15[[#This Row],[PFMBA]])</f>
        <v>#NUM!</v>
      </c>
      <c r="AF33" t="e">
        <f>LOG(Table1_15[[#This Row],[NFDHA]])</f>
        <v>#NUM!</v>
      </c>
      <c r="AG33" t="e">
        <f>LOG(Table1_15[[#This Row],[9Cl-PF3ONS]])</f>
        <v>#NUM!</v>
      </c>
      <c r="AH33" t="e">
        <f>LOG(Table1_15[[#This Row],[11Cl-PF3OUdS]])</f>
        <v>#NUM!</v>
      </c>
      <c r="AI33" t="e">
        <f>LOG(Table1_15[[#This Row],[PFEESA]])</f>
        <v>#NUM!</v>
      </c>
      <c r="AJ33" t="e">
        <f>LOG(Table1_15[[#This Row],[3:3 FTCA]])</f>
        <v>#NUM!</v>
      </c>
      <c r="AK33" t="e">
        <f>LOG(Table1_15[[#This Row],[5:3 FTCA]])</f>
        <v>#NUM!</v>
      </c>
      <c r="AL33" t="e">
        <f>LOG(Table1_15[[#This Row],[7:3 FTCA]])</f>
        <v>#NUM!</v>
      </c>
      <c r="AM33" t="e">
        <f>LOG(Table1_15[[#This Row],[PFDS]])</f>
        <v>#NUM!</v>
      </c>
      <c r="AN33" t="e">
        <f>LOG(Table1_15[[#This Row],[PFMPA]])</f>
        <v>#NUM!</v>
      </c>
    </row>
    <row r="34" spans="1:40" x14ac:dyDescent="0.3">
      <c r="A34">
        <f>LOG(Table1_15[[#This Row],[PFBA]])</f>
        <v>-1.2041199826559248</v>
      </c>
      <c r="B34">
        <f>LOG(Table1_15[[#This Row],[PFPeA]])</f>
        <v>-1.2041199826559248</v>
      </c>
      <c r="C34">
        <f>LOG(Table1_15[[#This Row],[PFBS]])</f>
        <v>-0.90308998699194354</v>
      </c>
      <c r="D34">
        <f>LOG(Table1_15[[#This Row],[PFHxA]])</f>
        <v>-0.89177334362507155</v>
      </c>
      <c r="E34">
        <f>LOG(Table1_15[[#This Row],[PFPeS]])</f>
        <v>-0.75325529027615867</v>
      </c>
      <c r="F34">
        <f>LOG(Table1_15[[#This Row],[PFHpA]])</f>
        <v>-1.2041199826559248</v>
      </c>
      <c r="G34">
        <f>LOG(Table1_15[[#This Row],[PFHxS]])</f>
        <v>-0.25680391855129864</v>
      </c>
      <c r="H34">
        <f>LOG(Table1_15[[#This Row],[PFOA]])</f>
        <v>-0.59567953277826935</v>
      </c>
      <c r="I34">
        <f>LOG(Table1_15[[#This Row],[6:2 FTS]])</f>
        <v>-0.80079352083834221</v>
      </c>
      <c r="J34">
        <f>LOG(Table1_15[[#This Row],[PFHpS]])</f>
        <v>-1.4989407377822486</v>
      </c>
      <c r="K34">
        <f>LOG(Table1_15[[#This Row],[PFNA]])</f>
        <v>-0.90308998699194354</v>
      </c>
      <c r="L34">
        <f>LOG(Table1_15[[#This Row],[PFOS]])</f>
        <v>0.78117353295189407</v>
      </c>
      <c r="M34" t="e">
        <f>LOG(Table1_15[[#This Row],[PFDA]])</f>
        <v>#NUM!</v>
      </c>
      <c r="N34" t="e">
        <f>LOG(Table1_15[[#This Row],[PFUnA]])</f>
        <v>#NUM!</v>
      </c>
      <c r="O34" t="e">
        <f>LOG(Table1_15[[#This Row],[PFDoA]])</f>
        <v>#NUM!</v>
      </c>
      <c r="P34" t="e">
        <f>LOG(Table1_15[[#This Row],[PFTrDA]])</f>
        <v>#NUM!</v>
      </c>
      <c r="Q34" t="e">
        <f>LOG(Table1_15[[#This Row],[PFTeDA]])</f>
        <v>#NUM!</v>
      </c>
      <c r="R34" t="e">
        <f>LOG(Table1_15[[#This Row],[PFNS]])</f>
        <v>#NUM!</v>
      </c>
      <c r="S34" t="e">
        <f>LOG(Table1_15[[#This Row],[PFDoS]])</f>
        <v>#NUM!</v>
      </c>
      <c r="T34" t="e">
        <f>LOG(Table1_15[[#This Row],[4:2 FTS]])</f>
        <v>#NUM!</v>
      </c>
      <c r="U34" t="e">
        <f>LOG(Table1_15[[#This Row],[8:2 FTS]])</f>
        <v>#NUM!</v>
      </c>
      <c r="V34" t="e">
        <f>LOG(Table1_15[[#This Row],[FOSA]])</f>
        <v>#NUM!</v>
      </c>
      <c r="W34" t="e">
        <f>LOG(Table1_15[[#This Row],[N-MeFOSA]])</f>
        <v>#NUM!</v>
      </c>
      <c r="X34" t="e">
        <f>LOG(Table1_15[[#This Row],[N-MeFOSAA]])</f>
        <v>#NUM!</v>
      </c>
      <c r="Y34" t="e">
        <f>LOG(Table1_15[[#This Row],[N-EtFOSA]])</f>
        <v>#NUM!</v>
      </c>
      <c r="Z34" t="e">
        <f>LOG(Table1_15[[#This Row],[N-EtFOSAA]])</f>
        <v>#NUM!</v>
      </c>
      <c r="AA34" t="e">
        <f>LOG(Table1_15[[#This Row],[N-MeFOSE]])</f>
        <v>#NUM!</v>
      </c>
      <c r="AB34" t="e">
        <f>LOG(Table1_15[[#This Row],[N-EtFOSE]])</f>
        <v>#NUM!</v>
      </c>
      <c r="AC34" t="e">
        <f>LOG(Table1_15[[#This Row],[HFPO-DA]])</f>
        <v>#NUM!</v>
      </c>
      <c r="AD34" t="e">
        <f>LOG(Table1_15[[#This Row],[ADONA]])</f>
        <v>#NUM!</v>
      </c>
      <c r="AE34" t="e">
        <f>LOG(Table1_15[[#This Row],[PFMBA]])</f>
        <v>#NUM!</v>
      </c>
      <c r="AF34" t="e">
        <f>LOG(Table1_15[[#This Row],[NFDHA]])</f>
        <v>#NUM!</v>
      </c>
      <c r="AG34" t="e">
        <f>LOG(Table1_15[[#This Row],[9Cl-PF3ONS]])</f>
        <v>#NUM!</v>
      </c>
      <c r="AH34" t="e">
        <f>LOG(Table1_15[[#This Row],[11Cl-PF3OUdS]])</f>
        <v>#NUM!</v>
      </c>
      <c r="AI34" t="e">
        <f>LOG(Table1_15[[#This Row],[PFEESA]])</f>
        <v>#NUM!</v>
      </c>
      <c r="AJ34" t="e">
        <f>LOG(Table1_15[[#This Row],[3:3 FTCA]])</f>
        <v>#NUM!</v>
      </c>
      <c r="AK34" t="e">
        <f>LOG(Table1_15[[#This Row],[5:3 FTCA]])</f>
        <v>#NUM!</v>
      </c>
      <c r="AL34" t="e">
        <f>LOG(Table1_15[[#This Row],[7:3 FTCA]])</f>
        <v>#NUM!</v>
      </c>
      <c r="AM34" t="e">
        <f>LOG(Table1_15[[#This Row],[PFDS]])</f>
        <v>#NUM!</v>
      </c>
      <c r="AN34" t="e">
        <f>LOG(Table1_15[[#This Row],[PFMPA]])</f>
        <v>#NUM!</v>
      </c>
    </row>
    <row r="35" spans="1:40" x14ac:dyDescent="0.3">
      <c r="A35">
        <f>LOG(Table1_15[[#This Row],[PFBA]])</f>
        <v>-0.85573722623800941</v>
      </c>
      <c r="B35" t="e">
        <f>LOG(Table1_15[[#This Row],[PFPeA]])</f>
        <v>#NUM!</v>
      </c>
      <c r="C35">
        <f>LOG(Table1_15[[#This Row],[PFBS]])</f>
        <v>-0.1590161626796221</v>
      </c>
      <c r="D35">
        <f>LOG(Table1_15[[#This Row],[PFHxA]])</f>
        <v>-0.40671393297954272</v>
      </c>
      <c r="E35">
        <f>LOG(Table1_15[[#This Row],[PFPeS]])</f>
        <v>-0.12662126359085896</v>
      </c>
      <c r="F35">
        <f>LOG(Table1_15[[#This Row],[PFHpA]])</f>
        <v>0.37071658853954564</v>
      </c>
      <c r="G35">
        <f>LOG(Table1_15[[#This Row],[PFHxS]])</f>
        <v>0.41055792254594292</v>
      </c>
      <c r="H35">
        <f>LOG(Table1_15[[#This Row],[PFOA]])</f>
        <v>-0.1777665197611559</v>
      </c>
      <c r="I35">
        <f>LOG(Table1_15[[#This Row],[6:2 FTS]])</f>
        <v>0.93884482398905522</v>
      </c>
      <c r="J35">
        <f>LOG(Table1_15[[#This Row],[PFHpS]])</f>
        <v>-0.21133678687914254</v>
      </c>
      <c r="K35">
        <f>LOG(Table1_15[[#This Row],[PFNA]])</f>
        <v>-0.61047953415362255</v>
      </c>
      <c r="L35">
        <f>LOG(Table1_15[[#This Row],[PFOS]])</f>
        <v>1.5150693895112528</v>
      </c>
      <c r="M35" t="e">
        <f>LOG(Table1_15[[#This Row],[PFDA]])</f>
        <v>#NUM!</v>
      </c>
      <c r="N35" t="e">
        <f>LOG(Table1_15[[#This Row],[PFUnA]])</f>
        <v>#NUM!</v>
      </c>
      <c r="O35" t="e">
        <f>LOG(Table1_15[[#This Row],[PFDoA]])</f>
        <v>#NUM!</v>
      </c>
      <c r="P35" t="e">
        <f>LOG(Table1_15[[#This Row],[PFTrDA]])</f>
        <v>#NUM!</v>
      </c>
      <c r="Q35" t="e">
        <f>LOG(Table1_15[[#This Row],[PFTeDA]])</f>
        <v>#NUM!</v>
      </c>
      <c r="R35" t="e">
        <f>LOG(Table1_15[[#This Row],[PFNS]])</f>
        <v>#NUM!</v>
      </c>
      <c r="S35" t="e">
        <f>LOG(Table1_15[[#This Row],[PFDoS]])</f>
        <v>#NUM!</v>
      </c>
      <c r="T35" t="e">
        <f>LOG(Table1_15[[#This Row],[4:2 FTS]])</f>
        <v>#NUM!</v>
      </c>
      <c r="U35" t="e">
        <f>LOG(Table1_15[[#This Row],[8:2 FTS]])</f>
        <v>#NUM!</v>
      </c>
      <c r="V35" t="e">
        <f>LOG(Table1_15[[#This Row],[FOSA]])</f>
        <v>#NUM!</v>
      </c>
      <c r="W35" t="e">
        <f>LOG(Table1_15[[#This Row],[N-MeFOSA]])</f>
        <v>#NUM!</v>
      </c>
      <c r="X35" t="e">
        <f>LOG(Table1_15[[#This Row],[N-MeFOSAA]])</f>
        <v>#NUM!</v>
      </c>
      <c r="Y35" t="e">
        <f>LOG(Table1_15[[#This Row],[N-EtFOSA]])</f>
        <v>#NUM!</v>
      </c>
      <c r="Z35" t="e">
        <f>LOG(Table1_15[[#This Row],[N-EtFOSAA]])</f>
        <v>#NUM!</v>
      </c>
      <c r="AA35" t="e">
        <f>LOG(Table1_15[[#This Row],[N-MeFOSE]])</f>
        <v>#NUM!</v>
      </c>
      <c r="AB35" t="e">
        <f>LOG(Table1_15[[#This Row],[N-EtFOSE]])</f>
        <v>#NUM!</v>
      </c>
      <c r="AC35" t="e">
        <f>LOG(Table1_15[[#This Row],[HFPO-DA]])</f>
        <v>#NUM!</v>
      </c>
      <c r="AD35" t="e">
        <f>LOG(Table1_15[[#This Row],[ADONA]])</f>
        <v>#NUM!</v>
      </c>
      <c r="AE35" t="e">
        <f>LOG(Table1_15[[#This Row],[PFMBA]])</f>
        <v>#NUM!</v>
      </c>
      <c r="AF35" t="e">
        <f>LOG(Table1_15[[#This Row],[NFDHA]])</f>
        <v>#NUM!</v>
      </c>
      <c r="AG35" t="e">
        <f>LOG(Table1_15[[#This Row],[9Cl-PF3ONS]])</f>
        <v>#NUM!</v>
      </c>
      <c r="AH35" t="e">
        <f>LOG(Table1_15[[#This Row],[11Cl-PF3OUdS]])</f>
        <v>#NUM!</v>
      </c>
      <c r="AI35" t="e">
        <f>LOG(Table1_15[[#This Row],[PFEESA]])</f>
        <v>#NUM!</v>
      </c>
      <c r="AJ35" t="e">
        <f>LOG(Table1_15[[#This Row],[3:3 FTCA]])</f>
        <v>#NUM!</v>
      </c>
      <c r="AK35" t="e">
        <f>LOG(Table1_15[[#This Row],[5:3 FTCA]])</f>
        <v>#NUM!</v>
      </c>
      <c r="AL35" t="e">
        <f>LOG(Table1_15[[#This Row],[7:3 FTCA]])</f>
        <v>#NUM!</v>
      </c>
      <c r="AM35" t="e">
        <f>LOG(Table1_15[[#This Row],[PFDS]])</f>
        <v>#NUM!</v>
      </c>
      <c r="AN35" t="e">
        <f>LOG(Table1_15[[#This Row],[PFMPA]])</f>
        <v>#NUM!</v>
      </c>
    </row>
    <row r="36" spans="1:40" x14ac:dyDescent="0.3">
      <c r="A36">
        <f>LOG(Table1_15[[#This Row],[PFBA]])</f>
        <v>-1.1426675035687315</v>
      </c>
      <c r="B36">
        <f>LOG(Table1_15[[#This Row],[PFPeA]])</f>
        <v>-0.77211329538632645</v>
      </c>
      <c r="C36">
        <f>LOG(Table1_15[[#This Row],[PFBS]])</f>
        <v>-1.7435227937583233</v>
      </c>
      <c r="D36">
        <f>LOG(Table1_15[[#This Row],[PFHxA]])</f>
        <v>-0.88272870434423567</v>
      </c>
      <c r="E36">
        <f>LOG(Table1_15[[#This Row],[PFPeS]])</f>
        <v>-1.1870866433571443</v>
      </c>
      <c r="F36">
        <f>LOG(Table1_15[[#This Row],[PFHpA]])</f>
        <v>-1.0757207139381184</v>
      </c>
      <c r="G36">
        <f>LOG(Table1_15[[#This Row],[PFHxS]])</f>
        <v>-0.14266750356873156</v>
      </c>
      <c r="H36">
        <f>LOG(Table1_15[[#This Row],[PFOA]])</f>
        <v>-0.74232142513081545</v>
      </c>
      <c r="I36">
        <f>LOG(Table1_15[[#This Row],[6:2 FTS]])</f>
        <v>-0.78781239559604221</v>
      </c>
      <c r="J36">
        <f>LOG(Table1_15[[#This Row],[PFHpS]])</f>
        <v>-1.3010299956639813</v>
      </c>
      <c r="K36">
        <f>LOG(Table1_15[[#This Row],[PFNA]])</f>
        <v>-0.76195389687120463</v>
      </c>
      <c r="L36">
        <f>LOG(Table1_15[[#This Row],[PFOS]])</f>
        <v>1.0086001717619175</v>
      </c>
      <c r="M36">
        <f>LOG(Table1_15[[#This Row],[PFDA]])</f>
        <v>-1.080921907623926</v>
      </c>
      <c r="N36">
        <f>LOG(Table1_15[[#This Row],[PFUnA]])</f>
        <v>-0.89962945488243706</v>
      </c>
      <c r="O36">
        <f>LOG(Table1_15[[#This Row],[PFDoA]])</f>
        <v>-1.2518119729937995</v>
      </c>
      <c r="P36">
        <f>LOG(Table1_15[[#This Row],[PFTrDA]])</f>
        <v>-1.3467874862246563</v>
      </c>
      <c r="Q36">
        <f>LOG(Table1_15[[#This Row],[PFTeDA]])</f>
        <v>-1.7435227937583233</v>
      </c>
      <c r="R36">
        <f>LOG(Table1_15[[#This Row],[PFNS]])</f>
        <v>-1.0177287669604316</v>
      </c>
      <c r="S36">
        <f>LOG(Table1_15[[#This Row],[PFDoS]])</f>
        <v>-1.7435227937583233</v>
      </c>
      <c r="T36">
        <f>LOG(Table1_15[[#This Row],[4:2 FTS]])</f>
        <v>-1.1426675035687315</v>
      </c>
      <c r="U36">
        <f>LOG(Table1_15[[#This Row],[8:2 FTS]])</f>
        <v>-0.72353819582675583</v>
      </c>
      <c r="V36">
        <f>LOG(Table1_15[[#This Row],[FOSA]])</f>
        <v>-1.0655015487564323</v>
      </c>
      <c r="W36">
        <f>LOG(Table1_15[[#This Row],[N-MeFOSA]])</f>
        <v>-1.7435227937583233</v>
      </c>
      <c r="X36">
        <f>LOG(Table1_15[[#This Row],[N-MeFOSAA]])</f>
        <v>-1.7435227937583233</v>
      </c>
      <c r="Y36">
        <f>LOG(Table1_15[[#This Row],[N-EtFOSA]])</f>
        <v>-1.2967086218813386</v>
      </c>
      <c r="Z36">
        <f>LOG(Table1_15[[#This Row],[N-EtFOSAA]])</f>
        <v>-1.7435227937583233</v>
      </c>
      <c r="AA36">
        <f>LOG(Table1_15[[#This Row],[N-MeFOSE]])</f>
        <v>-0.74352279375832331</v>
      </c>
      <c r="AB36">
        <f>LOG(Table1_15[[#This Row],[N-EtFOSE]])</f>
        <v>-0.74352279375832331</v>
      </c>
      <c r="AC36">
        <f>LOG(Table1_15[[#This Row],[HFPO-DA]])</f>
        <v>-1.1426675035687315</v>
      </c>
      <c r="AD36">
        <f>LOG(Table1_15[[#This Row],[ADONA]])</f>
        <v>-1.1426675035687315</v>
      </c>
      <c r="AE36">
        <f>LOG(Table1_15[[#This Row],[PFMBA]])</f>
        <v>-1.7435227937583233</v>
      </c>
      <c r="AF36">
        <f>LOG(Table1_15[[#This Row],[NFDHA]])</f>
        <v>-1.4424927980943421</v>
      </c>
      <c r="AG36">
        <f>LOG(Table1_15[[#This Row],[9Cl-PF3ONS]])</f>
        <v>-1.1396619934290064</v>
      </c>
      <c r="AH36">
        <f>LOG(Table1_15[[#This Row],[11Cl-PF3OUdS]])</f>
        <v>-1.1396619934290064</v>
      </c>
      <c r="AI36">
        <f>LOG(Table1_15[[#This Row],[PFEESA]])</f>
        <v>-1.7435227937583233</v>
      </c>
      <c r="AJ36">
        <f>LOG(Table1_15[[#This Row],[3:3 FTCA]])</f>
        <v>-1.1426675035687315</v>
      </c>
      <c r="AK36">
        <f>LOG(Table1_15[[#This Row],[5:3 FTCA]])</f>
        <v>-0.34534224535047536</v>
      </c>
      <c r="AL36">
        <f>LOG(Table1_15[[#This Row],[7:3 FTCA]])</f>
        <v>-0.34534224535047536</v>
      </c>
      <c r="AM36">
        <f>LOG(Table1_15[[#This Row],[PFDS]])</f>
        <v>-1.1426675035687315</v>
      </c>
      <c r="AN36">
        <f>LOG(Table1_15[[#This Row],[PFMPA]])</f>
        <v>-1.4424927980943421</v>
      </c>
    </row>
    <row r="37" spans="1:40" x14ac:dyDescent="0.3">
      <c r="A37">
        <f>LOG(Table1_15[[#This Row],[PFBA]])</f>
        <v>-0.69250396208678711</v>
      </c>
      <c r="B37">
        <f>LOG(Table1_15[[#This Row],[PFPeA]])</f>
        <v>-0.43297363384093962</v>
      </c>
      <c r="C37">
        <f>LOG(Table1_15[[#This Row],[PFBS]])</f>
        <v>-1.2924298239020637</v>
      </c>
      <c r="D37">
        <f>LOG(Table1_15[[#This Row],[PFHxA]])</f>
        <v>-0.58169870868025453</v>
      </c>
      <c r="E37">
        <f>LOG(Table1_15[[#This Row],[PFPeS]])</f>
        <v>-1.0969100130080565</v>
      </c>
      <c r="F37">
        <f>LOG(Table1_15[[#This Row],[PFHpA]])</f>
        <v>-0.84466396253493825</v>
      </c>
      <c r="G37">
        <f>LOG(Table1_15[[#This Row],[PFHxS]])</f>
        <v>0.11058971029924898</v>
      </c>
      <c r="H37">
        <f>LOG(Table1_15[[#This Row],[PFOA]])</f>
        <v>-0.27408836770495182</v>
      </c>
      <c r="I37">
        <f>LOG(Table1_15[[#This Row],[6:2 FTS]])</f>
        <v>0.87390159786446142</v>
      </c>
      <c r="J37">
        <f>LOG(Table1_15[[#This Row],[PFHpS]])</f>
        <v>-0.8507808873446201</v>
      </c>
      <c r="K37">
        <f>LOG(Table1_15[[#This Row],[PFNA]])</f>
        <v>-0.47755576649368009</v>
      </c>
      <c r="L37">
        <f>LOG(Table1_15[[#This Row],[PFOS]])</f>
        <v>1.3979400086720377</v>
      </c>
      <c r="M37">
        <f>LOG(Table1_15[[#This Row],[PFDA]])</f>
        <v>-0.43533393574791068</v>
      </c>
      <c r="N37">
        <f>LOG(Table1_15[[#This Row],[PFUnA]])</f>
        <v>-9.2173081968621833E-3</v>
      </c>
      <c r="O37">
        <f>LOG(Table1_15[[#This Row],[PFDoA]])</f>
        <v>1.2837224705172217E-2</v>
      </c>
      <c r="P37">
        <f>LOG(Table1_15[[#This Row],[PFTrDA]])</f>
        <v>-3.0118356253500032E-2</v>
      </c>
      <c r="Q37">
        <f>LOG(Table1_15[[#This Row],[PFTeDA]])</f>
        <v>-0.28066871301627333</v>
      </c>
      <c r="R37">
        <f>LOG(Table1_15[[#This Row],[PFNS]])</f>
        <v>-0.92811799269387463</v>
      </c>
      <c r="S37">
        <f>LOG(Table1_15[[#This Row],[PFDoS]])</f>
        <v>-0.40450377817442584</v>
      </c>
      <c r="T37">
        <f>LOG(Table1_15[[#This Row],[4:2 FTS]])</f>
        <v>-1.1366771398795441</v>
      </c>
      <c r="U37">
        <f>LOG(Table1_15[[#This Row],[8:2 FTS]])</f>
        <v>-2.4108863598207259E-2</v>
      </c>
      <c r="V37">
        <f>LOG(Table1_15[[#This Row],[FOSA]])</f>
        <v>-0.54211810326600773</v>
      </c>
      <c r="W37">
        <f>LOG(Table1_15[[#This Row],[N-MeFOSA]])</f>
        <v>-1.7375489102695705</v>
      </c>
      <c r="X37">
        <f>LOG(Table1_15[[#This Row],[N-MeFOSAA]])</f>
        <v>-1.7375489102695705</v>
      </c>
      <c r="Y37">
        <f>LOG(Table1_15[[#This Row],[N-EtFOSA]])</f>
        <v>-1.2924298239020637</v>
      </c>
      <c r="Z37">
        <f>LOG(Table1_15[[#This Row],[N-EtFOSAA]])</f>
        <v>-1.7375489102695705</v>
      </c>
      <c r="AA37">
        <f>LOG(Table1_15[[#This Row],[N-MeFOSE]])</f>
        <v>-0.73754891026957059</v>
      </c>
      <c r="AB37">
        <f>LOG(Table1_15[[#This Row],[N-EtFOSE]])</f>
        <v>-0.73754891026957059</v>
      </c>
      <c r="AC37">
        <f>LOG(Table1_15[[#This Row],[HFPO-DA]])</f>
        <v>-1.1366771398795441</v>
      </c>
      <c r="AD37">
        <f>LOG(Table1_15[[#This Row],[ADONA]])</f>
        <v>-1.1366771398795441</v>
      </c>
      <c r="AE37">
        <f>LOG(Table1_15[[#This Row],[PFMBA]])</f>
        <v>-1.7375489102695705</v>
      </c>
      <c r="AF37">
        <f>LOG(Table1_15[[#This Row],[NFDHA]])</f>
        <v>-1.4365189146055892</v>
      </c>
      <c r="AG37">
        <f>LOG(Table1_15[[#This Row],[9Cl-PF3ONS]])</f>
        <v>-1.133712660915805</v>
      </c>
      <c r="AH37">
        <f>LOG(Table1_15[[#This Row],[11Cl-PF3OUdS]])</f>
        <v>-1.133712660915805</v>
      </c>
      <c r="AI37">
        <f>LOG(Table1_15[[#This Row],[PFEESA]])</f>
        <v>-1.7375489102695705</v>
      </c>
      <c r="AJ37">
        <f>LOG(Table1_15[[#This Row],[3:3 FTCA]])</f>
        <v>-1.1366771398795441</v>
      </c>
      <c r="AK37">
        <f>LOG(Table1_15[[#This Row],[5:3 FTCA]])</f>
        <v>-0.33960890159753288</v>
      </c>
      <c r="AL37">
        <f>LOG(Table1_15[[#This Row],[7:3 FTCA]])</f>
        <v>-2.4568191490737076E-2</v>
      </c>
      <c r="AM37">
        <f>LOG(Table1_15[[#This Row],[PFDS]])</f>
        <v>-0.24872089601665776</v>
      </c>
      <c r="AN37">
        <f>LOG(Table1_15[[#This Row],[PFMPA]])</f>
        <v>-1.4365189146055892</v>
      </c>
    </row>
    <row r="38" spans="1:40" x14ac:dyDescent="0.3">
      <c r="A38">
        <f>LOG(Table1_15[[#This Row],[PFBA]])</f>
        <v>-0.61439372640168788</v>
      </c>
      <c r="B38">
        <f>LOG(Table1_15[[#This Row],[PFPeA]])</f>
        <v>-0.33724216831842591</v>
      </c>
      <c r="C38">
        <f>LOG(Table1_15[[#This Row],[PFBS]])</f>
        <v>-1.7423214251308154</v>
      </c>
      <c r="D38">
        <f>LOG(Table1_15[[#This Row],[PFHxA]])</f>
        <v>-0.40560744962457329</v>
      </c>
      <c r="E38">
        <f>LOG(Table1_15[[#This Row],[PFPeS]])</f>
        <v>-1.7399286120149251</v>
      </c>
      <c r="F38">
        <f>LOG(Table1_15[[#This Row],[PFHpA]])</f>
        <v>-0.87942606879415008</v>
      </c>
      <c r="G38">
        <f>LOG(Table1_15[[#This Row],[PFHxS]])</f>
        <v>-0.47237009912866135</v>
      </c>
      <c r="H38">
        <f>LOG(Table1_15[[#This Row],[PFOA]])</f>
        <v>-0.47755576649368009</v>
      </c>
      <c r="I38">
        <f>LOG(Table1_15[[#This Row],[6:2 FTS]])</f>
        <v>0.10380372095595687</v>
      </c>
      <c r="J38">
        <f>LOG(Table1_15[[#This Row],[PFHpS]])</f>
        <v>-1.3467874862246563</v>
      </c>
      <c r="K38">
        <f>LOG(Table1_15[[#This Row],[PFNA]])</f>
        <v>-0.71219827006977399</v>
      </c>
      <c r="L38">
        <f>LOG(Table1_15[[#This Row],[PFOS]])</f>
        <v>0.94987770403687477</v>
      </c>
      <c r="M38">
        <f>LOG(Table1_15[[#This Row],[PFDA]])</f>
        <v>-0.86966623150499389</v>
      </c>
      <c r="N38">
        <f>LOG(Table1_15[[#This Row],[PFUnA]])</f>
        <v>-0.4841261562883209</v>
      </c>
      <c r="O38">
        <f>LOG(Table1_15[[#This Row],[PFDoA]])</f>
        <v>-0.74232142513081545</v>
      </c>
      <c r="P38">
        <f>LOG(Table1_15[[#This Row],[PFTrDA]])</f>
        <v>-1.0861861476162833</v>
      </c>
      <c r="Q38">
        <f>LOG(Table1_15[[#This Row],[PFTeDA]])</f>
        <v>-1.3872161432802645</v>
      </c>
      <c r="R38">
        <f>LOG(Table1_15[[#This Row],[PFNS]])</f>
        <v>-1.1611509092627446</v>
      </c>
      <c r="S38">
        <f>LOG(Table1_15[[#This Row],[PFDoS]])</f>
        <v>-1.3467874862246563</v>
      </c>
      <c r="T38">
        <f>LOG(Table1_15[[#This Row],[4:2 FTS]])</f>
        <v>-1.1396619934290064</v>
      </c>
      <c r="U38">
        <f>LOG(Table1_15[[#This Row],[8:2 FTS]])</f>
        <v>1.703333929878037E-2</v>
      </c>
      <c r="V38">
        <f>LOG(Table1_15[[#This Row],[FOSA]])</f>
        <v>-0.23136189875238555</v>
      </c>
      <c r="W38">
        <f>LOG(Table1_15[[#This Row],[N-MeFOSA]])</f>
        <v>-1.7423214251308154</v>
      </c>
      <c r="X38">
        <f>LOG(Table1_15[[#This Row],[N-MeFOSAA]])</f>
        <v>-1.7423214251308154</v>
      </c>
      <c r="Y38">
        <f>LOG(Table1_15[[#This Row],[N-EtFOSA]])</f>
        <v>-1.2967086218813386</v>
      </c>
      <c r="Z38">
        <f>LOG(Table1_15[[#This Row],[N-EtFOSAA]])</f>
        <v>-1.7423214251308154</v>
      </c>
      <c r="AA38">
        <f>LOG(Table1_15[[#This Row],[N-MeFOSE]])</f>
        <v>-0.74232142513081545</v>
      </c>
      <c r="AB38">
        <f>LOG(Table1_15[[#This Row],[N-EtFOSE]])</f>
        <v>-0.74232142513081545</v>
      </c>
      <c r="AC38">
        <f>LOG(Table1_15[[#This Row],[HFPO-DA]])</f>
        <v>-1.1396619934290064</v>
      </c>
      <c r="AD38">
        <f>LOG(Table1_15[[#This Row],[ADONA]])</f>
        <v>-1.1396619934290064</v>
      </c>
      <c r="AE38">
        <f>LOG(Table1_15[[#This Row],[PFMBA]])</f>
        <v>-1.7423214251308154</v>
      </c>
      <c r="AF38">
        <f>LOG(Table1_15[[#This Row],[NFDHA]])</f>
        <v>-1.4406919890929875</v>
      </c>
      <c r="AG38">
        <f>LOG(Table1_15[[#This Row],[9Cl-PF3ONS]])</f>
        <v>-1.1396619934290064</v>
      </c>
      <c r="AH38">
        <f>LOG(Table1_15[[#This Row],[11Cl-PF3OUdS]])</f>
        <v>-1.1396619934290064</v>
      </c>
      <c r="AI38">
        <f>LOG(Table1_15[[#This Row],[PFEESA]])</f>
        <v>-1.7423214251308154</v>
      </c>
      <c r="AJ38">
        <f>LOG(Table1_15[[#This Row],[3:3 FTCA]])</f>
        <v>-1.1396619934290064</v>
      </c>
      <c r="AK38">
        <f>LOG(Table1_15[[#This Row],[5:3 FTCA]])</f>
        <v>-0.34390179798716813</v>
      </c>
      <c r="AL38">
        <f>LOG(Table1_15[[#This Row],[7:3 FTCA]])</f>
        <v>-0.34390179798716813</v>
      </c>
      <c r="AM38">
        <f>LOG(Table1_15[[#This Row],[PFDS]])</f>
        <v>-0.15058058620310061</v>
      </c>
      <c r="AN38">
        <f>LOG(Table1_15[[#This Row],[PFMPA]])</f>
        <v>-1.4406919890929875</v>
      </c>
    </row>
    <row r="39" spans="1:40" x14ac:dyDescent="0.3">
      <c r="A39">
        <f>LOG(Table1_15[[#This Row],[PFBA]])</f>
        <v>-0.43179827593300502</v>
      </c>
      <c r="B39">
        <f>LOG(Table1_15[[#This Row],[PFPeA]])</f>
        <v>-0.18641901143180803</v>
      </c>
      <c r="C39">
        <f>LOG(Table1_15[[#This Row],[PFBS]])</f>
        <v>-1.7423214251308154</v>
      </c>
      <c r="D39">
        <f>LOG(Table1_15[[#This Row],[PFHxA]])</f>
        <v>-0.4841261562883209</v>
      </c>
      <c r="E39">
        <f>LOG(Table1_15[[#This Row],[PFPeS]])</f>
        <v>-1.2441251443275085</v>
      </c>
      <c r="F39">
        <f>LOG(Table1_15[[#This Row],[PFHpA]])</f>
        <v>-0.65169513695183934</v>
      </c>
      <c r="G39">
        <f>LOG(Table1_15[[#This Row],[PFHxS]])</f>
        <v>-5.305672930217456E-2</v>
      </c>
      <c r="H39">
        <f>LOG(Table1_15[[#This Row],[PFOA]])</f>
        <v>-0.30016227413275426</v>
      </c>
      <c r="I39">
        <f>LOG(Table1_15[[#This Row],[6:2 FTS]])</f>
        <v>-1.1837587000082168</v>
      </c>
      <c r="J39">
        <f>LOG(Table1_15[[#This Row],[PFHpS]])</f>
        <v>-1.1549019599857431</v>
      </c>
      <c r="K39">
        <f>LOG(Table1_15[[#This Row],[PFNA]])</f>
        <v>-0.44611697335612566</v>
      </c>
      <c r="L39">
        <f>LOG(Table1_15[[#This Row],[PFOS]])</f>
        <v>1.167317334748176</v>
      </c>
      <c r="M39">
        <f>LOG(Table1_15[[#This Row],[PFDA]])</f>
        <v>-0.78515615195230215</v>
      </c>
      <c r="N39">
        <f>LOG(Table1_15[[#This Row],[PFUnA]])</f>
        <v>-0.32330639037513342</v>
      </c>
      <c r="O39">
        <f>LOG(Table1_15[[#This Row],[PFDoA]])</f>
        <v>-0.58335949266171905</v>
      </c>
      <c r="P39">
        <f>LOG(Table1_15[[#This Row],[PFTrDA]])</f>
        <v>-0.71896663275227246</v>
      </c>
      <c r="Q39">
        <f>LOG(Table1_15[[#This Row],[PFTeDA]])</f>
        <v>-1.1023729087095586</v>
      </c>
      <c r="R39">
        <f>LOG(Table1_15[[#This Row],[PFNS]])</f>
        <v>-0.91364016932525183</v>
      </c>
      <c r="S39">
        <f>LOG(Table1_15[[#This Row],[PFDoS]])</f>
        <v>-1.1135092748275182</v>
      </c>
      <c r="T39">
        <f>LOG(Table1_15[[#This Row],[4:2 FTS]])</f>
        <v>-1.1396619934290064</v>
      </c>
      <c r="U39">
        <f>LOG(Table1_15[[#This Row],[8:2 FTS]])</f>
        <v>-0.53461714855158171</v>
      </c>
      <c r="V39">
        <f>LOG(Table1_15[[#This Row],[FOSA]])</f>
        <v>-0.38721614328026455</v>
      </c>
      <c r="W39">
        <f>LOG(Table1_15[[#This Row],[N-MeFOSA]])</f>
        <v>-1.7423214251308154</v>
      </c>
      <c r="X39">
        <f>LOG(Table1_15[[#This Row],[N-MeFOSAA]])</f>
        <v>-1.7423214251308154</v>
      </c>
      <c r="Y39">
        <f>LOG(Table1_15[[#This Row],[N-EtFOSA]])</f>
        <v>-1.2967086218813386</v>
      </c>
      <c r="Z39">
        <f>LOG(Table1_15[[#This Row],[N-EtFOSAA]])</f>
        <v>-1.7423214251308154</v>
      </c>
      <c r="AA39">
        <f>LOG(Table1_15[[#This Row],[N-MeFOSE]])</f>
        <v>-0.74232142513081545</v>
      </c>
      <c r="AB39">
        <f>LOG(Table1_15[[#This Row],[N-EtFOSE]])</f>
        <v>-0.74232142513081545</v>
      </c>
      <c r="AC39">
        <f>LOG(Table1_15[[#This Row],[HFPO-DA]])</f>
        <v>-1.1396619934290064</v>
      </c>
      <c r="AD39">
        <f>LOG(Table1_15[[#This Row],[ADONA]])</f>
        <v>-1.1396619934290064</v>
      </c>
      <c r="AE39">
        <f>LOG(Table1_15[[#This Row],[PFMBA]])</f>
        <v>-1.7423214251308154</v>
      </c>
      <c r="AF39">
        <f>LOG(Table1_15[[#This Row],[NFDHA]])</f>
        <v>-1.4406919890929875</v>
      </c>
      <c r="AG39">
        <f>LOG(Table1_15[[#This Row],[9Cl-PF3ONS]])</f>
        <v>-1.1396619934290064</v>
      </c>
      <c r="AH39">
        <f>LOG(Table1_15[[#This Row],[11Cl-PF3OUdS]])</f>
        <v>-1.1396619934290064</v>
      </c>
      <c r="AI39">
        <f>LOG(Table1_15[[#This Row],[PFEESA]])</f>
        <v>-1.7423214251308154</v>
      </c>
      <c r="AJ39">
        <f>LOG(Table1_15[[#This Row],[3:3 FTCA]])</f>
        <v>-1.1396619934290064</v>
      </c>
      <c r="AK39">
        <f>LOG(Table1_15[[#This Row],[5:3 FTCA]])</f>
        <v>-0.34390179798716813</v>
      </c>
      <c r="AL39">
        <f>LOG(Table1_15[[#This Row],[7:3 FTCA]])</f>
        <v>-0.34390179798716813</v>
      </c>
      <c r="AM39">
        <f>LOG(Table1_15[[#This Row],[PFDS]])</f>
        <v>-0.30891850787703151</v>
      </c>
      <c r="AN39">
        <f>LOG(Table1_15[[#This Row],[PFMPA]])</f>
        <v>-1.4406919890929875</v>
      </c>
    </row>
    <row r="40" spans="1:40" x14ac:dyDescent="0.3">
      <c r="A40">
        <f>LOG(Table1_15[[#This Row],[PFBA]])</f>
        <v>-0.83268266525182388</v>
      </c>
      <c r="B40">
        <f>LOG(Table1_15[[#This Row],[PFPeA]])</f>
        <v>-0.69897000433601875</v>
      </c>
      <c r="C40">
        <f>LOG(Table1_15[[#This Row],[PFBS]])</f>
        <v>-1.7435227937583233</v>
      </c>
      <c r="D40">
        <f>LOG(Table1_15[[#This Row],[PFHxA]])</f>
        <v>-0.75945075171740029</v>
      </c>
      <c r="E40">
        <f>LOG(Table1_15[[#This Row],[PFPeS]])</f>
        <v>-1.3187587626244128</v>
      </c>
      <c r="F40">
        <f>LOG(Table1_15[[#This Row],[PFHpA]])</f>
        <v>-1.0705810742857071</v>
      </c>
      <c r="G40">
        <f>LOG(Table1_15[[#This Row],[PFHxS]])</f>
        <v>-0.21538270736712464</v>
      </c>
      <c r="H40">
        <f>LOG(Table1_15[[#This Row],[PFOA]])</f>
        <v>-0.79317412396815024</v>
      </c>
      <c r="I40">
        <f>LOG(Table1_15[[#This Row],[6:2 FTS]])</f>
        <v>-0.64206515299954614</v>
      </c>
      <c r="J40">
        <f>LOG(Table1_15[[#This Row],[PFHpS]])</f>
        <v>-1.7435227937583233</v>
      </c>
      <c r="K40">
        <f>LOG(Table1_15[[#This Row],[PFNA]])</f>
        <v>-0.78251605578609373</v>
      </c>
      <c r="L40">
        <f>LOG(Table1_15[[#This Row],[PFOS]])</f>
        <v>0.87621784059164221</v>
      </c>
      <c r="M40">
        <f>LOG(Table1_15[[#This Row],[PFDA]])</f>
        <v>-1.1426675035687315</v>
      </c>
      <c r="N40">
        <f>LOG(Table1_15[[#This Row],[PFUnA]])</f>
        <v>-1.0757207139381184</v>
      </c>
      <c r="O40">
        <f>LOG(Table1_15[[#This Row],[PFDoA]])</f>
        <v>-1.4814860601221125</v>
      </c>
      <c r="P40">
        <f>LOG(Table1_15[[#This Row],[PFTrDA]])</f>
        <v>-1.3872161432802645</v>
      </c>
      <c r="Q40">
        <f>LOG(Table1_15[[#This Row],[PFTeDA]])</f>
        <v>-1.7435227937583233</v>
      </c>
      <c r="R40">
        <f>LOG(Table1_15[[#This Row],[PFNS]])</f>
        <v>-1.1426675035687315</v>
      </c>
      <c r="S40">
        <f>LOG(Table1_15[[#This Row],[PFDoS]])</f>
        <v>-1.7435227937583233</v>
      </c>
      <c r="T40">
        <f>LOG(Table1_15[[#This Row],[4:2 FTS]])</f>
        <v>-1.1426675035687315</v>
      </c>
      <c r="U40">
        <f>LOG(Table1_15[[#This Row],[8:2 FTS]])</f>
        <v>-1.2111248842245832</v>
      </c>
      <c r="V40">
        <f>LOG(Table1_15[[#This Row],[FOSA]])</f>
        <v>-0.88941028970075098</v>
      </c>
      <c r="W40">
        <f>LOG(Table1_15[[#This Row],[N-MeFOSA]])</f>
        <v>-1.7435227937583233</v>
      </c>
      <c r="X40">
        <f>LOG(Table1_15[[#This Row],[N-MeFOSAA]])</f>
        <v>-1.7435227937583233</v>
      </c>
      <c r="Y40">
        <f>LOG(Table1_15[[#This Row],[N-EtFOSA]])</f>
        <v>-1.2967086218813386</v>
      </c>
      <c r="Z40">
        <f>LOG(Table1_15[[#This Row],[N-EtFOSAA]])</f>
        <v>-1.7435227937583233</v>
      </c>
      <c r="AA40">
        <f>LOG(Table1_15[[#This Row],[N-MeFOSE]])</f>
        <v>-0.74352279375832331</v>
      </c>
      <c r="AB40">
        <f>LOG(Table1_15[[#This Row],[N-EtFOSE]])</f>
        <v>-0.74352279375832331</v>
      </c>
      <c r="AC40">
        <f>LOG(Table1_15[[#This Row],[HFPO-DA]])</f>
        <v>-1.1426675035687315</v>
      </c>
      <c r="AD40">
        <f>LOG(Table1_15[[#This Row],[ADONA]])</f>
        <v>-1.1426675035687315</v>
      </c>
      <c r="AE40">
        <f>LOG(Table1_15[[#This Row],[PFMBA]])</f>
        <v>-1.7435227937583233</v>
      </c>
      <c r="AF40">
        <f>LOG(Table1_15[[#This Row],[NFDHA]])</f>
        <v>-1.4424927980943421</v>
      </c>
      <c r="AG40">
        <f>LOG(Table1_15[[#This Row],[9Cl-PF3ONS]])</f>
        <v>-1.1396619934290064</v>
      </c>
      <c r="AH40">
        <f>LOG(Table1_15[[#This Row],[11Cl-PF3OUdS]])</f>
        <v>-1.1396619934290064</v>
      </c>
      <c r="AI40">
        <f>LOG(Table1_15[[#This Row],[PFEESA]])</f>
        <v>-1.7435227937583233</v>
      </c>
      <c r="AJ40">
        <f>LOG(Table1_15[[#This Row],[3:3 FTCA]])</f>
        <v>-1.1426675035687315</v>
      </c>
      <c r="AK40">
        <f>LOG(Table1_15[[#This Row],[5:3 FTCA]])</f>
        <v>-0.34534224535047536</v>
      </c>
      <c r="AL40">
        <f>LOG(Table1_15[[#This Row],[7:3 FTCA]])</f>
        <v>-0.34534224535047536</v>
      </c>
      <c r="AM40">
        <f>LOG(Table1_15[[#This Row],[PFDS]])</f>
        <v>-1.3467874862246563</v>
      </c>
      <c r="AN40">
        <f>LOG(Table1_15[[#This Row],[PFMPA]])</f>
        <v>-1.4424927980943421</v>
      </c>
    </row>
    <row r="41" spans="1:40" x14ac:dyDescent="0.3">
      <c r="A41">
        <f>LOG(Table1_15[[#This Row],[PFBA]])</f>
        <v>-1.1366771398795441</v>
      </c>
      <c r="B41">
        <f>LOG(Table1_15[[#This Row],[PFPeA]])</f>
        <v>-0.78781239559604221</v>
      </c>
      <c r="C41">
        <f>LOG(Table1_15[[#This Row],[PFBS]])</f>
        <v>-1.1870866433571443</v>
      </c>
      <c r="D41">
        <f>LOG(Table1_15[[#This Row],[PFHxA]])</f>
        <v>-0.69250396208678711</v>
      </c>
      <c r="E41">
        <f>LOG(Table1_15[[#This Row],[PFPeS]])</f>
        <v>-0.99567862621735737</v>
      </c>
      <c r="F41">
        <f>LOG(Table1_15[[#This Row],[PFHpA]])</f>
        <v>-1.0655015487564323</v>
      </c>
      <c r="G41">
        <f>LOG(Table1_15[[#This Row],[PFHxS]])</f>
        <v>-1.4573525916998339E-2</v>
      </c>
      <c r="H41">
        <f>LOG(Table1_15[[#This Row],[PFOA]])</f>
        <v>-0.51286162452281348</v>
      </c>
      <c r="I41">
        <f>LOG(Table1_15[[#This Row],[6:2 FTS]])</f>
        <v>-0.39902710431325172</v>
      </c>
      <c r="J41">
        <f>LOG(Table1_15[[#This Row],[PFHpS]])</f>
        <v>-0.93554201077308152</v>
      </c>
      <c r="K41">
        <f>LOG(Table1_15[[#This Row],[PFNA]])</f>
        <v>-0.86327943284359321</v>
      </c>
      <c r="L41">
        <f>LOG(Table1_15[[#This Row],[PFOS]])</f>
        <v>1.2430380486862944</v>
      </c>
      <c r="M41">
        <f>LOG(Table1_15[[#This Row],[PFDA]])</f>
        <v>-1.0043648054024501</v>
      </c>
      <c r="N41">
        <f>LOG(Table1_15[[#This Row],[PFUnA]])</f>
        <v>-0.64016451766011195</v>
      </c>
      <c r="O41">
        <f>LOG(Table1_15[[#This Row],[PFDoA]])</f>
        <v>-0.31515463835558755</v>
      </c>
      <c r="P41">
        <f>LOG(Table1_15[[#This Row],[PFTrDA]])</f>
        <v>-0.22841251911874466</v>
      </c>
      <c r="Q41">
        <f>LOG(Table1_15[[#This Row],[PFTeDA]])</f>
        <v>-0.44611697335612566</v>
      </c>
      <c r="R41">
        <f>LOG(Table1_15[[#This Row],[PFNS]])</f>
        <v>-1.1938200260161129</v>
      </c>
      <c r="S41">
        <f>LOG(Table1_15[[#This Row],[PFDoS]])</f>
        <v>-0.6020599913279624</v>
      </c>
      <c r="T41">
        <f>LOG(Table1_15[[#This Row],[4:2 FTS]])</f>
        <v>-1.1366771398795441</v>
      </c>
      <c r="U41">
        <f>LOG(Table1_15[[#This Row],[8:2 FTS]])</f>
        <v>-0.19382002601611281</v>
      </c>
      <c r="V41">
        <f>LOG(Table1_15[[#This Row],[FOSA]])</f>
        <v>-0.64781748188863753</v>
      </c>
      <c r="W41">
        <f>LOG(Table1_15[[#This Row],[N-MeFOSA]])</f>
        <v>-1.7375489102695705</v>
      </c>
      <c r="X41">
        <f>LOG(Table1_15[[#This Row],[N-MeFOSAA]])</f>
        <v>-1.7375489102695705</v>
      </c>
      <c r="Y41">
        <f>LOG(Table1_15[[#This Row],[N-EtFOSA]])</f>
        <v>-1.2924298239020637</v>
      </c>
      <c r="Z41">
        <f>LOG(Table1_15[[#This Row],[N-EtFOSAA]])</f>
        <v>-1.7375489102695705</v>
      </c>
      <c r="AA41">
        <f>LOG(Table1_15[[#This Row],[N-MeFOSE]])</f>
        <v>-0.73754891026957059</v>
      </c>
      <c r="AB41">
        <f>LOG(Table1_15[[#This Row],[N-EtFOSE]])</f>
        <v>-0.73754891026957059</v>
      </c>
      <c r="AC41">
        <f>LOG(Table1_15[[#This Row],[HFPO-DA]])</f>
        <v>-1.1366771398795441</v>
      </c>
      <c r="AD41">
        <f>LOG(Table1_15[[#This Row],[ADONA]])</f>
        <v>-1.1366771398795441</v>
      </c>
      <c r="AE41">
        <f>LOG(Table1_15[[#This Row],[PFMBA]])</f>
        <v>-1.7375489102695705</v>
      </c>
      <c r="AF41">
        <f>LOG(Table1_15[[#This Row],[NFDHA]])</f>
        <v>-1.4371126187061207</v>
      </c>
      <c r="AG41">
        <f>LOG(Table1_15[[#This Row],[9Cl-PF3ONS]])</f>
        <v>-1.133712660915805</v>
      </c>
      <c r="AH41">
        <f>LOG(Table1_15[[#This Row],[11Cl-PF3OUdS]])</f>
        <v>-1.1366771398795441</v>
      </c>
      <c r="AI41">
        <f>LOG(Table1_15[[#This Row],[PFEESA]])</f>
        <v>-1.7375489102695705</v>
      </c>
      <c r="AJ41">
        <f>LOG(Table1_15[[#This Row],[3:3 FTCA]])</f>
        <v>-1.1366771398795441</v>
      </c>
      <c r="AK41">
        <f>LOG(Table1_15[[#This Row],[5:3 FTCA]])</f>
        <v>-0.34008379993014975</v>
      </c>
      <c r="AL41">
        <f>LOG(Table1_15[[#This Row],[7:3 FTCA]])</f>
        <v>-0.34008379993014975</v>
      </c>
      <c r="AM41">
        <f>LOG(Table1_15[[#This Row],[PFDS]])</f>
        <v>-0.58838029403676984</v>
      </c>
      <c r="AN41">
        <f>LOG(Table1_15[[#This Row],[PFMPA]])</f>
        <v>-1.4371126187061207</v>
      </c>
    </row>
    <row r="42" spans="1:40" x14ac:dyDescent="0.3">
      <c r="A42">
        <f>LOG(Table1_15[[#This Row],[PFBA]])</f>
        <v>-0.58004425151024208</v>
      </c>
      <c r="B42">
        <f>LOG(Table1_15[[#This Row],[PFPeA]])</f>
        <v>-0.34775365899667682</v>
      </c>
      <c r="C42">
        <f>LOG(Table1_15[[#This Row],[PFBS]])</f>
        <v>-1.744727494896694</v>
      </c>
      <c r="D42">
        <f>LOG(Table1_15[[#This Row],[PFHxA]])</f>
        <v>-0.35556141053216145</v>
      </c>
      <c r="E42">
        <f>LOG(Table1_15[[#This Row],[PFPeS]])</f>
        <v>-1.2076083105017461</v>
      </c>
      <c r="F42">
        <f>LOG(Table1_15[[#This Row],[PFHpA]])</f>
        <v>-0.66958622665080914</v>
      </c>
      <c r="G42">
        <f>LOG(Table1_15[[#This Row],[PFHxS]])</f>
        <v>-5.8985756294430272E-2</v>
      </c>
      <c r="H42">
        <f>LOG(Table1_15[[#This Row],[PFOA]])</f>
        <v>-0.33818731446273875</v>
      </c>
      <c r="I42">
        <f>LOG(Table1_15[[#This Row],[6:2 FTS]])</f>
        <v>0.27184160653649897</v>
      </c>
      <c r="J42">
        <f>LOG(Table1_15[[#This Row],[PFHpS]])</f>
        <v>-1.0409586076789064</v>
      </c>
      <c r="K42">
        <f>LOG(Table1_15[[#This Row],[PFNA]])</f>
        <v>-0.54975089168063895</v>
      </c>
      <c r="L42">
        <f>LOG(Table1_15[[#This Row],[PFOS]])</f>
        <v>1.1789769472931695</v>
      </c>
      <c r="M42">
        <f>LOG(Table1_15[[#This Row],[PFDA]])</f>
        <v>-0.41341269532824504</v>
      </c>
      <c r="N42">
        <f>LOG(Table1_15[[#This Row],[PFUnA]])</f>
        <v>-0.33161408330999981</v>
      </c>
      <c r="O42">
        <f>LOG(Table1_15[[#This Row],[PFDoA]])</f>
        <v>-0.89619627904404309</v>
      </c>
      <c r="P42">
        <f>LOG(Table1_15[[#This Row],[PFTrDA]])</f>
        <v>-1.2146701649892331</v>
      </c>
      <c r="Q42">
        <f>LOG(Table1_15[[#This Row],[PFTeDA]])</f>
        <v>-1.744727494896694</v>
      </c>
      <c r="R42">
        <f>LOG(Table1_15[[#This Row],[PFNS]])</f>
        <v>-0.45469288353417592</v>
      </c>
      <c r="S42">
        <f>LOG(Table1_15[[#This Row],[PFDoS]])</f>
        <v>-1.3872161432802645</v>
      </c>
      <c r="T42">
        <f>LOG(Table1_15[[#This Row],[4:2 FTS]])</f>
        <v>-1.1426675035687315</v>
      </c>
      <c r="U42">
        <f>LOG(Table1_15[[#This Row],[8:2 FTS]])</f>
        <v>0.17609125905568124</v>
      </c>
      <c r="V42">
        <f>LOG(Table1_15[[#This Row],[FOSA]])</f>
        <v>0.22530928172586284</v>
      </c>
      <c r="W42">
        <f>LOG(Table1_15[[#This Row],[N-MeFOSA]])</f>
        <v>-1.3979400086720375</v>
      </c>
      <c r="X42">
        <f>LOG(Table1_15[[#This Row],[N-MeFOSAA]])</f>
        <v>-1.744727494896694</v>
      </c>
      <c r="Y42">
        <f>LOG(Table1_15[[#This Row],[N-EtFOSA]])</f>
        <v>-1.2967086218813386</v>
      </c>
      <c r="Z42">
        <f>LOG(Table1_15[[#This Row],[N-EtFOSAA]])</f>
        <v>-1.744727494896694</v>
      </c>
      <c r="AA42">
        <f>LOG(Table1_15[[#This Row],[N-MeFOSE]])</f>
        <v>-0.74472749489669399</v>
      </c>
      <c r="AB42">
        <f>LOG(Table1_15[[#This Row],[N-EtFOSE]])</f>
        <v>-0.74472749489669399</v>
      </c>
      <c r="AC42">
        <f>LOG(Table1_15[[#This Row],[HFPO-DA]])</f>
        <v>-1.1426675035687315</v>
      </c>
      <c r="AD42">
        <f>LOG(Table1_15[[#This Row],[ADONA]])</f>
        <v>-1.1426675035687315</v>
      </c>
      <c r="AE42">
        <f>LOG(Table1_15[[#This Row],[PFMBA]])</f>
        <v>-1.744727494896694</v>
      </c>
      <c r="AF42">
        <f>LOG(Table1_15[[#This Row],[NFDHA]])</f>
        <v>-1.4443011052810986</v>
      </c>
      <c r="AG42">
        <f>LOG(Table1_15[[#This Row],[9Cl-PF3ONS]])</f>
        <v>-1.1426675035687315</v>
      </c>
      <c r="AH42">
        <f>LOG(Table1_15[[#This Row],[11Cl-PF3OUdS]])</f>
        <v>-1.1426675035687315</v>
      </c>
      <c r="AI42">
        <f>LOG(Table1_15[[#This Row],[PFEESA]])</f>
        <v>-1.744727494896694</v>
      </c>
      <c r="AJ42">
        <f>LOG(Table1_15[[#This Row],[3:3 FTCA]])</f>
        <v>-1.1426675035687315</v>
      </c>
      <c r="AK42">
        <f>LOG(Table1_15[[#This Row],[5:3 FTCA]])</f>
        <v>1.703333929878037E-2</v>
      </c>
      <c r="AL42">
        <f>LOG(Table1_15[[#This Row],[7:3 FTCA]])</f>
        <v>-0.34727030393075242</v>
      </c>
      <c r="AM42">
        <f>LOG(Table1_15[[#This Row],[PFDS]])</f>
        <v>-0.2865094569060575</v>
      </c>
      <c r="AN42">
        <f>LOG(Table1_15[[#This Row],[PFMPA]])</f>
        <v>-1.4443011052810986</v>
      </c>
    </row>
    <row r="43" spans="1:40" x14ac:dyDescent="0.3">
      <c r="A43">
        <f>LOG(Table1_15[[#This Row],[PFBA]])</f>
        <v>-1.1307682802690238</v>
      </c>
      <c r="B43">
        <f>LOG(Table1_15[[#This Row],[PFPeA]])</f>
        <v>-0.81815641205522749</v>
      </c>
      <c r="C43">
        <f>LOG(Table1_15[[#This Row],[PFBS]])</f>
        <v>-1.3872161432802645</v>
      </c>
      <c r="D43">
        <f>LOG(Table1_15[[#This Row],[PFHxA]])</f>
        <v>-0.89962945488243706</v>
      </c>
      <c r="E43">
        <f>LOG(Table1_15[[#This Row],[PFPeS]])</f>
        <v>-1.2757241303992111</v>
      </c>
      <c r="F43">
        <f>LOG(Table1_15[[#This Row],[PFHpA]])</f>
        <v>-1</v>
      </c>
      <c r="G43">
        <f>LOG(Table1_15[[#This Row],[PFHxS]])</f>
        <v>2.9383777685209667E-2</v>
      </c>
      <c r="H43">
        <f>LOG(Table1_15[[#This Row],[PFOA]])</f>
        <v>-0.47755576649368009</v>
      </c>
      <c r="I43">
        <f>LOG(Table1_15[[#This Row],[6:2 FTS]])</f>
        <v>-0.8507808873446201</v>
      </c>
      <c r="J43">
        <f>LOG(Table1_15[[#This Row],[PFHpS]])</f>
        <v>-0.9318141382538383</v>
      </c>
      <c r="K43">
        <f>LOG(Table1_15[[#This Row],[PFNA]])</f>
        <v>-0.59859945921845592</v>
      </c>
      <c r="L43">
        <f>LOG(Table1_15[[#This Row],[PFOS]])</f>
        <v>1.4048337166199381</v>
      </c>
      <c r="M43">
        <f>LOG(Table1_15[[#This Row],[PFDA]])</f>
        <v>-0.60730304674033431</v>
      </c>
      <c r="N43">
        <f>LOG(Table1_15[[#This Row],[PFUnA]])</f>
        <v>-0.27327279097342771</v>
      </c>
      <c r="O43">
        <f>LOG(Table1_15[[#This Row],[PFDoA]])</f>
        <v>-0.32148162095988608</v>
      </c>
      <c r="P43">
        <f>LOG(Table1_15[[#This Row],[PFTrDA]])</f>
        <v>-0.35852588949590047</v>
      </c>
      <c r="Q43">
        <f>LOG(Table1_15[[#This Row],[PFTeDA]])</f>
        <v>-0.69250396208678711</v>
      </c>
      <c r="R43">
        <f>LOG(Table1_15[[#This Row],[PFNS]])</f>
        <v>-0.790484985457369</v>
      </c>
      <c r="S43">
        <f>LOG(Table1_15[[#This Row],[PFDoS]])</f>
        <v>-0.87614835903291421</v>
      </c>
      <c r="T43">
        <f>LOG(Table1_15[[#This Row],[4:2 FTS]])</f>
        <v>-1.1307682802690238</v>
      </c>
      <c r="U43">
        <f>LOG(Table1_15[[#This Row],[8:2 FTS]])</f>
        <v>-7.9876673709276078E-2</v>
      </c>
      <c r="V43">
        <f>LOG(Table1_15[[#This Row],[FOSA]])</f>
        <v>-0.4788619162959637</v>
      </c>
      <c r="W43">
        <f>LOG(Table1_15[[#This Row],[N-MeFOSA]])</f>
        <v>-1.7316560860489354</v>
      </c>
      <c r="X43">
        <f>LOG(Table1_15[[#This Row],[N-MeFOSAA]])</f>
        <v>-1.7316560860489354</v>
      </c>
      <c r="Y43">
        <f>LOG(Table1_15[[#This Row],[N-EtFOSA]])</f>
        <v>-1.2839966563652008</v>
      </c>
      <c r="Z43">
        <f>LOG(Table1_15[[#This Row],[N-EtFOSAA]])</f>
        <v>-1.7316560860489354</v>
      </c>
      <c r="AA43">
        <f>LOG(Table1_15[[#This Row],[N-MeFOSE]])</f>
        <v>-0.73165608604893528</v>
      </c>
      <c r="AB43">
        <f>LOG(Table1_15[[#This Row],[N-EtFOSE]])</f>
        <v>-0.73165608604893528</v>
      </c>
      <c r="AC43">
        <f>LOG(Table1_15[[#This Row],[HFPO-DA]])</f>
        <v>-1.1307682802690238</v>
      </c>
      <c r="AD43">
        <f>LOG(Table1_15[[#This Row],[ADONA]])</f>
        <v>-1.1307682802690238</v>
      </c>
      <c r="AE43">
        <f>LOG(Table1_15[[#This Row],[PFMBA]])</f>
        <v>-1.7316560860489354</v>
      </c>
      <c r="AF43">
        <f>LOG(Table1_15[[#This Row],[NFDHA]])</f>
        <v>-1.4312117876846531</v>
      </c>
      <c r="AG43">
        <f>LOG(Table1_15[[#This Row],[9Cl-PF3ONS]])</f>
        <v>-1.1278437272517072</v>
      </c>
      <c r="AH43">
        <f>LOG(Table1_15[[#This Row],[11Cl-PF3OUdS]])</f>
        <v>-1.1307682802690238</v>
      </c>
      <c r="AI43">
        <f>LOG(Table1_15[[#This Row],[PFEESA]])</f>
        <v>-1.7316560860489354</v>
      </c>
      <c r="AJ43">
        <f>LOG(Table1_15[[#This Row],[3:3 FTCA]])</f>
        <v>-1.1307682802690238</v>
      </c>
      <c r="AK43">
        <f>LOG(Table1_15[[#This Row],[5:3 FTCA]])</f>
        <v>-0.33441900898204685</v>
      </c>
      <c r="AL43">
        <f>LOG(Table1_15[[#This Row],[7:3 FTCA]])</f>
        <v>-0.33441900898204685</v>
      </c>
      <c r="AM43">
        <f>LOG(Table1_15[[#This Row],[PFDS]])</f>
        <v>-0.26760624017703144</v>
      </c>
      <c r="AN43">
        <f>LOG(Table1_15[[#This Row],[PFMPA]])</f>
        <v>-1.4312117876846531</v>
      </c>
    </row>
    <row r="44" spans="1:40" x14ac:dyDescent="0.3">
      <c r="A44">
        <f>LOG(Table1_15[[#This Row],[PFBA]])</f>
        <v>-0.69897000433601875</v>
      </c>
      <c r="B44">
        <f>LOG(Table1_15[[#This Row],[PFPeA]])</f>
        <v>-1</v>
      </c>
      <c r="C44">
        <f>LOG(Table1_15[[#This Row],[PFBS]])</f>
        <v>-1.3053948010664314</v>
      </c>
      <c r="D44">
        <f>LOG(Table1_15[[#This Row],[PFHxA]])</f>
        <v>-0.92081875395237522</v>
      </c>
      <c r="E44">
        <f>LOG(Table1_15[[#This Row],[PFPeS]])</f>
        <v>-1.3053948010664314</v>
      </c>
      <c r="F44">
        <f>LOG(Table1_15[[#This Row],[PFHpA]])</f>
        <v>-1.0457574905606752</v>
      </c>
      <c r="G44">
        <f>LOG(Table1_15[[#This Row],[PFHxS]])</f>
        <v>-0.44369749923271273</v>
      </c>
      <c r="H44">
        <f>LOG(Table1_15[[#This Row],[PFOA]])</f>
        <v>-0.6777807052660807</v>
      </c>
      <c r="I44">
        <f>LOG(Table1_15[[#This Row],[6:2 FTS]])</f>
        <v>-0.40340290437353976</v>
      </c>
      <c r="J44">
        <f>LOG(Table1_15[[#This Row],[PFHpS]])</f>
        <v>-1.3053948010664314</v>
      </c>
      <c r="K44">
        <f>LOG(Table1_15[[#This Row],[PFNA]])</f>
        <v>-0.58502665202918203</v>
      </c>
      <c r="L44">
        <f>LOG(Table1_15[[#This Row],[PFOS]])</f>
        <v>0.86332286012045589</v>
      </c>
      <c r="M44">
        <f>LOG(Table1_15[[#This Row],[PFDA]])</f>
        <v>-0.88605664769316317</v>
      </c>
      <c r="N44">
        <f>LOG(Table1_15[[#This Row],[PFUnA]])</f>
        <v>-1</v>
      </c>
      <c r="O44">
        <f>LOG(Table1_15[[#This Row],[PFDoA]])</f>
        <v>-1.3053948010664314</v>
      </c>
      <c r="P44">
        <f>LOG(Table1_15[[#This Row],[PFTrDA]])</f>
        <v>-1.3053948010664314</v>
      </c>
      <c r="Q44">
        <f>LOG(Table1_15[[#This Row],[PFTeDA]])</f>
        <v>-1.3053948010664314</v>
      </c>
      <c r="R44">
        <f>LOG(Table1_15[[#This Row],[PFNS]])</f>
        <v>-1.2006594505464183</v>
      </c>
      <c r="S44">
        <f>LOG(Table1_15[[#This Row],[PFDoS]])</f>
        <v>-1.3053948010664314</v>
      </c>
      <c r="T44">
        <f>LOG(Table1_15[[#This Row],[4:2 FTS]])</f>
        <v>-0.69897000433601875</v>
      </c>
      <c r="U44">
        <f>LOG(Table1_15[[#This Row],[8:2 FTS]])</f>
        <v>-0.40340290437353976</v>
      </c>
      <c r="V44">
        <f>LOG(Table1_15[[#This Row],[FOSA]])</f>
        <v>-1.0457574905606752</v>
      </c>
      <c r="W44">
        <f>LOG(Table1_15[[#This Row],[N-MeFOSA]])</f>
        <v>-1.3053948010664314</v>
      </c>
      <c r="X44">
        <f>LOG(Table1_15[[#This Row],[N-MeFOSAA]])</f>
        <v>-1.3053948010664314</v>
      </c>
      <c r="Y44">
        <f>LOG(Table1_15[[#This Row],[N-EtFOSA]])</f>
        <v>-1.3053948010664314</v>
      </c>
      <c r="Z44">
        <f>LOG(Table1_15[[#This Row],[N-EtFOSAA]])</f>
        <v>-1.3053948010664314</v>
      </c>
      <c r="AA44">
        <f>LOG(Table1_15[[#This Row],[N-MeFOSE]])</f>
        <v>-0.3053948010664313</v>
      </c>
      <c r="AB44">
        <f>LOG(Table1_15[[#This Row],[N-EtFOSE]])</f>
        <v>-0.3053948010664313</v>
      </c>
      <c r="AC44">
        <f>LOG(Table1_15[[#This Row],[HFPO-DA]])</f>
        <v>-0.52287874528033762</v>
      </c>
      <c r="AD44">
        <f>LOG(Table1_15[[#This Row],[ADONA]])</f>
        <v>-0.69897000433601875</v>
      </c>
      <c r="AE44">
        <f>LOG(Table1_15[[#This Row],[PFMBA]])</f>
        <v>-1</v>
      </c>
      <c r="AF44">
        <f>LOG(Table1_15[[#This Row],[NFDHA]])</f>
        <v>-1</v>
      </c>
      <c r="AG44">
        <f>LOG(Table1_15[[#This Row],[9Cl-PF3ONS]])</f>
        <v>-0.69897000433601875</v>
      </c>
      <c r="AH44">
        <f>LOG(Table1_15[[#This Row],[11Cl-PF3OUdS]])</f>
        <v>-0.69897000433601875</v>
      </c>
      <c r="AI44">
        <f>LOG(Table1_15[[#This Row],[PFEESA]])</f>
        <v>-1</v>
      </c>
      <c r="AJ44">
        <f>LOG(Table1_15[[#This Row],[3:3 FTCA]])</f>
        <v>-0.6020599913279624</v>
      </c>
      <c r="AK44">
        <f>LOG(Table1_15[[#This Row],[5:3 FTCA]])</f>
        <v>9.691001300805642E-2</v>
      </c>
      <c r="AL44">
        <f>LOG(Table1_15[[#This Row],[7:3 FTCA]])</f>
        <v>9.691001300805642E-2</v>
      </c>
      <c r="AM44">
        <f>LOG(Table1_15[[#This Row],[PFDS]])</f>
        <v>-1.2291479883578558</v>
      </c>
      <c r="AN44">
        <f>LOG(Table1_15[[#This Row],[PFMPA]])</f>
        <v>-1</v>
      </c>
    </row>
    <row r="45" spans="1:40" x14ac:dyDescent="0.3">
      <c r="A45">
        <f>LOG(Table1_15[[#This Row],[PFBA]])</f>
        <v>-0.69897000433601875</v>
      </c>
      <c r="B45">
        <f>LOG(Table1_15[[#This Row],[PFPeA]])</f>
        <v>-1</v>
      </c>
      <c r="C45">
        <f>LOG(Table1_15[[#This Row],[PFBS]])</f>
        <v>-1.3053948010664314</v>
      </c>
      <c r="D45">
        <f>LOG(Table1_15[[#This Row],[PFHxA]])</f>
        <v>-0.53760200210104392</v>
      </c>
      <c r="E45">
        <f>LOG(Table1_15[[#This Row],[PFPeS]])</f>
        <v>-1</v>
      </c>
      <c r="F45">
        <f>LOG(Table1_15[[#This Row],[PFHpA]])</f>
        <v>-1.0457574905606752</v>
      </c>
      <c r="G45">
        <f>LOG(Table1_15[[#This Row],[PFHxS]])</f>
        <v>-6.5501548756432285E-2</v>
      </c>
      <c r="H45">
        <f>LOG(Table1_15[[#This Row],[PFOA]])</f>
        <v>-0.48148606012211248</v>
      </c>
      <c r="I45">
        <f>LOG(Table1_15[[#This Row],[6:2 FTS]])</f>
        <v>-0.25963731050575611</v>
      </c>
      <c r="J45">
        <f>LOG(Table1_15[[#This Row],[PFHpS]])</f>
        <v>-1.0457574905606752</v>
      </c>
      <c r="K45">
        <f>LOG(Table1_15[[#This Row],[PFNA]])</f>
        <v>-1.0268721464003014</v>
      </c>
      <c r="L45">
        <f>LOG(Table1_15[[#This Row],[PFOS]])</f>
        <v>1.1139433523068367</v>
      </c>
      <c r="M45">
        <f>LOG(Table1_15[[#This Row],[PFDA]])</f>
        <v>-1.0177287669604316</v>
      </c>
      <c r="N45">
        <f>LOG(Table1_15[[#This Row],[PFUnA]])</f>
        <v>-0.69897000433601875</v>
      </c>
      <c r="O45">
        <f>LOG(Table1_15[[#This Row],[PFDoA]])</f>
        <v>-0.18045606445813131</v>
      </c>
      <c r="P45">
        <f>LOG(Table1_15[[#This Row],[PFTrDA]])</f>
        <v>-0.19382002601611281</v>
      </c>
      <c r="Q45">
        <f>LOG(Table1_15[[#This Row],[PFTeDA]])</f>
        <v>-0.37675070960209955</v>
      </c>
      <c r="R45">
        <f>LOG(Table1_15[[#This Row],[PFNS]])</f>
        <v>-1.2839966563652008</v>
      </c>
      <c r="S45">
        <f>LOG(Table1_15[[#This Row],[PFDoS]])</f>
        <v>-0.3979400086720376</v>
      </c>
      <c r="T45">
        <f>LOG(Table1_15[[#This Row],[4:2 FTS]])</f>
        <v>-0.69897000433601875</v>
      </c>
      <c r="U45">
        <f>LOG(Table1_15[[#This Row],[8:2 FTS]])</f>
        <v>-0.42021640338318983</v>
      </c>
      <c r="V45">
        <f>LOG(Table1_15[[#This Row],[FOSA]])</f>
        <v>-0.52287874528033762</v>
      </c>
      <c r="W45">
        <f>LOG(Table1_15[[#This Row],[N-MeFOSA]])</f>
        <v>-1.3053948010664314</v>
      </c>
      <c r="X45">
        <f>LOG(Table1_15[[#This Row],[N-MeFOSAA]])</f>
        <v>-1.3053948010664314</v>
      </c>
      <c r="Y45">
        <f>LOG(Table1_15[[#This Row],[N-EtFOSA]])</f>
        <v>-1.3053948010664314</v>
      </c>
      <c r="Z45">
        <f>LOG(Table1_15[[#This Row],[N-EtFOSAA]])</f>
        <v>-1.3053948010664314</v>
      </c>
      <c r="AA45">
        <f>LOG(Table1_15[[#This Row],[N-MeFOSE]])</f>
        <v>-0.3053948010664313</v>
      </c>
      <c r="AB45">
        <f>LOG(Table1_15[[#This Row],[N-EtFOSE]])</f>
        <v>-0.3053948010664313</v>
      </c>
      <c r="AC45">
        <f>LOG(Table1_15[[#This Row],[HFPO-DA]])</f>
        <v>-0.52287874528033762</v>
      </c>
      <c r="AD45">
        <f>LOG(Table1_15[[#This Row],[ADONA]])</f>
        <v>-0.69897000433601875</v>
      </c>
      <c r="AE45">
        <f>LOG(Table1_15[[#This Row],[PFMBA]])</f>
        <v>-1</v>
      </c>
      <c r="AF45">
        <f>LOG(Table1_15[[#This Row],[NFDHA]])</f>
        <v>-1</v>
      </c>
      <c r="AG45">
        <f>LOG(Table1_15[[#This Row],[9Cl-PF3ONS]])</f>
        <v>-0.69897000433601875</v>
      </c>
      <c r="AH45">
        <f>LOG(Table1_15[[#This Row],[11Cl-PF3OUdS]])</f>
        <v>-0.69897000433601875</v>
      </c>
      <c r="AI45">
        <f>LOG(Table1_15[[#This Row],[PFEESA]])</f>
        <v>-1</v>
      </c>
      <c r="AJ45">
        <f>LOG(Table1_15[[#This Row],[3:3 FTCA]])</f>
        <v>-0.6020599913279624</v>
      </c>
      <c r="AK45">
        <f>LOG(Table1_15[[#This Row],[5:3 FTCA]])</f>
        <v>9.691001300805642E-2</v>
      </c>
      <c r="AL45">
        <f>LOG(Table1_15[[#This Row],[7:3 FTCA]])</f>
        <v>0.17609125905568124</v>
      </c>
      <c r="AM45">
        <f>LOG(Table1_15[[#This Row],[PFDS]])</f>
        <v>-0.6020599913279624</v>
      </c>
      <c r="AN45">
        <f>LOG(Table1_15[[#This Row],[PFMPA]])</f>
        <v>-1</v>
      </c>
    </row>
    <row r="46" spans="1:40" x14ac:dyDescent="0.3">
      <c r="A46">
        <f>LOG(Table1_15[[#This Row],[PFBA]])</f>
        <v>-0.69897000433601875</v>
      </c>
      <c r="B46">
        <f>LOG(Table1_15[[#This Row],[PFPeA]])</f>
        <v>-1</v>
      </c>
      <c r="C46">
        <f>LOG(Table1_15[[#This Row],[PFBS]])</f>
        <v>-1.3053948010664314</v>
      </c>
      <c r="D46">
        <f>LOG(Table1_15[[#This Row],[PFHxA]])</f>
        <v>-1.0457574905606752</v>
      </c>
      <c r="E46">
        <f>LOG(Table1_15[[#This Row],[PFPeS]])</f>
        <v>-1.3053948010664314</v>
      </c>
      <c r="F46">
        <f>LOG(Table1_15[[#This Row],[PFHpA]])</f>
        <v>-1.0457574905606752</v>
      </c>
      <c r="G46">
        <f>LOG(Table1_15[[#This Row],[PFHxS]])</f>
        <v>-0.32790214206428259</v>
      </c>
      <c r="H46">
        <f>LOG(Table1_15[[#This Row],[PFOA]])</f>
        <v>-0.82390874094431876</v>
      </c>
      <c r="I46">
        <f>LOG(Table1_15[[#This Row],[6:2 FTS]])</f>
        <v>-0.40340290437353976</v>
      </c>
      <c r="J46">
        <f>LOG(Table1_15[[#This Row],[PFHpS]])</f>
        <v>-1.3053948010664314</v>
      </c>
      <c r="K46">
        <f>LOG(Table1_15[[#This Row],[PFNA]])</f>
        <v>-1.3053948010664314</v>
      </c>
      <c r="L46">
        <f>LOG(Table1_15[[#This Row],[PFOS]])</f>
        <v>0.85125834871907524</v>
      </c>
      <c r="M46">
        <f>LOG(Table1_15[[#This Row],[PFDA]])</f>
        <v>-0.95860731484177497</v>
      </c>
      <c r="N46">
        <f>LOG(Table1_15[[#This Row],[PFUnA]])</f>
        <v>-0.40893539297350079</v>
      </c>
      <c r="O46">
        <f>LOG(Table1_15[[#This Row],[PFDoA]])</f>
        <v>-0.92081875395237522</v>
      </c>
      <c r="P46">
        <f>LOG(Table1_15[[#This Row],[PFTrDA]])</f>
        <v>-1.3053948010664314</v>
      </c>
      <c r="Q46">
        <f>LOG(Table1_15[[#This Row],[PFTeDA]])</f>
        <v>-1.3053948010664314</v>
      </c>
      <c r="R46">
        <f>LOG(Table1_15[[#This Row],[PFNS]])</f>
        <v>-0.769551078621726</v>
      </c>
      <c r="S46">
        <f>LOG(Table1_15[[#This Row],[PFDoS]])</f>
        <v>-1.3053948010664314</v>
      </c>
      <c r="T46">
        <f>LOG(Table1_15[[#This Row],[4:2 FTS]])</f>
        <v>-0.69897000433601875</v>
      </c>
      <c r="U46">
        <f>LOG(Table1_15[[#This Row],[8:2 FTS]])</f>
        <v>-0.21467016498923297</v>
      </c>
      <c r="V46">
        <f>LOG(Table1_15[[#This Row],[FOSA]])</f>
        <v>-2.2276394711152253E-2</v>
      </c>
      <c r="W46">
        <f>LOG(Table1_15[[#This Row],[N-MeFOSA]])</f>
        <v>-1.3053948010664314</v>
      </c>
      <c r="X46">
        <f>LOG(Table1_15[[#This Row],[N-MeFOSAA]])</f>
        <v>-1.3053948010664314</v>
      </c>
      <c r="Y46">
        <f>LOG(Table1_15[[#This Row],[N-EtFOSA]])</f>
        <v>-1.3053948010664314</v>
      </c>
      <c r="Z46">
        <f>LOG(Table1_15[[#This Row],[N-EtFOSAA]])</f>
        <v>-1.3053948010664314</v>
      </c>
      <c r="AA46">
        <f>LOG(Table1_15[[#This Row],[N-MeFOSE]])</f>
        <v>-0.3053948010664313</v>
      </c>
      <c r="AB46">
        <f>LOG(Table1_15[[#This Row],[N-EtFOSE]])</f>
        <v>-0.3053948010664313</v>
      </c>
      <c r="AC46">
        <f>LOG(Table1_15[[#This Row],[HFPO-DA]])</f>
        <v>-0.52287874528033762</v>
      </c>
      <c r="AD46">
        <f>LOG(Table1_15[[#This Row],[ADONA]])</f>
        <v>-0.69897000433601875</v>
      </c>
      <c r="AE46">
        <f>LOG(Table1_15[[#This Row],[PFMBA]])</f>
        <v>-1</v>
      </c>
      <c r="AF46">
        <f>LOG(Table1_15[[#This Row],[NFDHA]])</f>
        <v>-1</v>
      </c>
      <c r="AG46">
        <f>LOG(Table1_15[[#This Row],[9Cl-PF3ONS]])</f>
        <v>-0.69897000433601875</v>
      </c>
      <c r="AH46">
        <f>LOG(Table1_15[[#This Row],[11Cl-PF3OUdS]])</f>
        <v>-0.69897000433601875</v>
      </c>
      <c r="AI46">
        <f>LOG(Table1_15[[#This Row],[PFEESA]])</f>
        <v>-1</v>
      </c>
      <c r="AJ46">
        <f>LOG(Table1_15[[#This Row],[3:3 FTCA]])</f>
        <v>-0.6020599913279624</v>
      </c>
      <c r="AK46">
        <f>LOG(Table1_15[[#This Row],[5:3 FTCA]])</f>
        <v>9.691001300805642E-2</v>
      </c>
      <c r="AL46">
        <f>LOG(Table1_15[[#This Row],[7:3 FTCA]])</f>
        <v>9.691001300805642E-2</v>
      </c>
      <c r="AM46">
        <f>LOG(Table1_15[[#This Row],[PFDS]])</f>
        <v>-0.42021640338318983</v>
      </c>
      <c r="AN46">
        <f>LOG(Table1_15[[#This Row],[PFMPA]])</f>
        <v>-1</v>
      </c>
    </row>
    <row r="47" spans="1:40" x14ac:dyDescent="0.3">
      <c r="A47">
        <f>LOG(Table1_15[[#This Row],[PFBA]])</f>
        <v>-0.66756154008439472</v>
      </c>
      <c r="B47">
        <f>LOG(Table1_15[[#This Row],[PFPeA]])</f>
        <v>-0.82390874094431876</v>
      </c>
      <c r="C47">
        <f>LOG(Table1_15[[#This Row],[PFBS]])</f>
        <v>-1</v>
      </c>
      <c r="D47">
        <f>LOG(Table1_15[[#This Row],[PFHxA]])</f>
        <v>-0.69897000433601875</v>
      </c>
      <c r="E47">
        <f>LOG(Table1_15[[#This Row],[PFPeS]])</f>
        <v>-0.769551078621726</v>
      </c>
      <c r="F47">
        <f>LOG(Table1_15[[#This Row],[PFHpA]])</f>
        <v>-1</v>
      </c>
      <c r="G47">
        <f>LOG(Table1_15[[#This Row],[PFHxS]])</f>
        <v>0.34242268082220628</v>
      </c>
      <c r="H47">
        <f>LOG(Table1_15[[#This Row],[PFOA]])</f>
        <v>-0.21467016498923297</v>
      </c>
      <c r="I47">
        <f>LOG(Table1_15[[#This Row],[6:2 FTS]])</f>
        <v>-0.23657200643706275</v>
      </c>
      <c r="J47">
        <f>LOG(Table1_15[[#This Row],[PFHpS]])</f>
        <v>-0.49485002168009401</v>
      </c>
      <c r="K47">
        <f>LOG(Table1_15[[#This Row],[PFNA]])</f>
        <v>-0.46852108295774486</v>
      </c>
      <c r="L47">
        <f>LOG(Table1_15[[#This Row],[PFOS]])</f>
        <v>1.7403626894942439</v>
      </c>
      <c r="M47">
        <f>LOG(Table1_15[[#This Row],[PFDA]])</f>
        <v>-0.53760200210104392</v>
      </c>
      <c r="N47">
        <f>LOG(Table1_15[[#This Row],[PFUnA]])</f>
        <v>-7.5720713938118356E-2</v>
      </c>
      <c r="O47">
        <f>LOG(Table1_15[[#This Row],[PFDoA]])</f>
        <v>0.11394335230683679</v>
      </c>
      <c r="P47">
        <f>LOG(Table1_15[[#This Row],[PFTrDA]])</f>
        <v>4.1392685158225077E-2</v>
      </c>
      <c r="Q47">
        <f>LOG(Table1_15[[#This Row],[PFTeDA]])</f>
        <v>-4.0958607678906384E-2</v>
      </c>
      <c r="R47">
        <f>LOG(Table1_15[[#This Row],[PFNS]])</f>
        <v>-0.50863830616572736</v>
      </c>
      <c r="S47">
        <f>LOG(Table1_15[[#This Row],[PFDoS]])</f>
        <v>-0.25963731050575611</v>
      </c>
      <c r="T47">
        <f>LOG(Table1_15[[#This Row],[4:2 FTS]])</f>
        <v>-0.66756154008439472</v>
      </c>
      <c r="U47">
        <f>LOG(Table1_15[[#This Row],[8:2 FTS]])</f>
        <v>-2.2276394711152253E-2</v>
      </c>
      <c r="V47">
        <f>LOG(Table1_15[[#This Row],[FOSA]])</f>
        <v>-0.16749108729376366</v>
      </c>
      <c r="W47">
        <f>LOG(Table1_15[[#This Row],[N-MeFOSA]])</f>
        <v>-1.2596373105057561</v>
      </c>
      <c r="X47">
        <f>LOG(Table1_15[[#This Row],[N-MeFOSAA]])</f>
        <v>-1.2596373105057561</v>
      </c>
      <c r="Y47">
        <f>LOG(Table1_15[[#This Row],[N-EtFOSA]])</f>
        <v>-1.2596373105057561</v>
      </c>
      <c r="Z47">
        <f>LOG(Table1_15[[#This Row],[N-EtFOSAA]])</f>
        <v>-1.2596373105057561</v>
      </c>
      <c r="AA47">
        <f>LOG(Table1_15[[#This Row],[N-MeFOSE]])</f>
        <v>0.25527250510330607</v>
      </c>
      <c r="AB47">
        <f>LOG(Table1_15[[#This Row],[N-EtFOSE]])</f>
        <v>-0.25963731050575611</v>
      </c>
      <c r="AC47">
        <f>LOG(Table1_15[[#This Row],[HFPO-DA]])</f>
        <v>-0.49485002168009401</v>
      </c>
      <c r="AD47">
        <f>LOG(Table1_15[[#This Row],[ADONA]])</f>
        <v>-0.66756154008439472</v>
      </c>
      <c r="AE47">
        <f>LOG(Table1_15[[#This Row],[PFMBA]])</f>
        <v>-0.97881070093006195</v>
      </c>
      <c r="AF47">
        <f>LOG(Table1_15[[#This Row],[NFDHA]])</f>
        <v>-0.97881070093006195</v>
      </c>
      <c r="AG47">
        <f>LOG(Table1_15[[#This Row],[9Cl-PF3ONS]])</f>
        <v>-0.66756154008439472</v>
      </c>
      <c r="AH47">
        <f>LOG(Table1_15[[#This Row],[11Cl-PF3OUdS]])</f>
        <v>-0.66756154008439472</v>
      </c>
      <c r="AI47">
        <f>LOG(Table1_15[[#This Row],[PFEESA]])</f>
        <v>-0.97881070093006195</v>
      </c>
      <c r="AJ47">
        <f>LOG(Table1_15[[#This Row],[3:3 FTCA]])</f>
        <v>-0.5767541260631921</v>
      </c>
      <c r="AK47">
        <f>LOG(Table1_15[[#This Row],[5:3 FTCA]])</f>
        <v>0.13033376849500614</v>
      </c>
      <c r="AL47">
        <f>LOG(Table1_15[[#This Row],[7:3 FTCA]])</f>
        <v>0.27875360095282892</v>
      </c>
      <c r="AM47">
        <f>LOG(Table1_15[[#This Row],[PFDS]])</f>
        <v>-9.1514981121350217E-2</v>
      </c>
      <c r="AN47">
        <f>LOG(Table1_15[[#This Row],[PFMPA]])</f>
        <v>-0.95860731484177497</v>
      </c>
    </row>
    <row r="48" spans="1:40" x14ac:dyDescent="0.3">
      <c r="A48">
        <f>LOG(Table1_15[[#This Row],[PFBA]])</f>
        <v>-0.69897000433601875</v>
      </c>
      <c r="B48">
        <f>LOG(Table1_15[[#This Row],[PFPeA]])</f>
        <v>-1</v>
      </c>
      <c r="C48">
        <f>LOG(Table1_15[[#This Row],[PFBS]])</f>
        <v>-1.3010299956639813</v>
      </c>
      <c r="D48">
        <f>LOG(Table1_15[[#This Row],[PFHxA]])</f>
        <v>-1.0457574905606752</v>
      </c>
      <c r="E48">
        <f>LOG(Table1_15[[#This Row],[PFPeS]])</f>
        <v>-1.3010299956639813</v>
      </c>
      <c r="F48">
        <f>LOG(Table1_15[[#This Row],[PFHpA]])</f>
        <v>-1.0457574905606752</v>
      </c>
      <c r="G48">
        <f>LOG(Table1_15[[#This Row],[PFHxS]])</f>
        <v>-0.52287874528033762</v>
      </c>
      <c r="H48">
        <f>LOG(Table1_15[[#This Row],[PFOA]])</f>
        <v>-1</v>
      </c>
      <c r="I48">
        <f>LOG(Table1_15[[#This Row],[6:2 FTS]])</f>
        <v>-0.3979400086720376</v>
      </c>
      <c r="J48">
        <f>LOG(Table1_15[[#This Row],[PFHpS]])</f>
        <v>-1.3010299956639813</v>
      </c>
      <c r="K48">
        <f>LOG(Table1_15[[#This Row],[PFNA]])</f>
        <v>-1.3010299956639813</v>
      </c>
      <c r="L48">
        <f>LOG(Table1_15[[#This Row],[PFOS]])</f>
        <v>0.6020599913279624</v>
      </c>
      <c r="M48">
        <f>LOG(Table1_15[[#This Row],[PFDA]])</f>
        <v>-1.3010299956639813</v>
      </c>
      <c r="N48">
        <f>LOG(Table1_15[[#This Row],[PFUnA]])</f>
        <v>-1.1366771398795441</v>
      </c>
      <c r="O48">
        <f>LOG(Table1_15[[#This Row],[PFDoA]])</f>
        <v>-1.2596373105057561</v>
      </c>
      <c r="P48">
        <f>LOG(Table1_15[[#This Row],[PFTrDA]])</f>
        <v>-1.3010299956639813</v>
      </c>
      <c r="Q48">
        <f>LOG(Table1_15[[#This Row],[PFTeDA]])</f>
        <v>-1.3010299956639813</v>
      </c>
      <c r="R48">
        <f>LOG(Table1_15[[#This Row],[PFNS]])</f>
        <v>-1.3010299956639813</v>
      </c>
      <c r="S48">
        <f>LOG(Table1_15[[#This Row],[PFDoS]])</f>
        <v>-1.3010299956639813</v>
      </c>
      <c r="T48">
        <f>LOG(Table1_15[[#This Row],[4:2 FTS]])</f>
        <v>-0.69897000433601875</v>
      </c>
      <c r="U48">
        <f>LOG(Table1_15[[#This Row],[8:2 FTS]])</f>
        <v>-0.3979400086720376</v>
      </c>
      <c r="V48">
        <f>LOG(Table1_15[[#This Row],[FOSA]])</f>
        <v>-1.0457574905606752</v>
      </c>
      <c r="W48">
        <f>LOG(Table1_15[[#This Row],[N-MeFOSA]])</f>
        <v>-1.3010299956639813</v>
      </c>
      <c r="X48">
        <f>LOG(Table1_15[[#This Row],[N-MeFOSAA]])</f>
        <v>-1.3010299956639813</v>
      </c>
      <c r="Y48">
        <f>LOG(Table1_15[[#This Row],[N-EtFOSA]])</f>
        <v>-1.3010299956639813</v>
      </c>
      <c r="Z48">
        <f>LOG(Table1_15[[#This Row],[N-EtFOSAA]])</f>
        <v>-1.3010299956639813</v>
      </c>
      <c r="AA48">
        <f>LOG(Table1_15[[#This Row],[N-MeFOSE]])</f>
        <v>-0.3010299956639812</v>
      </c>
      <c r="AB48">
        <f>LOG(Table1_15[[#This Row],[N-EtFOSE]])</f>
        <v>-0.3010299956639812</v>
      </c>
      <c r="AC48">
        <f>LOG(Table1_15[[#This Row],[HFPO-DA]])</f>
        <v>-0.52287874528033762</v>
      </c>
      <c r="AD48">
        <f>LOG(Table1_15[[#This Row],[ADONA]])</f>
        <v>-0.69897000433601875</v>
      </c>
      <c r="AE48">
        <f>LOG(Table1_15[[#This Row],[PFMBA]])</f>
        <v>-1</v>
      </c>
      <c r="AF48">
        <f>LOG(Table1_15[[#This Row],[NFDHA]])</f>
        <v>-1</v>
      </c>
      <c r="AG48">
        <f>LOG(Table1_15[[#This Row],[9Cl-PF3ONS]])</f>
        <v>-0.69897000433601875</v>
      </c>
      <c r="AH48">
        <f>LOG(Table1_15[[#This Row],[11Cl-PF3OUdS]])</f>
        <v>-0.69897000433601875</v>
      </c>
      <c r="AI48">
        <f>LOG(Table1_15[[#This Row],[PFEESA]])</f>
        <v>-1</v>
      </c>
      <c r="AJ48">
        <f>LOG(Table1_15[[#This Row],[3:3 FTCA]])</f>
        <v>-0.6020599913279624</v>
      </c>
      <c r="AK48">
        <f>LOG(Table1_15[[#This Row],[5:3 FTCA]])</f>
        <v>9.691001300805642E-2</v>
      </c>
      <c r="AL48">
        <f>LOG(Table1_15[[#This Row],[7:3 FTCA]])</f>
        <v>9.691001300805642E-2</v>
      </c>
      <c r="AM48">
        <f>LOG(Table1_15[[#This Row],[PFDS]])</f>
        <v>-1.3010299956639813</v>
      </c>
      <c r="AN48">
        <f>LOG(Table1_15[[#This Row],[PFMPA]])</f>
        <v>-1</v>
      </c>
    </row>
    <row r="49" spans="1:40" x14ac:dyDescent="0.3">
      <c r="A49">
        <f>LOG(Table1_15[[#This Row],[PFBA]])</f>
        <v>-0.69897000433601875</v>
      </c>
      <c r="B49">
        <f>LOG(Table1_15[[#This Row],[PFPeA]])</f>
        <v>-1</v>
      </c>
      <c r="C49">
        <f>LOG(Table1_15[[#This Row],[PFBS]])</f>
        <v>-1.1611509092627446</v>
      </c>
      <c r="D49">
        <f>LOG(Table1_15[[#This Row],[PFHxA]])</f>
        <v>-0.55284196865778079</v>
      </c>
      <c r="E49">
        <f>LOG(Table1_15[[#This Row],[PFPeS]])</f>
        <v>-1.1023729087095586</v>
      </c>
      <c r="F49">
        <f>LOG(Table1_15[[#This Row],[PFHpA]])</f>
        <v>-1.0457574905606752</v>
      </c>
      <c r="G49">
        <f>LOG(Table1_15[[#This Row],[PFHxS]])</f>
        <v>0</v>
      </c>
      <c r="H49">
        <f>LOG(Table1_15[[#This Row],[PFOA]])</f>
        <v>-0.40893539297350079</v>
      </c>
      <c r="I49">
        <f>LOG(Table1_15[[#This Row],[6:2 FTS]])</f>
        <v>-6.0480747381381476E-2</v>
      </c>
      <c r="J49">
        <f>LOG(Table1_15[[#This Row],[PFHpS]])</f>
        <v>-0.92081875395237522</v>
      </c>
      <c r="K49">
        <f>LOG(Table1_15[[#This Row],[PFNA]])</f>
        <v>-0.85387196432176193</v>
      </c>
      <c r="L49">
        <f>LOG(Table1_15[[#This Row],[PFOS]])</f>
        <v>1.3010299956639813</v>
      </c>
      <c r="M49">
        <f>LOG(Table1_15[[#This Row],[PFDA]])</f>
        <v>-1.0043648054024501</v>
      </c>
      <c r="N49">
        <f>LOG(Table1_15[[#This Row],[PFUnA]])</f>
        <v>-0.72124639904717103</v>
      </c>
      <c r="O49">
        <f>LOG(Table1_15[[#This Row],[PFDoA]])</f>
        <v>-0.23657200643706275</v>
      </c>
      <c r="P49">
        <f>LOG(Table1_15[[#This Row],[PFTrDA]])</f>
        <v>-0.16749108729376366</v>
      </c>
      <c r="Q49">
        <f>LOG(Table1_15[[#This Row],[PFTeDA]])</f>
        <v>-0.31875876262441277</v>
      </c>
      <c r="R49">
        <f>LOG(Table1_15[[#This Row],[PFNS]])</f>
        <v>-1.0705810742857071</v>
      </c>
      <c r="S49">
        <f>LOG(Table1_15[[#This Row],[PFDoS]])</f>
        <v>-0.32790214206428259</v>
      </c>
      <c r="T49">
        <f>LOG(Table1_15[[#This Row],[4:2 FTS]])</f>
        <v>-0.69897000433601875</v>
      </c>
      <c r="U49">
        <f>LOG(Table1_15[[#This Row],[8:2 FTS]])</f>
        <v>-0.20760831050174613</v>
      </c>
      <c r="V49">
        <f>LOG(Table1_15[[#This Row],[FOSA]])</f>
        <v>-0.36653154442041347</v>
      </c>
      <c r="W49">
        <f>LOG(Table1_15[[#This Row],[N-MeFOSA]])</f>
        <v>-1.3010299956639813</v>
      </c>
      <c r="X49">
        <f>LOG(Table1_15[[#This Row],[N-MeFOSAA]])</f>
        <v>-1.3010299956639813</v>
      </c>
      <c r="Y49">
        <f>LOG(Table1_15[[#This Row],[N-EtFOSA]])</f>
        <v>-1.3010299956639813</v>
      </c>
      <c r="Z49">
        <f>LOG(Table1_15[[#This Row],[N-EtFOSAA]])</f>
        <v>-1.3010299956639813</v>
      </c>
      <c r="AA49">
        <f>LOG(Table1_15[[#This Row],[N-MeFOSE]])</f>
        <v>-0.3010299956639812</v>
      </c>
      <c r="AB49">
        <f>LOG(Table1_15[[#This Row],[N-EtFOSE]])</f>
        <v>-0.3010299956639812</v>
      </c>
      <c r="AC49">
        <f>LOG(Table1_15[[#This Row],[HFPO-DA]])</f>
        <v>-0.52287874528033762</v>
      </c>
      <c r="AD49">
        <f>LOG(Table1_15[[#This Row],[ADONA]])</f>
        <v>-0.69897000433601875</v>
      </c>
      <c r="AE49">
        <f>LOG(Table1_15[[#This Row],[PFMBA]])</f>
        <v>-1</v>
      </c>
      <c r="AF49">
        <f>LOG(Table1_15[[#This Row],[NFDHA]])</f>
        <v>-1</v>
      </c>
      <c r="AG49">
        <f>LOG(Table1_15[[#This Row],[9Cl-PF3ONS]])</f>
        <v>-0.69897000433601875</v>
      </c>
      <c r="AH49">
        <f>LOG(Table1_15[[#This Row],[11Cl-PF3OUdS]])</f>
        <v>-0.69897000433601875</v>
      </c>
      <c r="AI49">
        <f>LOG(Table1_15[[#This Row],[PFEESA]])</f>
        <v>-1</v>
      </c>
      <c r="AJ49">
        <f>LOG(Table1_15[[#This Row],[3:3 FTCA]])</f>
        <v>-0.6020599913279624</v>
      </c>
      <c r="AK49">
        <f>LOG(Table1_15[[#This Row],[5:3 FTCA]])</f>
        <v>4.1392685158225077E-2</v>
      </c>
      <c r="AL49">
        <f>LOG(Table1_15[[#This Row],[7:3 FTCA]])</f>
        <v>0.11394335230683679</v>
      </c>
      <c r="AM49">
        <f>LOG(Table1_15[[#This Row],[PFDS]])</f>
        <v>-0.43179827593300502</v>
      </c>
      <c r="AN49">
        <f>LOG(Table1_15[[#This Row],[PFMPA]])</f>
        <v>-1</v>
      </c>
    </row>
    <row r="50" spans="1:40" x14ac:dyDescent="0.3">
      <c r="A50">
        <f>LOG(Table1_15[[#This Row],[PFBA]])</f>
        <v>-0.69897000433601875</v>
      </c>
      <c r="B50">
        <f>LOG(Table1_15[[#This Row],[PFPeA]])</f>
        <v>-1</v>
      </c>
      <c r="C50">
        <f>LOG(Table1_15[[#This Row],[PFBS]])</f>
        <v>-1.3010299956639813</v>
      </c>
      <c r="D50">
        <f>LOG(Table1_15[[#This Row],[PFHxA]])</f>
        <v>-1.0457574905606752</v>
      </c>
      <c r="E50">
        <f>LOG(Table1_15[[#This Row],[PFPeS]])</f>
        <v>-1.3010299956639813</v>
      </c>
      <c r="F50">
        <f>LOG(Table1_15[[#This Row],[PFHpA]])</f>
        <v>-1.0457574905606752</v>
      </c>
      <c r="G50">
        <f>LOG(Table1_15[[#This Row],[PFHxS]])</f>
        <v>-0.38721614328026455</v>
      </c>
      <c r="H50">
        <f>LOG(Table1_15[[#This Row],[PFOA]])</f>
        <v>-0.69897000433601875</v>
      </c>
      <c r="I50">
        <f>LOG(Table1_15[[#This Row],[6:2 FTS]])</f>
        <v>-0.3979400086720376</v>
      </c>
      <c r="J50">
        <f>LOG(Table1_15[[#This Row],[PFHpS]])</f>
        <v>-1.3010299956639813</v>
      </c>
      <c r="K50">
        <f>LOG(Table1_15[[#This Row],[PFNA]])</f>
        <v>-1.2365720064370627</v>
      </c>
      <c r="L50">
        <f>LOG(Table1_15[[#This Row],[PFOS]])</f>
        <v>0.83250891270623628</v>
      </c>
      <c r="M50">
        <f>LOG(Table1_15[[#This Row],[PFDA]])</f>
        <v>-1.0409586076789064</v>
      </c>
      <c r="N50">
        <f>LOG(Table1_15[[#This Row],[PFUnA]])</f>
        <v>-0.42021640338318983</v>
      </c>
      <c r="O50">
        <f>LOG(Table1_15[[#This Row],[PFDoA]])</f>
        <v>-0.95860731484177497</v>
      </c>
      <c r="P50">
        <f>LOG(Table1_15[[#This Row],[PFTrDA]])</f>
        <v>-1.3010299956639813</v>
      </c>
      <c r="Q50">
        <f>LOG(Table1_15[[#This Row],[PFTeDA]])</f>
        <v>-1.3010299956639813</v>
      </c>
      <c r="R50">
        <f>LOG(Table1_15[[#This Row],[PFNS]])</f>
        <v>-0.74472749489669399</v>
      </c>
      <c r="S50">
        <f>LOG(Table1_15[[#This Row],[PFDoS]])</f>
        <v>-1.3010299956639813</v>
      </c>
      <c r="T50">
        <f>LOG(Table1_15[[#This Row],[4:2 FTS]])</f>
        <v>-0.69897000433601875</v>
      </c>
      <c r="U50">
        <f>LOG(Table1_15[[#This Row],[8:2 FTS]])</f>
        <v>-0.30980391997148632</v>
      </c>
      <c r="V50">
        <f>LOG(Table1_15[[#This Row],[FOSA]])</f>
        <v>-3.6212172654444715E-2</v>
      </c>
      <c r="W50">
        <f>LOG(Table1_15[[#This Row],[N-MeFOSA]])</f>
        <v>-1.2291479883578558</v>
      </c>
      <c r="X50">
        <f>LOG(Table1_15[[#This Row],[N-MeFOSAA]])</f>
        <v>-1.3010299956639813</v>
      </c>
      <c r="Y50">
        <f>LOG(Table1_15[[#This Row],[N-EtFOSA]])</f>
        <v>-1.3010299956639813</v>
      </c>
      <c r="Z50">
        <f>LOG(Table1_15[[#This Row],[N-EtFOSAA]])</f>
        <v>-1.3010299956639813</v>
      </c>
      <c r="AA50">
        <f>LOG(Table1_15[[#This Row],[N-MeFOSE]])</f>
        <v>-0.3010299956639812</v>
      </c>
      <c r="AB50">
        <f>LOG(Table1_15[[#This Row],[N-EtFOSE]])</f>
        <v>-0.3010299956639812</v>
      </c>
      <c r="AC50">
        <f>LOG(Table1_15[[#This Row],[HFPO-DA]])</f>
        <v>-0.52287874528033762</v>
      </c>
      <c r="AD50">
        <f>LOG(Table1_15[[#This Row],[ADONA]])</f>
        <v>-0.69897000433601875</v>
      </c>
      <c r="AE50">
        <f>LOG(Table1_15[[#This Row],[PFMBA]])</f>
        <v>-1</v>
      </c>
      <c r="AF50">
        <f>LOG(Table1_15[[#This Row],[NFDHA]])</f>
        <v>-1</v>
      </c>
      <c r="AG50">
        <f>LOG(Table1_15[[#This Row],[9Cl-PF3ONS]])</f>
        <v>-0.69897000433601875</v>
      </c>
      <c r="AH50">
        <f>LOG(Table1_15[[#This Row],[11Cl-PF3OUdS]])</f>
        <v>-0.69897000433601875</v>
      </c>
      <c r="AI50">
        <f>LOG(Table1_15[[#This Row],[PFEESA]])</f>
        <v>-1</v>
      </c>
      <c r="AJ50">
        <f>LOG(Table1_15[[#This Row],[3:3 FTCA]])</f>
        <v>-0.6020599913279624</v>
      </c>
      <c r="AK50">
        <f>LOG(Table1_15[[#This Row],[5:3 FTCA]])</f>
        <v>9.691001300805642E-2</v>
      </c>
      <c r="AL50">
        <f>LOG(Table1_15[[#This Row],[7:3 FTCA]])</f>
        <v>9.691001300805642E-2</v>
      </c>
      <c r="AM50">
        <f>LOG(Table1_15[[#This Row],[PFDS]])</f>
        <v>-0.32790214206428259</v>
      </c>
      <c r="AN50">
        <f>LOG(Table1_15[[#This Row],[PFMPA]])</f>
        <v>-1</v>
      </c>
    </row>
    <row r="51" spans="1:40" x14ac:dyDescent="0.3">
      <c r="A51">
        <f>LOG(Table1_15[[#This Row],[PFBA]])</f>
        <v>-0.69897000433601875</v>
      </c>
      <c r="B51">
        <f>LOG(Table1_15[[#This Row],[PFPeA]])</f>
        <v>-1</v>
      </c>
      <c r="C51">
        <f>LOG(Table1_15[[#This Row],[PFBS]])</f>
        <v>-1.3098039199714864</v>
      </c>
      <c r="D51">
        <f>LOG(Table1_15[[#This Row],[PFHxA]])</f>
        <v>-0.85387196432176193</v>
      </c>
      <c r="E51">
        <f>LOG(Table1_15[[#This Row],[PFPeS]])</f>
        <v>-1.1611509092627446</v>
      </c>
      <c r="F51">
        <f>LOG(Table1_15[[#This Row],[PFHpA]])</f>
        <v>-1.0409586076789064</v>
      </c>
      <c r="G51">
        <f>LOG(Table1_15[[#This Row],[PFHxS]])</f>
        <v>7.9181246047624818E-2</v>
      </c>
      <c r="H51">
        <f>LOG(Table1_15[[#This Row],[PFOA]])</f>
        <v>-0.31875876262441277</v>
      </c>
      <c r="I51">
        <f>LOG(Table1_15[[#This Row],[6:2 FTS]])</f>
        <v>-0.44369749923271273</v>
      </c>
      <c r="J51">
        <f>LOG(Table1_15[[#This Row],[PFHpS]])</f>
        <v>-0.79588001734407521</v>
      </c>
      <c r="K51">
        <f>LOG(Table1_15[[#This Row],[PFNA]])</f>
        <v>-0.72124639904717103</v>
      </c>
      <c r="L51">
        <f>LOG(Table1_15[[#This Row],[PFOS]])</f>
        <v>1.4771212547196624</v>
      </c>
      <c r="M51">
        <f>LOG(Table1_15[[#This Row],[PFDA]])</f>
        <v>-0.63827216398240705</v>
      </c>
      <c r="N51">
        <f>LOG(Table1_15[[#This Row],[PFUnA]])</f>
        <v>-0.19382002601611281</v>
      </c>
      <c r="O51">
        <f>LOG(Table1_15[[#This Row],[PFDoA]])</f>
        <v>-0.10790539730951958</v>
      </c>
      <c r="P51">
        <f>LOG(Table1_15[[#This Row],[PFTrDA]])</f>
        <v>-0.20065945054641829</v>
      </c>
      <c r="Q51">
        <f>LOG(Table1_15[[#This Row],[PFTeDA]])</f>
        <v>-0.29242982390206362</v>
      </c>
      <c r="R51">
        <f>LOG(Table1_15[[#This Row],[PFNS]])</f>
        <v>-0.72124639904717103</v>
      </c>
      <c r="S51">
        <f>LOG(Table1_15[[#This Row],[PFDoS]])</f>
        <v>-0.49485002168009401</v>
      </c>
      <c r="T51">
        <f>LOG(Table1_15[[#This Row],[4:2 FTS]])</f>
        <v>-0.69897000433601875</v>
      </c>
      <c r="U51">
        <f>LOG(Table1_15[[#This Row],[8:2 FTS]])</f>
        <v>-0.3010299956639812</v>
      </c>
      <c r="V51">
        <f>LOG(Table1_15[[#This Row],[FOSA]])</f>
        <v>-0.3979400086720376</v>
      </c>
      <c r="W51">
        <f>LOG(Table1_15[[#This Row],[N-MeFOSA]])</f>
        <v>-1.3053948010664314</v>
      </c>
      <c r="X51">
        <f>LOG(Table1_15[[#This Row],[N-MeFOSAA]])</f>
        <v>-1.3053948010664314</v>
      </c>
      <c r="Y51">
        <f>LOG(Table1_15[[#This Row],[N-EtFOSA]])</f>
        <v>-1.3053948010664314</v>
      </c>
      <c r="Z51">
        <f>LOG(Table1_15[[#This Row],[N-EtFOSAA]])</f>
        <v>-1.3053948010664314</v>
      </c>
      <c r="AA51">
        <f>LOG(Table1_15[[#This Row],[N-MeFOSE]])</f>
        <v>4.1392685158225077E-2</v>
      </c>
      <c r="AB51">
        <f>LOG(Table1_15[[#This Row],[N-EtFOSE]])</f>
        <v>-0.3053948010664313</v>
      </c>
      <c r="AC51">
        <f>LOG(Table1_15[[#This Row],[HFPO-DA]])</f>
        <v>-0.53017798402183702</v>
      </c>
      <c r="AD51">
        <f>LOG(Table1_15[[#This Row],[ADONA]])</f>
        <v>-0.69897000433601875</v>
      </c>
      <c r="AE51">
        <f>LOG(Table1_15[[#This Row],[PFMBA]])</f>
        <v>-1</v>
      </c>
      <c r="AF51">
        <f>LOG(Table1_15[[#This Row],[NFDHA]])</f>
        <v>-1</v>
      </c>
      <c r="AG51">
        <f>LOG(Table1_15[[#This Row],[9Cl-PF3ONS]])</f>
        <v>-0.69897000433601875</v>
      </c>
      <c r="AH51">
        <f>LOG(Table1_15[[#This Row],[11Cl-PF3OUdS]])</f>
        <v>-0.69897000433601875</v>
      </c>
      <c r="AI51">
        <f>LOG(Table1_15[[#This Row],[PFEESA]])</f>
        <v>-1</v>
      </c>
      <c r="AJ51">
        <f>LOG(Table1_15[[#This Row],[3:3 FTCA]])</f>
        <v>-0.61083391563546752</v>
      </c>
      <c r="AK51">
        <f>LOG(Table1_15[[#This Row],[5:3 FTCA]])</f>
        <v>9.691001300805642E-2</v>
      </c>
      <c r="AL51">
        <f>LOG(Table1_15[[#This Row],[7:3 FTCA]])</f>
        <v>7.9181246047624818E-2</v>
      </c>
      <c r="AM51">
        <f>LOG(Table1_15[[#This Row],[PFDS]])</f>
        <v>-0.32790214206428259</v>
      </c>
      <c r="AN51">
        <f>LOG(Table1_15[[#This Row],[PFMPA]])</f>
        <v>-1</v>
      </c>
    </row>
    <row r="52" spans="1:40" x14ac:dyDescent="0.3">
      <c r="A52">
        <f>LOG(Table1_15[[#This Row],[PFBA]])</f>
        <v>-0.70996538863748193</v>
      </c>
      <c r="B52">
        <f>LOG(Table1_15[[#This Row],[PFPeA]])</f>
        <v>-1</v>
      </c>
      <c r="C52">
        <f>LOG(Table1_15[[#This Row],[PFBS]])</f>
        <v>-1.3053948010664314</v>
      </c>
      <c r="D52">
        <f>LOG(Table1_15[[#This Row],[PFHxA]])</f>
        <v>-1.0457574905606752</v>
      </c>
      <c r="E52">
        <f>LOG(Table1_15[[#This Row],[PFPeS]])</f>
        <v>-1.3053948010664314</v>
      </c>
      <c r="F52">
        <f>LOG(Table1_15[[#This Row],[PFHpA]])</f>
        <v>-1.0457574905606752</v>
      </c>
      <c r="G52">
        <f>LOG(Table1_15[[#This Row],[PFHxS]])</f>
        <v>-0.55284196865778079</v>
      </c>
      <c r="H52">
        <f>LOG(Table1_15[[#This Row],[PFOA]])</f>
        <v>-0.92081875395237522</v>
      </c>
      <c r="I52">
        <f>LOG(Table1_15[[#This Row],[6:2 FTS]])</f>
        <v>-0.40340290437353976</v>
      </c>
      <c r="J52">
        <f>LOG(Table1_15[[#This Row],[PFHpS]])</f>
        <v>-1.3053948010664314</v>
      </c>
      <c r="K52">
        <f>LOG(Table1_15[[#This Row],[PFNA]])</f>
        <v>-1.0969100130080565</v>
      </c>
      <c r="L52">
        <f>LOG(Table1_15[[#This Row],[PFOS]])</f>
        <v>0.88081359228079137</v>
      </c>
      <c r="M52">
        <f>LOG(Table1_15[[#This Row],[PFDA]])</f>
        <v>-1.1079053973095196</v>
      </c>
      <c r="N52">
        <f>LOG(Table1_15[[#This Row],[PFUnA]])</f>
        <v>-0.85387196432176193</v>
      </c>
      <c r="O52">
        <f>LOG(Table1_15[[#This Row],[PFDoA]])</f>
        <v>-1.2365720064370627</v>
      </c>
      <c r="P52">
        <f>LOG(Table1_15[[#This Row],[PFTrDA]])</f>
        <v>-1.3053948010664314</v>
      </c>
      <c r="Q52">
        <f>LOG(Table1_15[[#This Row],[PFTeDA]])</f>
        <v>-1.3053948010664314</v>
      </c>
      <c r="R52">
        <f>LOG(Table1_15[[#This Row],[PFNS]])</f>
        <v>-1.2441251443275085</v>
      </c>
      <c r="S52">
        <f>LOG(Table1_15[[#This Row],[PFDoS]])</f>
        <v>-1.3053948010664314</v>
      </c>
      <c r="T52">
        <f>LOG(Table1_15[[#This Row],[4:2 FTS]])</f>
        <v>-0.70996538863748193</v>
      </c>
      <c r="U52">
        <f>LOG(Table1_15[[#This Row],[8:2 FTS]])</f>
        <v>-0.40340290437353976</v>
      </c>
      <c r="V52">
        <f>LOG(Table1_15[[#This Row],[FOSA]])</f>
        <v>-1.0457574905606752</v>
      </c>
      <c r="W52">
        <f>LOG(Table1_15[[#This Row],[N-MeFOSA]])</f>
        <v>-1.3053948010664314</v>
      </c>
      <c r="X52">
        <f>LOG(Table1_15[[#This Row],[N-MeFOSAA]])</f>
        <v>-1.3053948010664314</v>
      </c>
      <c r="Y52">
        <f>LOG(Table1_15[[#This Row],[N-EtFOSA]])</f>
        <v>-1.3053948010664314</v>
      </c>
      <c r="Z52">
        <f>LOG(Table1_15[[#This Row],[N-EtFOSAA]])</f>
        <v>-1.3053948010664314</v>
      </c>
      <c r="AA52">
        <f>LOG(Table1_15[[#This Row],[N-MeFOSE]])</f>
        <v>-0.3053948010664313</v>
      </c>
      <c r="AB52">
        <f>LOG(Table1_15[[#This Row],[N-EtFOSE]])</f>
        <v>-0.3053948010664313</v>
      </c>
      <c r="AC52">
        <f>LOG(Table1_15[[#This Row],[HFPO-DA]])</f>
        <v>-0.53017798402183702</v>
      </c>
      <c r="AD52">
        <f>LOG(Table1_15[[#This Row],[ADONA]])</f>
        <v>-0.70996538863748193</v>
      </c>
      <c r="AE52">
        <f>LOG(Table1_15[[#This Row],[PFMBA]])</f>
        <v>-1</v>
      </c>
      <c r="AF52">
        <f>LOG(Table1_15[[#This Row],[NFDHA]])</f>
        <v>-1</v>
      </c>
      <c r="AG52">
        <f>LOG(Table1_15[[#This Row],[9Cl-PF3ONS]])</f>
        <v>-0.70996538863748193</v>
      </c>
      <c r="AH52">
        <f>LOG(Table1_15[[#This Row],[11Cl-PF3OUdS]])</f>
        <v>-0.70996538863748193</v>
      </c>
      <c r="AI52">
        <f>LOG(Table1_15[[#This Row],[PFEESA]])</f>
        <v>-1</v>
      </c>
      <c r="AJ52">
        <f>LOG(Table1_15[[#This Row],[3:3 FTCA]])</f>
        <v>-0.61083391563546752</v>
      </c>
      <c r="AK52">
        <f>LOG(Table1_15[[#This Row],[5:3 FTCA]])</f>
        <v>9.691001300805642E-2</v>
      </c>
      <c r="AL52">
        <f>LOG(Table1_15[[#This Row],[7:3 FTCA]])</f>
        <v>9.691001300805642E-2</v>
      </c>
      <c r="AM52">
        <f>LOG(Table1_15[[#This Row],[PFDS]])</f>
        <v>-1.1307682802690238</v>
      </c>
      <c r="AN52">
        <f>LOG(Table1_15[[#This Row],[PFMPA]])</f>
        <v>-1</v>
      </c>
    </row>
    <row r="53" spans="1:40" x14ac:dyDescent="0.3">
      <c r="A53">
        <f>LOG(Table1_15[[#This Row],[PFBA]])</f>
        <v>-0.69897000433601875</v>
      </c>
      <c r="B53">
        <f>LOG(Table1_15[[#This Row],[PFPeA]])</f>
        <v>-1</v>
      </c>
      <c r="C53">
        <f>LOG(Table1_15[[#This Row],[PFBS]])</f>
        <v>-1.3053948010664314</v>
      </c>
      <c r="D53">
        <f>LOG(Table1_15[[#This Row],[PFHxA]])</f>
        <v>-0.6777807052660807</v>
      </c>
      <c r="E53">
        <f>LOG(Table1_15[[#This Row],[PFPeS]])</f>
        <v>-1.1079053973095196</v>
      </c>
      <c r="F53">
        <f>LOG(Table1_15[[#This Row],[PFHpA]])</f>
        <v>-1.0457574905606752</v>
      </c>
      <c r="G53">
        <f>LOG(Table1_15[[#This Row],[PFHxS]])</f>
        <v>-3.1517051446064863E-2</v>
      </c>
      <c r="H53">
        <f>LOG(Table1_15[[#This Row],[PFOA]])</f>
        <v>-0.55284196865778079</v>
      </c>
      <c r="I53">
        <f>LOG(Table1_15[[#This Row],[6:2 FTS]])</f>
        <v>-0.26760624017703144</v>
      </c>
      <c r="J53">
        <f>LOG(Table1_15[[#This Row],[PFHpS]])</f>
        <v>-1.1487416512809248</v>
      </c>
      <c r="K53">
        <f>LOG(Table1_15[[#This Row],[PFNA]])</f>
        <v>-1</v>
      </c>
      <c r="L53">
        <f>LOG(Table1_15[[#This Row],[PFOS]])</f>
        <v>1.0413926851582251</v>
      </c>
      <c r="M53">
        <f>LOG(Table1_15[[#This Row],[PFDA]])</f>
        <v>-1.2076083105017461</v>
      </c>
      <c r="N53">
        <f>LOG(Table1_15[[#This Row],[PFUnA]])</f>
        <v>-0.79588001734407521</v>
      </c>
      <c r="O53">
        <f>LOG(Table1_15[[#This Row],[PFDoA]])</f>
        <v>-0.26760624017703144</v>
      </c>
      <c r="P53">
        <f>LOG(Table1_15[[#This Row],[PFTrDA]])</f>
        <v>-0.24412514432750865</v>
      </c>
      <c r="Q53">
        <f>LOG(Table1_15[[#This Row],[PFTeDA]])</f>
        <v>-0.45593195564972439</v>
      </c>
      <c r="R53">
        <f>LOG(Table1_15[[#This Row],[PFNS]])</f>
        <v>-1.2676062401770316</v>
      </c>
      <c r="S53">
        <f>LOG(Table1_15[[#This Row],[PFDoS]])</f>
        <v>-0.50863830616572736</v>
      </c>
      <c r="T53">
        <f>LOG(Table1_15[[#This Row],[4:2 FTS]])</f>
        <v>-0.69897000433601875</v>
      </c>
      <c r="U53">
        <f>LOG(Table1_15[[#This Row],[8:2 FTS]])</f>
        <v>-0.44369749923271273</v>
      </c>
      <c r="V53">
        <f>LOG(Table1_15[[#This Row],[FOSA]])</f>
        <v>-0.56863623584101264</v>
      </c>
      <c r="W53">
        <f>LOG(Table1_15[[#This Row],[N-MeFOSA]])</f>
        <v>-1.3053948010664314</v>
      </c>
      <c r="X53">
        <f>LOG(Table1_15[[#This Row],[N-MeFOSAA]])</f>
        <v>-1.3053948010664314</v>
      </c>
      <c r="Y53">
        <f>LOG(Table1_15[[#This Row],[N-EtFOSA]])</f>
        <v>-1.3053948010664314</v>
      </c>
      <c r="Z53">
        <f>LOG(Table1_15[[#This Row],[N-EtFOSAA]])</f>
        <v>-1.3053948010664314</v>
      </c>
      <c r="AA53">
        <f>LOG(Table1_15[[#This Row],[N-MeFOSE]])</f>
        <v>-0.26760624017703144</v>
      </c>
      <c r="AB53">
        <f>LOG(Table1_15[[#This Row],[N-EtFOSE]])</f>
        <v>4.1392685158225077E-2</v>
      </c>
      <c r="AC53">
        <f>LOG(Table1_15[[#This Row],[HFPO-DA]])</f>
        <v>-0.53017798402183702</v>
      </c>
      <c r="AD53">
        <f>LOG(Table1_15[[#This Row],[ADONA]])</f>
        <v>-0.69897000433601875</v>
      </c>
      <c r="AE53">
        <f>LOG(Table1_15[[#This Row],[PFMBA]])</f>
        <v>-1</v>
      </c>
      <c r="AF53">
        <f>LOG(Table1_15[[#This Row],[NFDHA]])</f>
        <v>-1</v>
      </c>
      <c r="AG53">
        <f>LOG(Table1_15[[#This Row],[9Cl-PF3ONS]])</f>
        <v>-0.69897000433601875</v>
      </c>
      <c r="AH53">
        <f>LOG(Table1_15[[#This Row],[11Cl-PF3OUdS]])</f>
        <v>-0.69897000433601875</v>
      </c>
      <c r="AI53">
        <f>LOG(Table1_15[[#This Row],[PFEESA]])</f>
        <v>-1</v>
      </c>
      <c r="AJ53">
        <f>LOG(Table1_15[[#This Row],[3:3 FTCA]])</f>
        <v>-0.6020599913279624</v>
      </c>
      <c r="AK53">
        <f>LOG(Table1_15[[#This Row],[5:3 FTCA]])</f>
        <v>9.691001300805642E-2</v>
      </c>
      <c r="AL53">
        <f>LOG(Table1_15[[#This Row],[7:3 FTCA]])</f>
        <v>0</v>
      </c>
      <c r="AM53">
        <f>LOG(Table1_15[[#This Row],[PFDS]])</f>
        <v>-0.55284196865778079</v>
      </c>
      <c r="AN53">
        <f>LOG(Table1_15[[#This Row],[PFMPA]])</f>
        <v>-1</v>
      </c>
    </row>
    <row r="54" spans="1:40" x14ac:dyDescent="0.3">
      <c r="A54">
        <f>LOG(Table1_15[[#This Row],[PFBA]])</f>
        <v>-0.69897000433601875</v>
      </c>
      <c r="B54">
        <f>LOG(Table1_15[[#This Row],[PFPeA]])</f>
        <v>-1</v>
      </c>
      <c r="C54">
        <f>LOG(Table1_15[[#This Row],[PFBS]])</f>
        <v>-1.3010299956639813</v>
      </c>
      <c r="D54">
        <f>LOG(Table1_15[[#This Row],[PFHxA]])</f>
        <v>-1.0362121726544447</v>
      </c>
      <c r="E54">
        <f>LOG(Table1_15[[#This Row],[PFPeS]])</f>
        <v>-1.3010299956639813</v>
      </c>
      <c r="F54">
        <f>LOG(Table1_15[[#This Row],[PFHpA]])</f>
        <v>-1.0457574905606752</v>
      </c>
      <c r="G54">
        <f>LOG(Table1_15[[#This Row],[PFHxS]])</f>
        <v>-0.17392519729917355</v>
      </c>
      <c r="H54">
        <f>LOG(Table1_15[[#This Row],[PFOA]])</f>
        <v>-0.6777807052660807</v>
      </c>
      <c r="I54">
        <f>LOG(Table1_15[[#This Row],[6:2 FTS]])</f>
        <v>-0.3979400086720376</v>
      </c>
      <c r="J54">
        <f>LOG(Table1_15[[#This Row],[PFHpS]])</f>
        <v>-1.2839966563652008</v>
      </c>
      <c r="K54">
        <f>LOG(Table1_15[[#This Row],[PFNA]])</f>
        <v>-0.85387196432176193</v>
      </c>
      <c r="L54">
        <f>LOG(Table1_15[[#This Row],[PFOS]])</f>
        <v>0.99122607569249488</v>
      </c>
      <c r="M54">
        <f>LOG(Table1_15[[#This Row],[PFDA]])</f>
        <v>-0.56863623584101264</v>
      </c>
      <c r="N54">
        <f>LOG(Table1_15[[#This Row],[PFUnA]])</f>
        <v>-0.42021640338318983</v>
      </c>
      <c r="O54">
        <f>LOG(Table1_15[[#This Row],[PFDoA]])</f>
        <v>-1</v>
      </c>
      <c r="P54">
        <f>LOG(Table1_15[[#This Row],[PFTrDA]])</f>
        <v>-1.3010299956639813</v>
      </c>
      <c r="Q54">
        <f>LOG(Table1_15[[#This Row],[PFTeDA]])</f>
        <v>-1.3010299956639813</v>
      </c>
      <c r="R54">
        <f>LOG(Table1_15[[#This Row],[PFNS]])</f>
        <v>-0.55284196865778079</v>
      </c>
      <c r="S54">
        <f>LOG(Table1_15[[#This Row],[PFDoS]])</f>
        <v>-1.3010299956639813</v>
      </c>
      <c r="T54">
        <f>LOG(Table1_15[[#This Row],[4:2 FTS]])</f>
        <v>-0.69897000433601875</v>
      </c>
      <c r="U54">
        <f>LOG(Table1_15[[#This Row],[8:2 FTS]])</f>
        <v>-8.6186147616283335E-2</v>
      </c>
      <c r="V54">
        <f>LOG(Table1_15[[#This Row],[FOSA]])</f>
        <v>0.23044892137827391</v>
      </c>
      <c r="W54">
        <f>LOG(Table1_15[[#This Row],[N-MeFOSA]])</f>
        <v>-1.3010299956639813</v>
      </c>
      <c r="X54">
        <f>LOG(Table1_15[[#This Row],[N-MeFOSAA]])</f>
        <v>-1.3010299956639813</v>
      </c>
      <c r="Y54">
        <f>LOG(Table1_15[[#This Row],[N-EtFOSA]])</f>
        <v>-1.3010299956639813</v>
      </c>
      <c r="Z54">
        <f>LOG(Table1_15[[#This Row],[N-EtFOSAA]])</f>
        <v>-1.3010299956639813</v>
      </c>
      <c r="AA54">
        <f>LOG(Table1_15[[#This Row],[N-MeFOSE]])</f>
        <v>-0.3010299956639812</v>
      </c>
      <c r="AB54">
        <f>LOG(Table1_15[[#This Row],[N-EtFOSE]])</f>
        <v>-0.3010299956639812</v>
      </c>
      <c r="AC54">
        <f>LOG(Table1_15[[#This Row],[HFPO-DA]])</f>
        <v>-0.52287874528033762</v>
      </c>
      <c r="AD54">
        <f>LOG(Table1_15[[#This Row],[ADONA]])</f>
        <v>-0.69897000433601875</v>
      </c>
      <c r="AE54">
        <f>LOG(Table1_15[[#This Row],[PFMBA]])</f>
        <v>-1</v>
      </c>
      <c r="AF54">
        <f>LOG(Table1_15[[#This Row],[NFDHA]])</f>
        <v>-1</v>
      </c>
      <c r="AG54">
        <f>LOG(Table1_15[[#This Row],[9Cl-PF3ONS]])</f>
        <v>-0.69897000433601875</v>
      </c>
      <c r="AH54">
        <f>LOG(Table1_15[[#This Row],[11Cl-PF3OUdS]])</f>
        <v>-0.69897000433601875</v>
      </c>
      <c r="AI54">
        <f>LOG(Table1_15[[#This Row],[PFEESA]])</f>
        <v>-1</v>
      </c>
      <c r="AJ54">
        <f>LOG(Table1_15[[#This Row],[3:3 FTCA]])</f>
        <v>-0.6020599913279624</v>
      </c>
      <c r="AK54">
        <f>LOG(Table1_15[[#This Row],[5:3 FTCA]])</f>
        <v>9.691001300805642E-2</v>
      </c>
      <c r="AL54">
        <f>LOG(Table1_15[[#This Row],[7:3 FTCA]])</f>
        <v>9.691001300805642E-2</v>
      </c>
      <c r="AM54">
        <f>LOG(Table1_15[[#This Row],[PFDS]])</f>
        <v>-0.32790214206428259</v>
      </c>
      <c r="AN54">
        <f>LOG(Table1_15[[#This Row],[PFMPA]])</f>
        <v>-1</v>
      </c>
    </row>
    <row r="55" spans="1:40" x14ac:dyDescent="0.3">
      <c r="A55">
        <f>LOG(Table1_15[[#This Row],[PFBA]])</f>
        <v>-0.5767541260631921</v>
      </c>
      <c r="B55">
        <f>LOG(Table1_15[[#This Row],[PFPeA]])</f>
        <v>-0.86966623150499389</v>
      </c>
      <c r="C55">
        <f>LOG(Table1_15[[#This Row],[PFBS]])</f>
        <v>-1.1549019599857431</v>
      </c>
      <c r="D55">
        <f>LOG(Table1_15[[#This Row],[PFHxA]])</f>
        <v>-0.61978875828839397</v>
      </c>
      <c r="E55">
        <f>LOG(Table1_15[[#This Row],[PFPeS]])</f>
        <v>-0.79588001734407521</v>
      </c>
      <c r="F55">
        <f>LOG(Table1_15[[#This Row],[PFHpA]])</f>
        <v>-0.92081875395237522</v>
      </c>
      <c r="G55">
        <f>LOG(Table1_15[[#This Row],[PFHxS]])</f>
        <v>0.17609125905568124</v>
      </c>
      <c r="H55">
        <f>LOG(Table1_15[[#This Row],[PFOA]])</f>
        <v>-0.21467016498923297</v>
      </c>
      <c r="I55">
        <f>LOG(Table1_15[[#This Row],[6:2 FTS]])</f>
        <v>-0.25963731050575611</v>
      </c>
      <c r="J55">
        <f>LOG(Table1_15[[#This Row],[PFHpS]])</f>
        <v>-0.72124639904717103</v>
      </c>
      <c r="K55">
        <f>LOG(Table1_15[[#This Row],[PFNA]])</f>
        <v>-0.55284196865778079</v>
      </c>
      <c r="L55">
        <f>LOG(Table1_15[[#This Row],[PFOS]])</f>
        <v>1.6020599913279623</v>
      </c>
      <c r="M55">
        <f>LOG(Table1_15[[#This Row],[PFDA]])</f>
        <v>-0.44369749923271273</v>
      </c>
      <c r="N55">
        <f>LOG(Table1_15[[#This Row],[PFUnA]])</f>
        <v>-8.092190762392612E-2</v>
      </c>
      <c r="O55">
        <f>LOG(Table1_15[[#This Row],[PFDoA]])</f>
        <v>4.1392685158225077E-2</v>
      </c>
      <c r="P55">
        <f>LOG(Table1_15[[#This Row],[PFTrDA]])</f>
        <v>-2.2276394711152253E-2</v>
      </c>
      <c r="Q55">
        <f>LOG(Table1_15[[#This Row],[PFTeDA]])</f>
        <v>-0.16749108729376366</v>
      </c>
      <c r="R55">
        <f>LOG(Table1_15[[#This Row],[PFNS]])</f>
        <v>-0.58502665202918203</v>
      </c>
      <c r="S55">
        <f>LOG(Table1_15[[#This Row],[PFDoS]])</f>
        <v>-0.36653154442041347</v>
      </c>
      <c r="T55">
        <f>LOG(Table1_15[[#This Row],[4:2 FTS]])</f>
        <v>-0.5767541260631921</v>
      </c>
      <c r="U55">
        <f>LOG(Table1_15[[#This Row],[8:2 FTS]])</f>
        <v>-5.0609993355087209E-2</v>
      </c>
      <c r="V55">
        <f>LOG(Table1_15[[#This Row],[FOSA]])</f>
        <v>-0.20760831050174613</v>
      </c>
      <c r="W55">
        <f>LOG(Table1_15[[#This Row],[N-MeFOSA]])</f>
        <v>-1.1870866433571443</v>
      </c>
      <c r="X55">
        <f>LOG(Table1_15[[#This Row],[N-MeFOSAA]])</f>
        <v>-1.1870866433571443</v>
      </c>
      <c r="Y55">
        <f>LOG(Table1_15[[#This Row],[N-EtFOSA]])</f>
        <v>-1.1870866433571443</v>
      </c>
      <c r="Z55">
        <f>LOG(Table1_15[[#This Row],[N-EtFOSAA]])</f>
        <v>-1.1870866433571443</v>
      </c>
      <c r="AA55">
        <f>LOG(Table1_15[[#This Row],[N-MeFOSE]])</f>
        <v>-1.322826573375516E-2</v>
      </c>
      <c r="AB55">
        <f>LOG(Table1_15[[#This Row],[N-EtFOSE]])</f>
        <v>-0.18708664335714442</v>
      </c>
      <c r="AC55">
        <f>LOG(Table1_15[[#This Row],[HFPO-DA]])</f>
        <v>-0.3979400086720376</v>
      </c>
      <c r="AD55">
        <f>LOG(Table1_15[[#This Row],[ADONA]])</f>
        <v>-0.5767541260631921</v>
      </c>
      <c r="AE55">
        <f>LOG(Table1_15[[#This Row],[PFMBA]])</f>
        <v>-0.86966623150499389</v>
      </c>
      <c r="AF55">
        <f>LOG(Table1_15[[#This Row],[NFDHA]])</f>
        <v>-0.86966623150499389</v>
      </c>
      <c r="AG55">
        <f>LOG(Table1_15[[#This Row],[9Cl-PF3ONS]])</f>
        <v>-0.5767541260631921</v>
      </c>
      <c r="AH55">
        <f>LOG(Table1_15[[#This Row],[11Cl-PF3OUdS]])</f>
        <v>-0.5767541260631921</v>
      </c>
      <c r="AI55">
        <f>LOG(Table1_15[[#This Row],[PFEESA]])</f>
        <v>-0.86966623150499389</v>
      </c>
      <c r="AJ55">
        <f>LOG(Table1_15[[#This Row],[3:3 FTCA]])</f>
        <v>-0.48148606012211248</v>
      </c>
      <c r="AK55">
        <f>LOG(Table1_15[[#This Row],[5:3 FTCA]])</f>
        <v>0.21748394421390627</v>
      </c>
      <c r="AL55">
        <f>LOG(Table1_15[[#This Row],[7:3 FTCA]])</f>
        <v>0.21748394421390627</v>
      </c>
      <c r="AM55">
        <f>LOG(Table1_15[[#This Row],[PFDS]])</f>
        <v>-0.10790539730951958</v>
      </c>
      <c r="AN55">
        <f>LOG(Table1_15[[#This Row],[PFMPA]])</f>
        <v>-0.82390874094431876</v>
      </c>
    </row>
    <row r="56" spans="1:40" x14ac:dyDescent="0.3">
      <c r="A56">
        <f>LOG(Table1_15[[#This Row],[PFBA]])</f>
        <v>-0.69897000433601875</v>
      </c>
      <c r="B56">
        <f>LOG(Table1_15[[#This Row],[PFPeA]])</f>
        <v>-1</v>
      </c>
      <c r="C56">
        <f>LOG(Table1_15[[#This Row],[PFBS]])</f>
        <v>-1.3010299956639813</v>
      </c>
      <c r="D56">
        <f>LOG(Table1_15[[#This Row],[PFHxA]])</f>
        <v>-1.0457574905606752</v>
      </c>
      <c r="E56">
        <f>LOG(Table1_15[[#This Row],[PFPeS]])</f>
        <v>-1.3010299956639813</v>
      </c>
      <c r="F56">
        <f>LOG(Table1_15[[#This Row],[PFHpA]])</f>
        <v>-1.0457574905606752</v>
      </c>
      <c r="G56">
        <f>LOG(Table1_15[[#This Row],[PFHxS]])</f>
        <v>-0.48148606012211248</v>
      </c>
      <c r="H56">
        <f>LOG(Table1_15[[#This Row],[PFOA]])</f>
        <v>-1.0043648054024501</v>
      </c>
      <c r="I56">
        <f>LOG(Table1_15[[#This Row],[6:2 FTS]])</f>
        <v>-0.3979400086720376</v>
      </c>
      <c r="J56">
        <f>LOG(Table1_15[[#This Row],[PFHpS]])</f>
        <v>-1.3010299956639813</v>
      </c>
      <c r="K56">
        <f>LOG(Table1_15[[#This Row],[PFNA]])</f>
        <v>-1.1135092748275182</v>
      </c>
      <c r="L56">
        <f>LOG(Table1_15[[#This Row],[PFOS]])</f>
        <v>0.90848501887864974</v>
      </c>
      <c r="M56">
        <f>LOG(Table1_15[[#This Row],[PFDA]])</f>
        <v>-1.031517051446065</v>
      </c>
      <c r="N56">
        <f>LOG(Table1_15[[#This Row],[PFUnA]])</f>
        <v>-1.0043648054024501</v>
      </c>
      <c r="O56">
        <f>LOG(Table1_15[[#This Row],[PFDoA]])</f>
        <v>-1.0915149811213503</v>
      </c>
      <c r="P56">
        <f>LOG(Table1_15[[#This Row],[PFTrDA]])</f>
        <v>-1.3010299956639813</v>
      </c>
      <c r="Q56">
        <f>LOG(Table1_15[[#This Row],[PFTeDA]])</f>
        <v>-1.3010299956639813</v>
      </c>
      <c r="R56">
        <f>LOG(Table1_15[[#This Row],[PFNS]])</f>
        <v>-1.3010299956639813</v>
      </c>
      <c r="S56">
        <f>LOG(Table1_15[[#This Row],[PFDoS]])</f>
        <v>-1.3010299956639813</v>
      </c>
      <c r="T56">
        <f>LOG(Table1_15[[#This Row],[4:2 FTS]])</f>
        <v>-0.69897000433601875</v>
      </c>
      <c r="U56">
        <f>LOG(Table1_15[[#This Row],[8:2 FTS]])</f>
        <v>-0.3979400086720376</v>
      </c>
      <c r="V56">
        <f>LOG(Table1_15[[#This Row],[FOSA]])</f>
        <v>-1.0457574905606752</v>
      </c>
      <c r="W56">
        <f>LOG(Table1_15[[#This Row],[N-MeFOSA]])</f>
        <v>-1.3010299956639813</v>
      </c>
      <c r="X56">
        <f>LOG(Table1_15[[#This Row],[N-MeFOSAA]])</f>
        <v>-1.3010299956639813</v>
      </c>
      <c r="Y56">
        <f>LOG(Table1_15[[#This Row],[N-EtFOSA]])</f>
        <v>-1.3010299956639813</v>
      </c>
      <c r="Z56">
        <f>LOG(Table1_15[[#This Row],[N-EtFOSAA]])</f>
        <v>-1.3010299956639813</v>
      </c>
      <c r="AA56">
        <f>LOG(Table1_15[[#This Row],[N-MeFOSE]])</f>
        <v>-0.3010299956639812</v>
      </c>
      <c r="AB56">
        <f>LOG(Table1_15[[#This Row],[N-EtFOSE]])</f>
        <v>-0.3010299956639812</v>
      </c>
      <c r="AC56">
        <f>LOG(Table1_15[[#This Row],[HFPO-DA]])</f>
        <v>-0.52287874528033762</v>
      </c>
      <c r="AD56">
        <f>LOG(Table1_15[[#This Row],[ADONA]])</f>
        <v>-0.69897000433601875</v>
      </c>
      <c r="AE56">
        <f>LOG(Table1_15[[#This Row],[PFMBA]])</f>
        <v>-1</v>
      </c>
      <c r="AF56">
        <f>LOG(Table1_15[[#This Row],[NFDHA]])</f>
        <v>-1</v>
      </c>
      <c r="AG56">
        <f>LOG(Table1_15[[#This Row],[9Cl-PF3ONS]])</f>
        <v>-0.69897000433601875</v>
      </c>
      <c r="AH56">
        <f>LOG(Table1_15[[#This Row],[11Cl-PF3OUdS]])</f>
        <v>-0.69897000433601875</v>
      </c>
      <c r="AI56">
        <f>LOG(Table1_15[[#This Row],[PFEESA]])</f>
        <v>-1</v>
      </c>
      <c r="AJ56">
        <f>LOG(Table1_15[[#This Row],[3:3 FTCA]])</f>
        <v>-0.6020599913279624</v>
      </c>
      <c r="AK56">
        <f>LOG(Table1_15[[#This Row],[5:3 FTCA]])</f>
        <v>9.691001300805642E-2</v>
      </c>
      <c r="AL56">
        <f>LOG(Table1_15[[#This Row],[7:3 FTCA]])</f>
        <v>9.691001300805642E-2</v>
      </c>
      <c r="AM56">
        <f>LOG(Table1_15[[#This Row],[PFDS]])</f>
        <v>-1.2146701649892331</v>
      </c>
      <c r="AN56">
        <f>LOG(Table1_15[[#This Row],[PFMPA]])</f>
        <v>-1</v>
      </c>
    </row>
    <row r="57" spans="1:40" x14ac:dyDescent="0.3">
      <c r="A57">
        <f>LOG(Table1_15[[#This Row],[PFBA]])</f>
        <v>-0.69897000433601875</v>
      </c>
      <c r="B57">
        <f>LOG(Table1_15[[#This Row],[PFPeA]])</f>
        <v>-1</v>
      </c>
      <c r="C57">
        <f>LOG(Table1_15[[#This Row],[PFBS]])</f>
        <v>-1.2924298239020637</v>
      </c>
      <c r="D57">
        <f>LOG(Table1_15[[#This Row],[PFHxA]])</f>
        <v>-0.56863623584101264</v>
      </c>
      <c r="E57">
        <f>LOG(Table1_15[[#This Row],[PFPeS]])</f>
        <v>-1.0757207139381184</v>
      </c>
      <c r="F57">
        <f>LOG(Table1_15[[#This Row],[PFHpA]])</f>
        <v>-1.0457574905606752</v>
      </c>
      <c r="G57">
        <f>LOG(Table1_15[[#This Row],[PFHxS]])</f>
        <v>-3.1517051446064863E-2</v>
      </c>
      <c r="H57">
        <f>LOG(Table1_15[[#This Row],[PFOA]])</f>
        <v>-0.46852108295774486</v>
      </c>
      <c r="I57">
        <f>LOG(Table1_15[[#This Row],[6:2 FTS]])</f>
        <v>-0.20760831050174613</v>
      </c>
      <c r="J57">
        <f>LOG(Table1_15[[#This Row],[PFHpS]])</f>
        <v>-1.0043648054024501</v>
      </c>
      <c r="K57">
        <f>LOG(Table1_15[[#This Row],[PFNA]])</f>
        <v>-1.0268721464003014</v>
      </c>
      <c r="L57">
        <f>LOG(Table1_15[[#This Row],[PFOS]])</f>
        <v>1.1760912590556813</v>
      </c>
      <c r="M57">
        <f>LOG(Table1_15[[#This Row],[PFDA]])</f>
        <v>-1.2218487496163564</v>
      </c>
      <c r="N57">
        <f>LOG(Table1_15[[#This Row],[PFUnA]])</f>
        <v>-0.65757731917779372</v>
      </c>
      <c r="O57">
        <f>LOG(Table1_15[[#This Row],[PFDoA]])</f>
        <v>-0.17392519729917355</v>
      </c>
      <c r="P57">
        <f>LOG(Table1_15[[#This Row],[PFTrDA]])</f>
        <v>-0.25963731050575611</v>
      </c>
      <c r="Q57">
        <f>LOG(Table1_15[[#This Row],[PFTeDA]])</f>
        <v>-0.40893539297350079</v>
      </c>
      <c r="R57">
        <f>LOG(Table1_15[[#This Row],[PFNS]])</f>
        <v>-1.2006594505464183</v>
      </c>
      <c r="S57">
        <f>LOG(Table1_15[[#This Row],[PFDoS]])</f>
        <v>-0.42021640338318983</v>
      </c>
      <c r="T57">
        <f>LOG(Table1_15[[#This Row],[4:2 FTS]])</f>
        <v>-0.69897000433601875</v>
      </c>
      <c r="U57">
        <f>LOG(Table1_15[[#This Row],[8:2 FTS]])</f>
        <v>-0.3979400086720376</v>
      </c>
      <c r="V57">
        <f>LOG(Table1_15[[#This Row],[FOSA]])</f>
        <v>-0.63827216398240705</v>
      </c>
      <c r="W57">
        <f>LOG(Table1_15[[#This Row],[N-MeFOSA]])</f>
        <v>-1.3010299956639813</v>
      </c>
      <c r="X57">
        <f>LOG(Table1_15[[#This Row],[N-MeFOSAA]])</f>
        <v>-1.3010299956639813</v>
      </c>
      <c r="Y57">
        <f>LOG(Table1_15[[#This Row],[N-EtFOSA]])</f>
        <v>-1.3010299956639813</v>
      </c>
      <c r="Z57">
        <f>LOG(Table1_15[[#This Row],[N-EtFOSAA]])</f>
        <v>-1.3010299956639813</v>
      </c>
      <c r="AA57">
        <f>LOG(Table1_15[[#This Row],[N-MeFOSE]])</f>
        <v>-0.3010299956639812</v>
      </c>
      <c r="AB57">
        <f>LOG(Table1_15[[#This Row],[N-EtFOSE]])</f>
        <v>-0.3010299956639812</v>
      </c>
      <c r="AC57">
        <f>LOG(Table1_15[[#This Row],[HFPO-DA]])</f>
        <v>-0.52287874528033762</v>
      </c>
      <c r="AD57">
        <f>LOG(Table1_15[[#This Row],[ADONA]])</f>
        <v>-0.69897000433601875</v>
      </c>
      <c r="AE57">
        <f>LOG(Table1_15[[#This Row],[PFMBA]])</f>
        <v>-1</v>
      </c>
      <c r="AF57">
        <f>LOG(Table1_15[[#This Row],[NFDHA]])</f>
        <v>-1</v>
      </c>
      <c r="AG57">
        <f>LOG(Table1_15[[#This Row],[9Cl-PF3ONS]])</f>
        <v>-0.69897000433601875</v>
      </c>
      <c r="AH57">
        <f>LOG(Table1_15[[#This Row],[11Cl-PF3OUdS]])</f>
        <v>-0.69897000433601875</v>
      </c>
      <c r="AI57">
        <f>LOG(Table1_15[[#This Row],[PFEESA]])</f>
        <v>-1</v>
      </c>
      <c r="AJ57">
        <f>LOG(Table1_15[[#This Row],[3:3 FTCA]])</f>
        <v>-0.6020599913279624</v>
      </c>
      <c r="AK57">
        <f>LOG(Table1_15[[#This Row],[5:3 FTCA]])</f>
        <v>9.691001300805642E-2</v>
      </c>
      <c r="AL57">
        <f>LOG(Table1_15[[#This Row],[7:3 FTCA]])</f>
        <v>9.691001300805642E-2</v>
      </c>
      <c r="AM57">
        <f>LOG(Table1_15[[#This Row],[PFDS]])</f>
        <v>-0.3979400086720376</v>
      </c>
      <c r="AN57">
        <f>LOG(Table1_15[[#This Row],[PFMPA]])</f>
        <v>-1</v>
      </c>
    </row>
    <row r="58" spans="1:40" x14ac:dyDescent="0.3">
      <c r="A58">
        <f>LOG(Table1_15[[#This Row],[PFBA]])</f>
        <v>-0.69897000433601875</v>
      </c>
      <c r="B58">
        <f>LOG(Table1_15[[#This Row],[PFPeA]])</f>
        <v>-1</v>
      </c>
      <c r="C58">
        <f>LOG(Table1_15[[#This Row],[PFBS]])</f>
        <v>-1.3010299956639813</v>
      </c>
      <c r="D58">
        <f>LOG(Table1_15[[#This Row],[PFHxA]])</f>
        <v>-1.0457574905606752</v>
      </c>
      <c r="E58">
        <f>LOG(Table1_15[[#This Row],[PFPeS]])</f>
        <v>-1.3010299956639813</v>
      </c>
      <c r="F58">
        <f>LOG(Table1_15[[#This Row],[PFHpA]])</f>
        <v>-1.0457574905606752</v>
      </c>
      <c r="G58">
        <f>LOG(Table1_15[[#This Row],[PFHxS]])</f>
        <v>-0.61978875828839397</v>
      </c>
      <c r="H58">
        <f>LOG(Table1_15[[#This Row],[PFOA]])</f>
        <v>-0.88605664769316317</v>
      </c>
      <c r="I58">
        <f>LOG(Table1_15[[#This Row],[6:2 FTS]])</f>
        <v>-0.3979400086720376</v>
      </c>
      <c r="J58">
        <f>LOG(Table1_15[[#This Row],[PFHpS]])</f>
        <v>-1.3010299956639813</v>
      </c>
      <c r="K58">
        <f>LOG(Table1_15[[#This Row],[PFNA]])</f>
        <v>-1.3010299956639813</v>
      </c>
      <c r="L58">
        <f>LOG(Table1_15[[#This Row],[PFOS]])</f>
        <v>0.79239168949825389</v>
      </c>
      <c r="M58">
        <f>LOG(Table1_15[[#This Row],[PFDA]])</f>
        <v>-1.3010299956639813</v>
      </c>
      <c r="N58">
        <f>LOG(Table1_15[[#This Row],[PFUnA]])</f>
        <v>-0.58502665202918203</v>
      </c>
      <c r="O58">
        <f>LOG(Table1_15[[#This Row],[PFDoA]])</f>
        <v>-0.63827216398240705</v>
      </c>
      <c r="P58">
        <f>LOG(Table1_15[[#This Row],[PFTrDA]])</f>
        <v>-1.1191864077192086</v>
      </c>
      <c r="Q58">
        <f>LOG(Table1_15[[#This Row],[PFTeDA]])</f>
        <v>-1.3010299956639813</v>
      </c>
      <c r="R58">
        <f>LOG(Table1_15[[#This Row],[PFNS]])</f>
        <v>-1.1249387366082999</v>
      </c>
      <c r="S58">
        <f>LOG(Table1_15[[#This Row],[PFDoS]])</f>
        <v>-1.3010299956639813</v>
      </c>
      <c r="T58">
        <f>LOG(Table1_15[[#This Row],[4:2 FTS]])</f>
        <v>-0.69897000433601875</v>
      </c>
      <c r="U58">
        <f>LOG(Table1_15[[#This Row],[8:2 FTS]])</f>
        <v>-0.3979400086720376</v>
      </c>
      <c r="V58">
        <f>LOG(Table1_15[[#This Row],[FOSA]])</f>
        <v>-0.85387196432176193</v>
      </c>
      <c r="W58">
        <f>LOG(Table1_15[[#This Row],[N-MeFOSA]])</f>
        <v>-1.3010299956639813</v>
      </c>
      <c r="X58">
        <f>LOG(Table1_15[[#This Row],[N-MeFOSAA]])</f>
        <v>-1.3010299956639813</v>
      </c>
      <c r="Y58">
        <f>LOG(Table1_15[[#This Row],[N-EtFOSA]])</f>
        <v>-1.3010299956639813</v>
      </c>
      <c r="Z58">
        <f>LOG(Table1_15[[#This Row],[N-EtFOSAA]])</f>
        <v>-1.3010299956639813</v>
      </c>
      <c r="AA58">
        <f>LOG(Table1_15[[#This Row],[N-MeFOSE]])</f>
        <v>-0.3010299956639812</v>
      </c>
      <c r="AB58">
        <f>LOG(Table1_15[[#This Row],[N-EtFOSE]])</f>
        <v>-0.3010299956639812</v>
      </c>
      <c r="AC58">
        <f>LOG(Table1_15[[#This Row],[HFPO-DA]])</f>
        <v>-0.52287874528033762</v>
      </c>
      <c r="AD58">
        <f>LOG(Table1_15[[#This Row],[ADONA]])</f>
        <v>-0.69897000433601875</v>
      </c>
      <c r="AE58">
        <f>LOG(Table1_15[[#This Row],[PFMBA]])</f>
        <v>-1</v>
      </c>
      <c r="AF58">
        <f>LOG(Table1_15[[#This Row],[NFDHA]])</f>
        <v>-1</v>
      </c>
      <c r="AG58">
        <f>LOG(Table1_15[[#This Row],[9Cl-PF3ONS]])</f>
        <v>-0.69897000433601875</v>
      </c>
      <c r="AH58">
        <f>LOG(Table1_15[[#This Row],[11Cl-PF3OUdS]])</f>
        <v>-0.69897000433601875</v>
      </c>
      <c r="AI58">
        <f>LOG(Table1_15[[#This Row],[PFEESA]])</f>
        <v>-1</v>
      </c>
      <c r="AJ58">
        <f>LOG(Table1_15[[#This Row],[3:3 FTCA]])</f>
        <v>-0.6020599913279624</v>
      </c>
      <c r="AK58">
        <f>LOG(Table1_15[[#This Row],[5:3 FTCA]])</f>
        <v>9.691001300805642E-2</v>
      </c>
      <c r="AL58">
        <f>LOG(Table1_15[[#This Row],[7:3 FTCA]])</f>
        <v>9.691001300805642E-2</v>
      </c>
      <c r="AM58">
        <f>LOG(Table1_15[[#This Row],[PFDS]])</f>
        <v>-0.29242982390206362</v>
      </c>
      <c r="AN58">
        <f>LOG(Table1_15[[#This Row],[PFMPA]])</f>
        <v>-1</v>
      </c>
    </row>
    <row r="59" spans="1:40" x14ac:dyDescent="0.3">
      <c r="A59">
        <f>LOG(Table1_15[[#This Row],[PFBA]])</f>
        <v>-0.50168944621039946</v>
      </c>
      <c r="B59">
        <f>LOG(Table1_15[[#This Row],[PFPeA]])</f>
        <v>-0.8096683018297085</v>
      </c>
      <c r="C59">
        <f>LOG(Table1_15[[#This Row],[PFBS]])</f>
        <v>-1.0969100130080565</v>
      </c>
      <c r="D59">
        <f>LOG(Table1_15[[#This Row],[PFHxA]])</f>
        <v>-0.61978875828839397</v>
      </c>
      <c r="E59">
        <f>LOG(Table1_15[[#This Row],[PFPeS]])</f>
        <v>-0.49485002168009401</v>
      </c>
      <c r="F59">
        <f>LOG(Table1_15[[#This Row],[PFHpA]])</f>
        <v>-0.85387196432176193</v>
      </c>
      <c r="G59">
        <f>LOG(Table1_15[[#This Row],[PFHxS]])</f>
        <v>0.56820172406699498</v>
      </c>
      <c r="H59">
        <f>LOG(Table1_15[[#This Row],[PFOA]])</f>
        <v>-0.11350927482751812</v>
      </c>
      <c r="I59">
        <f>LOG(Table1_15[[#This Row],[6:2 FTS]])</f>
        <v>-0.18708664335714442</v>
      </c>
      <c r="J59">
        <f>LOG(Table1_15[[#This Row],[PFHpS]])</f>
        <v>-0.17392519729917355</v>
      </c>
      <c r="K59">
        <f>LOG(Table1_15[[#This Row],[PFNA]])</f>
        <v>-0.46852108295774486</v>
      </c>
      <c r="L59">
        <f>LOG(Table1_15[[#This Row],[PFOS]])</f>
        <v>1.8864907251724818</v>
      </c>
      <c r="M59">
        <f>LOG(Table1_15[[#This Row],[PFDA]])</f>
        <v>-0.52287874528033762</v>
      </c>
      <c r="N59">
        <f>LOG(Table1_15[[#This Row],[PFUnA]])</f>
        <v>-0.17392519729917355</v>
      </c>
      <c r="O59">
        <f>LOG(Table1_15[[#This Row],[PFDoA]])</f>
        <v>-3.1517051446064863E-2</v>
      </c>
      <c r="P59">
        <f>LOG(Table1_15[[#This Row],[PFTrDA]])</f>
        <v>-0.11350927482751812</v>
      </c>
      <c r="Q59">
        <f>LOG(Table1_15[[#This Row],[PFTeDA]])</f>
        <v>-0.25963731050575611</v>
      </c>
      <c r="R59">
        <f>LOG(Table1_15[[#This Row],[PFNS]])</f>
        <v>-0.56863623584101264</v>
      </c>
      <c r="S59">
        <f>LOG(Table1_15[[#This Row],[PFDoS]])</f>
        <v>-0.48148606012211248</v>
      </c>
      <c r="T59">
        <f>LOG(Table1_15[[#This Row],[4:2 FTS]])</f>
        <v>-0.50168944621039946</v>
      </c>
      <c r="U59">
        <f>LOG(Table1_15[[#This Row],[8:2 FTS]])</f>
        <v>-0.25181197299379954</v>
      </c>
      <c r="V59">
        <f>LOG(Table1_15[[#This Row],[FOSA]])</f>
        <v>-0.37675070960209955</v>
      </c>
      <c r="W59">
        <f>LOG(Table1_15[[#This Row],[N-MeFOSA]])</f>
        <v>-1.0969100130080565</v>
      </c>
      <c r="X59">
        <f>LOG(Table1_15[[#This Row],[N-MeFOSAA]])</f>
        <v>-1.0969100130080565</v>
      </c>
      <c r="Y59">
        <f>LOG(Table1_15[[#This Row],[N-EtFOSA]])</f>
        <v>-1.0969100130080565</v>
      </c>
      <c r="Z59">
        <f>LOG(Table1_15[[#This Row],[N-EtFOSAA]])</f>
        <v>0.17609125905568124</v>
      </c>
      <c r="AA59">
        <f>LOG(Table1_15[[#This Row],[N-MeFOSE]])</f>
        <v>4.1392685158225077E-2</v>
      </c>
      <c r="AB59">
        <f>LOG(Table1_15[[#This Row],[N-EtFOSE]])</f>
        <v>-8.092190762392612E-2</v>
      </c>
      <c r="AC59">
        <f>LOG(Table1_15[[#This Row],[HFPO-DA]])</f>
        <v>-0.32790214206428259</v>
      </c>
      <c r="AD59">
        <f>LOG(Table1_15[[#This Row],[ADONA]])</f>
        <v>-0.50168944621039946</v>
      </c>
      <c r="AE59">
        <f>LOG(Table1_15[[#This Row],[PFMBA]])</f>
        <v>-0.8096683018297085</v>
      </c>
      <c r="AF59">
        <f>LOG(Table1_15[[#This Row],[NFDHA]])</f>
        <v>-0.8096683018297085</v>
      </c>
      <c r="AG59">
        <f>LOG(Table1_15[[#This Row],[9Cl-PF3ONS]])</f>
        <v>-0.50168944621039946</v>
      </c>
      <c r="AH59">
        <f>LOG(Table1_15[[#This Row],[11Cl-PF3OUdS]])</f>
        <v>-0.50168944621039946</v>
      </c>
      <c r="AI59">
        <f>LOG(Table1_15[[#This Row],[PFEESA]])</f>
        <v>-0.8096683018297085</v>
      </c>
      <c r="AJ59">
        <f>LOG(Table1_15[[#This Row],[3:3 FTCA]])</f>
        <v>-0.40893539297350079</v>
      </c>
      <c r="AK59">
        <f>LOG(Table1_15[[#This Row],[5:3 FTCA]])</f>
        <v>0.29003461136251801</v>
      </c>
      <c r="AL59">
        <f>LOG(Table1_15[[#This Row],[7:3 FTCA]])</f>
        <v>0.29003461136251801</v>
      </c>
      <c r="AM59">
        <f>LOG(Table1_15[[#This Row],[PFDS]])</f>
        <v>-0.17392519729917355</v>
      </c>
      <c r="AN59">
        <f>LOG(Table1_15[[#This Row],[PFMPA]])</f>
        <v>-0.8096683018297085</v>
      </c>
    </row>
    <row r="60" spans="1:40" x14ac:dyDescent="0.3">
      <c r="A60">
        <f>LOG(Table1_15[[#This Row],[PFBA]])</f>
        <v>-0.70996538863748193</v>
      </c>
      <c r="B60">
        <f>LOG(Table1_15[[#This Row],[PFPeA]])</f>
        <v>-1</v>
      </c>
      <c r="C60">
        <f>LOG(Table1_15[[#This Row],[PFBS]])</f>
        <v>-1.3098039199714864</v>
      </c>
      <c r="D60">
        <f>LOG(Table1_15[[#This Row],[PFHxA]])</f>
        <v>-1.0457574905606752</v>
      </c>
      <c r="E60">
        <f>LOG(Table1_15[[#This Row],[PFPeS]])</f>
        <v>-1.3098039199714864</v>
      </c>
      <c r="F60">
        <f>LOG(Table1_15[[#This Row],[PFHpA]])</f>
        <v>-1.0457574905606752</v>
      </c>
      <c r="G60">
        <f>LOG(Table1_15[[#This Row],[PFHxS]])</f>
        <v>-0.63827216398240705</v>
      </c>
      <c r="H60">
        <f>LOG(Table1_15[[#This Row],[PFOA]])</f>
        <v>-0.95860731484177497</v>
      </c>
      <c r="I60">
        <f>LOG(Table1_15[[#This Row],[6:2 FTS]])</f>
        <v>-0.40340290437353976</v>
      </c>
      <c r="J60">
        <f>LOG(Table1_15[[#This Row],[PFHpS]])</f>
        <v>-1.3098039199714864</v>
      </c>
      <c r="K60">
        <f>LOG(Table1_15[[#This Row],[PFNA]])</f>
        <v>-0.95860731484177497</v>
      </c>
      <c r="L60">
        <f>LOG(Table1_15[[#This Row],[PFOS]])</f>
        <v>0.79934054945358168</v>
      </c>
      <c r="M60">
        <f>LOG(Table1_15[[#This Row],[PFDA]])</f>
        <v>-1.2076083105017461</v>
      </c>
      <c r="N60">
        <f>LOG(Table1_15[[#This Row],[PFUnA]])</f>
        <v>-1.0409586076789064</v>
      </c>
      <c r="O60">
        <f>LOG(Table1_15[[#This Row],[PFDoA]])</f>
        <v>-1.3098039199714864</v>
      </c>
      <c r="P60">
        <f>LOG(Table1_15[[#This Row],[PFTrDA]])</f>
        <v>-1.3098039199714864</v>
      </c>
      <c r="Q60">
        <f>LOG(Table1_15[[#This Row],[PFTeDA]])</f>
        <v>-1.3098039199714864</v>
      </c>
      <c r="R60">
        <f>LOG(Table1_15[[#This Row],[PFNS]])</f>
        <v>-1.3098039199714864</v>
      </c>
      <c r="S60">
        <f>LOG(Table1_15[[#This Row],[PFDoS]])</f>
        <v>-1.3098039199714864</v>
      </c>
      <c r="T60">
        <f>LOG(Table1_15[[#This Row],[4:2 FTS]])</f>
        <v>-0.70996538863748193</v>
      </c>
      <c r="U60">
        <f>LOG(Table1_15[[#This Row],[8:2 FTS]])</f>
        <v>-0.40340290437353976</v>
      </c>
      <c r="V60">
        <f>LOG(Table1_15[[#This Row],[FOSA]])</f>
        <v>-1.0457574905606752</v>
      </c>
      <c r="W60">
        <f>LOG(Table1_15[[#This Row],[N-MeFOSA]])</f>
        <v>-1.3098039199714864</v>
      </c>
      <c r="X60">
        <f>LOG(Table1_15[[#This Row],[N-MeFOSAA]])</f>
        <v>-1.3098039199714864</v>
      </c>
      <c r="Y60">
        <f>LOG(Table1_15[[#This Row],[N-EtFOSA]])</f>
        <v>-1.3098039199714864</v>
      </c>
      <c r="Z60">
        <f>LOG(Table1_15[[#This Row],[N-EtFOSAA]])</f>
        <v>-1.3098039199714864</v>
      </c>
      <c r="AA60">
        <f>LOG(Table1_15[[#This Row],[N-MeFOSE]])</f>
        <v>-0.30980391997148632</v>
      </c>
      <c r="AB60">
        <f>LOG(Table1_15[[#This Row],[N-EtFOSE]])</f>
        <v>-0.30980391997148632</v>
      </c>
      <c r="AC60">
        <f>LOG(Table1_15[[#This Row],[HFPO-DA]])</f>
        <v>-0.53017798402183702</v>
      </c>
      <c r="AD60">
        <f>LOG(Table1_15[[#This Row],[ADONA]])</f>
        <v>-0.70996538863748193</v>
      </c>
      <c r="AE60">
        <f>LOG(Table1_15[[#This Row],[PFMBA]])</f>
        <v>-1</v>
      </c>
      <c r="AF60">
        <f>LOG(Table1_15[[#This Row],[NFDHA]])</f>
        <v>-1</v>
      </c>
      <c r="AG60">
        <f>LOG(Table1_15[[#This Row],[9Cl-PF3ONS]])</f>
        <v>-0.70996538863748193</v>
      </c>
      <c r="AH60">
        <f>LOG(Table1_15[[#This Row],[11Cl-PF3OUdS]])</f>
        <v>-0.70996538863748193</v>
      </c>
      <c r="AI60">
        <f>LOG(Table1_15[[#This Row],[PFEESA]])</f>
        <v>-1</v>
      </c>
      <c r="AJ60">
        <f>LOG(Table1_15[[#This Row],[3:3 FTCA]])</f>
        <v>-0.61083391563546752</v>
      </c>
      <c r="AK60">
        <f>LOG(Table1_15[[#This Row],[5:3 FTCA]])</f>
        <v>9.691001300805642E-2</v>
      </c>
      <c r="AL60">
        <f>LOG(Table1_15[[#This Row],[7:3 FTCA]])</f>
        <v>9.691001300805642E-2</v>
      </c>
      <c r="AM60">
        <f>LOG(Table1_15[[#This Row],[PFDS]])</f>
        <v>-1.3098039199714864</v>
      </c>
      <c r="AN60">
        <f>LOG(Table1_15[[#This Row],[PFMPA]])</f>
        <v>-1</v>
      </c>
    </row>
    <row r="61" spans="1:40" x14ac:dyDescent="0.3">
      <c r="A61">
        <f>LOG(Table1_15[[#This Row],[PFBA]])</f>
        <v>-0.69897000433601875</v>
      </c>
      <c r="B61">
        <f>LOG(Table1_15[[#This Row],[PFPeA]])</f>
        <v>-1</v>
      </c>
      <c r="C61">
        <f>LOG(Table1_15[[#This Row],[PFBS]])</f>
        <v>-1.3053948010664314</v>
      </c>
      <c r="D61">
        <f>LOG(Table1_15[[#This Row],[PFHxA]])</f>
        <v>-0.82390874094431876</v>
      </c>
      <c r="E61">
        <f>LOG(Table1_15[[#This Row],[PFPeS]])</f>
        <v>-1.3053948010664314</v>
      </c>
      <c r="F61">
        <f>LOG(Table1_15[[#This Row],[PFHpA]])</f>
        <v>-1.0457574905606752</v>
      </c>
      <c r="G61">
        <f>LOG(Table1_15[[#This Row],[PFHxS]])</f>
        <v>-0.24412514432750865</v>
      </c>
      <c r="H61">
        <f>LOG(Table1_15[[#This Row],[PFOA]])</f>
        <v>-0.56863623584101264</v>
      </c>
      <c r="I61">
        <f>LOG(Table1_15[[#This Row],[6:2 FTS]])</f>
        <v>-0.36653154442041347</v>
      </c>
      <c r="J61">
        <f>LOG(Table1_15[[#This Row],[PFHpS]])</f>
        <v>-1.3053948010664314</v>
      </c>
      <c r="K61">
        <f>LOG(Table1_15[[#This Row],[PFNA]])</f>
        <v>-1.0506099933550872</v>
      </c>
      <c r="L61">
        <f>LOG(Table1_15[[#This Row],[PFOS]])</f>
        <v>1</v>
      </c>
      <c r="M61">
        <f>LOG(Table1_15[[#This Row],[PFDA]])</f>
        <v>-1.2006594505464183</v>
      </c>
      <c r="N61">
        <f>LOG(Table1_15[[#This Row],[PFUnA]])</f>
        <v>-0.72124639904717103</v>
      </c>
      <c r="O61">
        <f>LOG(Table1_15[[#This Row],[PFDoA]])</f>
        <v>-0.32790214206428259</v>
      </c>
      <c r="P61">
        <f>LOG(Table1_15[[#This Row],[PFTrDA]])</f>
        <v>-0.27572413039921095</v>
      </c>
      <c r="Q61">
        <f>LOG(Table1_15[[#This Row],[PFTeDA]])</f>
        <v>-0.44369749923271273</v>
      </c>
      <c r="R61">
        <f>LOG(Table1_15[[#This Row],[PFNS]])</f>
        <v>-1.3053948010664314</v>
      </c>
      <c r="S61">
        <f>LOG(Table1_15[[#This Row],[PFDoS]])</f>
        <v>-0.55284196865778079</v>
      </c>
      <c r="T61">
        <f>LOG(Table1_15[[#This Row],[4:2 FTS]])</f>
        <v>-0.69897000433601875</v>
      </c>
      <c r="U61">
        <f>LOG(Table1_15[[#This Row],[8:2 FTS]])</f>
        <v>-0.3979400086720376</v>
      </c>
      <c r="V61">
        <f>LOG(Table1_15[[#This Row],[FOSA]])</f>
        <v>-0.53760200210104392</v>
      </c>
      <c r="W61">
        <f>LOG(Table1_15[[#This Row],[N-MeFOSA]])</f>
        <v>-1.3053948010664314</v>
      </c>
      <c r="X61">
        <f>LOG(Table1_15[[#This Row],[N-MeFOSAA]])</f>
        <v>-1.3053948010664314</v>
      </c>
      <c r="Y61">
        <f>LOG(Table1_15[[#This Row],[N-EtFOSA]])</f>
        <v>-1.3053948010664314</v>
      </c>
      <c r="Z61">
        <f>LOG(Table1_15[[#This Row],[N-EtFOSAA]])</f>
        <v>-1.3053948010664314</v>
      </c>
      <c r="AA61">
        <f>LOG(Table1_15[[#This Row],[N-MeFOSE]])</f>
        <v>-0.3053948010664313</v>
      </c>
      <c r="AB61">
        <f>LOG(Table1_15[[#This Row],[N-EtFOSE]])</f>
        <v>-0.3053948010664313</v>
      </c>
      <c r="AC61">
        <f>LOG(Table1_15[[#This Row],[HFPO-DA]])</f>
        <v>-0.52287874528033762</v>
      </c>
      <c r="AD61">
        <f>LOG(Table1_15[[#This Row],[ADONA]])</f>
        <v>-0.69897000433601875</v>
      </c>
      <c r="AE61">
        <f>LOG(Table1_15[[#This Row],[PFMBA]])</f>
        <v>-1</v>
      </c>
      <c r="AF61">
        <f>LOG(Table1_15[[#This Row],[NFDHA]])</f>
        <v>-1</v>
      </c>
      <c r="AG61">
        <f>LOG(Table1_15[[#This Row],[9Cl-PF3ONS]])</f>
        <v>-0.69897000433601875</v>
      </c>
      <c r="AH61">
        <f>LOG(Table1_15[[#This Row],[11Cl-PF3OUdS]])</f>
        <v>-0.69897000433601875</v>
      </c>
      <c r="AI61">
        <f>LOG(Table1_15[[#This Row],[PFEESA]])</f>
        <v>-1</v>
      </c>
      <c r="AJ61">
        <f>LOG(Table1_15[[#This Row],[3:3 FTCA]])</f>
        <v>-0.6020599913279624</v>
      </c>
      <c r="AK61">
        <f>LOG(Table1_15[[#This Row],[5:3 FTCA]])</f>
        <v>9.691001300805642E-2</v>
      </c>
      <c r="AL61">
        <f>LOG(Table1_15[[#This Row],[7:3 FTCA]])</f>
        <v>9.691001300805642E-2</v>
      </c>
      <c r="AM61">
        <f>LOG(Table1_15[[#This Row],[PFDS]])</f>
        <v>-0.6020599913279624</v>
      </c>
      <c r="AN61">
        <f>LOG(Table1_15[[#This Row],[PFMPA]])</f>
        <v>-1</v>
      </c>
    </row>
    <row r="62" spans="1:40" x14ac:dyDescent="0.3">
      <c r="A62">
        <f>LOG(Table1_15[[#This Row],[PFBA]])</f>
        <v>-0.69897000433601875</v>
      </c>
      <c r="B62">
        <f>LOG(Table1_15[[#This Row],[PFPeA]])</f>
        <v>-1</v>
      </c>
      <c r="C62">
        <f>LOG(Table1_15[[#This Row],[PFBS]])</f>
        <v>-1.3053948010664314</v>
      </c>
      <c r="D62">
        <f>LOG(Table1_15[[#This Row],[PFHxA]])</f>
        <v>-1.0362121726544447</v>
      </c>
      <c r="E62">
        <f>LOG(Table1_15[[#This Row],[PFPeS]])</f>
        <v>-1.2757241303992111</v>
      </c>
      <c r="F62">
        <f>LOG(Table1_15[[#This Row],[PFHpA]])</f>
        <v>-1.0457574905606752</v>
      </c>
      <c r="G62">
        <f>LOG(Table1_15[[#This Row],[PFHxS]])</f>
        <v>-9.6910013008056392E-2</v>
      </c>
      <c r="H62">
        <f>LOG(Table1_15[[#This Row],[PFOA]])</f>
        <v>-0.6777807052660807</v>
      </c>
      <c r="I62">
        <f>LOG(Table1_15[[#This Row],[6:2 FTS]])</f>
        <v>-0.28399665636520083</v>
      </c>
      <c r="J62">
        <f>LOG(Table1_15[[#This Row],[PFHpS]])</f>
        <v>-1.2291479883578558</v>
      </c>
      <c r="K62">
        <f>LOG(Table1_15[[#This Row],[PFNA]])</f>
        <v>-0.769551078621726</v>
      </c>
      <c r="L62">
        <f>LOG(Table1_15[[#This Row],[PFOS]])</f>
        <v>0.98227123303956843</v>
      </c>
      <c r="M62">
        <f>LOG(Table1_15[[#This Row],[PFDA]])</f>
        <v>-0.31875876262441277</v>
      </c>
      <c r="N62">
        <f>LOG(Table1_15[[#This Row],[PFUnA]])</f>
        <v>-0.32790214206428259</v>
      </c>
      <c r="O62">
        <f>LOG(Table1_15[[#This Row],[PFDoA]])</f>
        <v>-0.92081875395237522</v>
      </c>
      <c r="P62">
        <f>LOG(Table1_15[[#This Row],[PFTrDA]])</f>
        <v>-1.3053948010664314</v>
      </c>
      <c r="Q62">
        <f>LOG(Table1_15[[#This Row],[PFTeDA]])</f>
        <v>-1.3053948010664314</v>
      </c>
      <c r="R62">
        <f>LOG(Table1_15[[#This Row],[PFNS]])</f>
        <v>-0.50863830616572736</v>
      </c>
      <c r="S62">
        <f>LOG(Table1_15[[#This Row],[PFDoS]])</f>
        <v>-1.3053948010664314</v>
      </c>
      <c r="T62">
        <f>LOG(Table1_15[[#This Row],[4:2 FTS]])</f>
        <v>-0.69897000433601875</v>
      </c>
      <c r="U62">
        <f>LOG(Table1_15[[#This Row],[8:2 FTS]])</f>
        <v>-3.6212172654444715E-2</v>
      </c>
      <c r="V62">
        <f>LOG(Table1_15[[#This Row],[FOSA]])</f>
        <v>0.23044892137827391</v>
      </c>
      <c r="W62">
        <f>LOG(Table1_15[[#This Row],[N-MeFOSA]])</f>
        <v>-1.3053948010664314</v>
      </c>
      <c r="X62">
        <f>LOG(Table1_15[[#This Row],[N-MeFOSAA]])</f>
        <v>-1.3053948010664314</v>
      </c>
      <c r="Y62">
        <f>LOG(Table1_15[[#This Row],[N-EtFOSA]])</f>
        <v>-1.3053948010664314</v>
      </c>
      <c r="Z62">
        <f>LOG(Table1_15[[#This Row],[N-EtFOSAA]])</f>
        <v>-1.3053948010664314</v>
      </c>
      <c r="AA62">
        <f>LOG(Table1_15[[#This Row],[N-MeFOSE]])</f>
        <v>-0.3053948010664313</v>
      </c>
      <c r="AB62">
        <f>LOG(Table1_15[[#This Row],[N-EtFOSE]])</f>
        <v>-0.3053948010664313</v>
      </c>
      <c r="AC62">
        <f>LOG(Table1_15[[#This Row],[HFPO-DA]])</f>
        <v>-0.52287874528033762</v>
      </c>
      <c r="AD62">
        <f>LOG(Table1_15[[#This Row],[ADONA]])</f>
        <v>-0.69897000433601875</v>
      </c>
      <c r="AE62">
        <f>LOG(Table1_15[[#This Row],[PFMBA]])</f>
        <v>-1</v>
      </c>
      <c r="AF62">
        <f>LOG(Table1_15[[#This Row],[NFDHA]])</f>
        <v>-1</v>
      </c>
      <c r="AG62">
        <f>LOG(Table1_15[[#This Row],[9Cl-PF3ONS]])</f>
        <v>-0.69897000433601875</v>
      </c>
      <c r="AH62">
        <f>LOG(Table1_15[[#This Row],[11Cl-PF3OUdS]])</f>
        <v>-0.69897000433601875</v>
      </c>
      <c r="AI62">
        <f>LOG(Table1_15[[#This Row],[PFEESA]])</f>
        <v>-1</v>
      </c>
      <c r="AJ62">
        <f>LOG(Table1_15[[#This Row],[3:3 FTCA]])</f>
        <v>-0.6020599913279624</v>
      </c>
      <c r="AK62">
        <f>LOG(Table1_15[[#This Row],[5:3 FTCA]])</f>
        <v>9.691001300805642E-2</v>
      </c>
      <c r="AL62">
        <f>LOG(Table1_15[[#This Row],[7:3 FTCA]])</f>
        <v>0</v>
      </c>
      <c r="AM62">
        <f>LOG(Table1_15[[#This Row],[PFDS]])</f>
        <v>-0.34678748622465633</v>
      </c>
      <c r="AN62">
        <f>LOG(Table1_15[[#This Row],[PFMPA]])</f>
        <v>-1</v>
      </c>
    </row>
    <row r="63" spans="1:40" x14ac:dyDescent="0.3">
      <c r="A63">
        <f>LOG(Table1_15[[#This Row],[PFBA]])</f>
        <v>-0.69897000433601875</v>
      </c>
      <c r="B63">
        <f>LOG(Table1_15[[#This Row],[PFPeA]])</f>
        <v>-1</v>
      </c>
      <c r="C63">
        <f>LOG(Table1_15[[#This Row],[PFBS]])</f>
        <v>-1.3053948010664314</v>
      </c>
      <c r="D63">
        <f>LOG(Table1_15[[#This Row],[PFHxA]])</f>
        <v>-0.92081875395237522</v>
      </c>
      <c r="E63">
        <f>LOG(Table1_15[[#This Row],[PFPeS]])</f>
        <v>-1.0861861476162833</v>
      </c>
      <c r="F63">
        <f>LOG(Table1_15[[#This Row],[PFHpA]])</f>
        <v>-1.0457574905606752</v>
      </c>
      <c r="G63">
        <f>LOG(Table1_15[[#This Row],[PFHxS]])</f>
        <v>4.1392685158225077E-2</v>
      </c>
      <c r="H63">
        <f>LOG(Table1_15[[#This Row],[PFOA]])</f>
        <v>-0.40893539297350079</v>
      </c>
      <c r="I63">
        <f>LOG(Table1_15[[#This Row],[6:2 FTS]])</f>
        <v>-0.3979400086720376</v>
      </c>
      <c r="J63">
        <f>LOG(Table1_15[[#This Row],[PFHpS]])</f>
        <v>-1</v>
      </c>
      <c r="K63">
        <f>LOG(Table1_15[[#This Row],[PFNA]])</f>
        <v>-0.6777807052660807</v>
      </c>
      <c r="L63">
        <f>LOG(Table1_15[[#This Row],[PFOS]])</f>
        <v>1.4623979978989561</v>
      </c>
      <c r="M63">
        <f>LOG(Table1_15[[#This Row],[PFDA]])</f>
        <v>-0.55284196865778079</v>
      </c>
      <c r="N63">
        <f>LOG(Table1_15[[#This Row],[PFUnA]])</f>
        <v>-0.22184874961635639</v>
      </c>
      <c r="O63">
        <f>LOG(Table1_15[[#This Row],[PFDoA]])</f>
        <v>-9.1514981121350217E-2</v>
      </c>
      <c r="P63">
        <f>LOG(Table1_15[[#This Row],[PFTrDA]])</f>
        <v>-0.18708664335714442</v>
      </c>
      <c r="Q63">
        <f>LOG(Table1_15[[#This Row],[PFTeDA]])</f>
        <v>-0.30980391997148632</v>
      </c>
      <c r="R63">
        <f>LOG(Table1_15[[#This Row],[PFNS]])</f>
        <v>-0.69897000433601875</v>
      </c>
      <c r="S63">
        <f>LOG(Table1_15[[#This Row],[PFDoS]])</f>
        <v>-0.52287874528033762</v>
      </c>
      <c r="T63">
        <f>LOG(Table1_15[[#This Row],[4:2 FTS]])</f>
        <v>-0.69897000433601875</v>
      </c>
      <c r="U63">
        <f>LOG(Table1_15[[#This Row],[8:2 FTS]])</f>
        <v>-0.3010299956639812</v>
      </c>
      <c r="V63">
        <f>LOG(Table1_15[[#This Row],[FOSA]])</f>
        <v>-0.42021640338318983</v>
      </c>
      <c r="W63">
        <f>LOG(Table1_15[[#This Row],[N-MeFOSA]])</f>
        <v>-1.3053948010664314</v>
      </c>
      <c r="X63">
        <f>LOG(Table1_15[[#This Row],[N-MeFOSAA]])</f>
        <v>-1.3053948010664314</v>
      </c>
      <c r="Y63">
        <f>LOG(Table1_15[[#This Row],[N-EtFOSA]])</f>
        <v>-1.3053948010664314</v>
      </c>
      <c r="Z63">
        <f>LOG(Table1_15[[#This Row],[N-EtFOSAA]])</f>
        <v>-1.3053948010664314</v>
      </c>
      <c r="AA63">
        <f>LOG(Table1_15[[#This Row],[N-MeFOSE]])</f>
        <v>0.3010299956639812</v>
      </c>
      <c r="AB63">
        <f>LOG(Table1_15[[#This Row],[N-EtFOSE]])</f>
        <v>-0.3053948010664313</v>
      </c>
      <c r="AC63">
        <f>LOG(Table1_15[[#This Row],[HFPO-DA]])</f>
        <v>-0.52287874528033762</v>
      </c>
      <c r="AD63">
        <f>LOG(Table1_15[[#This Row],[ADONA]])</f>
        <v>-0.69897000433601875</v>
      </c>
      <c r="AE63">
        <f>LOG(Table1_15[[#This Row],[PFMBA]])</f>
        <v>-1</v>
      </c>
      <c r="AF63">
        <f>LOG(Table1_15[[#This Row],[NFDHA]])</f>
        <v>-1</v>
      </c>
      <c r="AG63">
        <f>LOG(Table1_15[[#This Row],[9Cl-PF3ONS]])</f>
        <v>-0.69897000433601875</v>
      </c>
      <c r="AH63">
        <f>LOG(Table1_15[[#This Row],[11Cl-PF3OUdS]])</f>
        <v>-0.69897000433601875</v>
      </c>
      <c r="AI63">
        <f>LOG(Table1_15[[#This Row],[PFEESA]])</f>
        <v>-1</v>
      </c>
      <c r="AJ63">
        <f>LOG(Table1_15[[#This Row],[3:3 FTCA]])</f>
        <v>-0.6020599913279624</v>
      </c>
      <c r="AK63">
        <f>LOG(Table1_15[[#This Row],[5:3 FTCA]])</f>
        <v>9.691001300805642E-2</v>
      </c>
      <c r="AL63">
        <f>LOG(Table1_15[[#This Row],[7:3 FTCA]])</f>
        <v>0</v>
      </c>
      <c r="AM63">
        <f>LOG(Table1_15[[#This Row],[PFDS]])</f>
        <v>-0.23657200643706275</v>
      </c>
      <c r="AN63">
        <f>LOG(Table1_15[[#This Row],[PFMPA]])</f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60B9-83D8-4716-8B4A-E5DE949C94BF}">
  <dimension ref="A1:CL63"/>
  <sheetViews>
    <sheetView tabSelected="1" topLeftCell="A31" workbookViewId="0">
      <selection activeCell="D37" sqref="D37"/>
    </sheetView>
  </sheetViews>
  <sheetFormatPr defaultRowHeight="15.6" x14ac:dyDescent="0.3"/>
  <cols>
    <col min="1" max="1" width="26.69921875" bestFit="1" customWidth="1"/>
    <col min="2" max="2" width="10.296875" bestFit="1" customWidth="1"/>
    <col min="3" max="3" width="14.296875" bestFit="1" customWidth="1"/>
    <col min="4" max="4" width="15.09765625" bestFit="1" customWidth="1"/>
    <col min="5" max="5" width="11.3984375" bestFit="1" customWidth="1"/>
    <col min="6" max="6" width="7.19921875" bestFit="1" customWidth="1"/>
    <col min="8" max="8" width="10.59765625" bestFit="1" customWidth="1"/>
    <col min="9" max="9" width="7.796875" bestFit="1" customWidth="1"/>
    <col min="10" max="10" width="7.8984375" bestFit="1" customWidth="1"/>
    <col min="12" max="12" width="7.8984375" bestFit="1" customWidth="1"/>
    <col min="13" max="13" width="9.09765625" bestFit="1" customWidth="1"/>
    <col min="14" max="14" width="8.5" bestFit="1" customWidth="1"/>
    <col min="15" max="15" width="9.09765625" bestFit="1" customWidth="1"/>
    <col min="17" max="17" width="8.19921875" bestFit="1" customWidth="1"/>
    <col min="18" max="18" width="9.59765625" bestFit="1" customWidth="1"/>
    <col min="20" max="20" width="8" bestFit="1" customWidth="1"/>
    <col min="21" max="21" width="7.8984375" bestFit="1" customWidth="1"/>
    <col min="22" max="22" width="8" bestFit="1" customWidth="1"/>
    <col min="23" max="24" width="9" bestFit="1" customWidth="1"/>
    <col min="25" max="25" width="10.09765625" bestFit="1" customWidth="1"/>
    <col min="26" max="26" width="10.296875" bestFit="1" customWidth="1"/>
    <col min="27" max="27" width="7.69921875" bestFit="1" customWidth="1"/>
    <col min="28" max="28" width="8.69921875" bestFit="1" customWidth="1"/>
    <col min="29" max="30" width="9.59765625" bestFit="1" customWidth="1"/>
    <col min="31" max="31" width="8.09765625" bestFit="1" customWidth="1"/>
    <col min="32" max="32" width="13" bestFit="1" customWidth="1"/>
    <col min="33" max="33" width="14.3984375" bestFit="1" customWidth="1"/>
    <col min="34" max="34" width="12.19921875" bestFit="1" customWidth="1"/>
    <col min="35" max="35" width="13.59765625" bestFit="1" customWidth="1"/>
    <col min="36" max="36" width="12.8984375" bestFit="1" customWidth="1"/>
    <col min="37" max="37" width="12.09765625" bestFit="1" customWidth="1"/>
    <col min="38" max="38" width="11.796875" bestFit="1" customWidth="1"/>
    <col min="39" max="39" width="10.09765625" bestFit="1" customWidth="1"/>
    <col min="40" max="41" width="9.69921875" bestFit="1" customWidth="1"/>
    <col min="42" max="42" width="13.8984375" bestFit="1" customWidth="1"/>
    <col min="43" max="43" width="16" bestFit="1" customWidth="1"/>
    <col min="44" max="44" width="10.296875" bestFit="1" customWidth="1"/>
    <col min="45" max="47" width="11.296875" bestFit="1" customWidth="1"/>
    <col min="48" max="48" width="7.69921875" bestFit="1" customWidth="1"/>
    <col min="49" max="49" width="9.59765625" bestFit="1" customWidth="1"/>
  </cols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60</v>
      </c>
      <c r="S1" t="s">
        <v>17</v>
      </c>
      <c r="T1" t="s">
        <v>18</v>
      </c>
      <c r="U1" t="s">
        <v>19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141</v>
      </c>
      <c r="AI1" t="s">
        <v>142</v>
      </c>
      <c r="AJ1" t="s">
        <v>143</v>
      </c>
      <c r="AK1" t="s">
        <v>144</v>
      </c>
      <c r="AL1" t="s">
        <v>145</v>
      </c>
      <c r="AM1" t="s">
        <v>146</v>
      </c>
      <c r="AN1" t="s">
        <v>147</v>
      </c>
      <c r="AO1" t="s">
        <v>148</v>
      </c>
      <c r="AP1" t="s">
        <v>149</v>
      </c>
      <c r="AQ1" t="s">
        <v>150</v>
      </c>
      <c r="AR1" t="s">
        <v>151</v>
      </c>
      <c r="AS1" t="s">
        <v>152</v>
      </c>
      <c r="AT1" t="s">
        <v>153</v>
      </c>
      <c r="AU1" t="s">
        <v>154</v>
      </c>
      <c r="AV1" t="s">
        <v>155</v>
      </c>
      <c r="AW1" t="s">
        <v>156</v>
      </c>
      <c r="AX1" t="s">
        <v>197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179</v>
      </c>
      <c r="BV1" t="s">
        <v>180</v>
      </c>
      <c r="BW1" t="s">
        <v>181</v>
      </c>
      <c r="BX1" t="s">
        <v>182</v>
      </c>
      <c r="BY1" t="s">
        <v>183</v>
      </c>
      <c r="BZ1" t="s">
        <v>184</v>
      </c>
      <c r="CA1" t="s">
        <v>185</v>
      </c>
      <c r="CB1" t="s">
        <v>186</v>
      </c>
      <c r="CC1" t="s">
        <v>187</v>
      </c>
      <c r="CD1" t="s">
        <v>188</v>
      </c>
      <c r="CE1" t="s">
        <v>189</v>
      </c>
      <c r="CF1" t="s">
        <v>190</v>
      </c>
      <c r="CG1" t="s">
        <v>191</v>
      </c>
      <c r="CH1" t="s">
        <v>192</v>
      </c>
      <c r="CI1" t="s">
        <v>193</v>
      </c>
      <c r="CJ1" t="s">
        <v>194</v>
      </c>
      <c r="CK1" t="s">
        <v>195</v>
      </c>
      <c r="CL1" t="s">
        <v>196</v>
      </c>
    </row>
    <row r="2" spans="1:90" x14ac:dyDescent="0.3">
      <c r="A2" s="2" t="s">
        <v>20</v>
      </c>
      <c r="B2" s="2" t="s">
        <v>21</v>
      </c>
      <c r="C2" s="1">
        <v>44113</v>
      </c>
      <c r="D2" t="s">
        <v>22</v>
      </c>
      <c r="E2">
        <v>0.67800000000000005</v>
      </c>
      <c r="F2">
        <v>6940</v>
      </c>
      <c r="G2">
        <v>21.37</v>
      </c>
      <c r="H2">
        <v>61.91</v>
      </c>
      <c r="I2">
        <v>28.8</v>
      </c>
      <c r="J2">
        <v>6.25E-2</v>
      </c>
      <c r="K2">
        <v>6.25E-2</v>
      </c>
      <c r="L2">
        <v>0.125</v>
      </c>
      <c r="M2">
        <v>0.12790000000000001</v>
      </c>
      <c r="N2">
        <v>6.25E-2</v>
      </c>
      <c r="O2">
        <v>6.25E-2</v>
      </c>
      <c r="P2">
        <v>0.18859999999999999</v>
      </c>
      <c r="Q2">
        <v>0.125</v>
      </c>
      <c r="R2">
        <v>9.8599999999999993E-2</v>
      </c>
      <c r="S2">
        <v>2.47E-2</v>
      </c>
      <c r="T2">
        <v>0.125</v>
      </c>
      <c r="U2">
        <v>2.8479000000000001</v>
      </c>
      <c r="AX2">
        <f>SUM(Table1_15[[#This Row],[PFBA]:[PFMPA]])</f>
        <v>3.9127000000000001</v>
      </c>
      <c r="AY2">
        <v>-1.2041199826559248</v>
      </c>
      <c r="AZ2">
        <v>-1.2041199826559248</v>
      </c>
      <c r="BA2">
        <v>-0.90308998699194354</v>
      </c>
      <c r="BB2">
        <v>-0.89312945552134604</v>
      </c>
      <c r="BC2">
        <v>-1.2041199826559248</v>
      </c>
      <c r="BD2">
        <v>-1.2041199826559248</v>
      </c>
      <c r="BE2">
        <v>-0.72445831159869045</v>
      </c>
      <c r="BF2">
        <v>-0.90308998699194354</v>
      </c>
      <c r="BG2">
        <v>-1.0061230850587888</v>
      </c>
      <c r="BH2">
        <v>-1.6073030467403342</v>
      </c>
      <c r="BI2">
        <v>-0.90308998699194354</v>
      </c>
      <c r="BJ2">
        <v>0.45452473559309708</v>
      </c>
      <c r="BK2" t="e">
        <v>#NUM!</v>
      </c>
      <c r="BL2" t="e">
        <v>#NUM!</v>
      </c>
      <c r="BM2" t="e">
        <v>#NUM!</v>
      </c>
      <c r="BN2" t="e">
        <v>#NUM!</v>
      </c>
      <c r="BO2" t="e">
        <v>#NUM!</v>
      </c>
      <c r="BP2" t="e">
        <v>#NUM!</v>
      </c>
      <c r="BQ2" t="e">
        <v>#NUM!</v>
      </c>
      <c r="BR2" t="e">
        <v>#NUM!</v>
      </c>
      <c r="BS2" t="e">
        <v>#NUM!</v>
      </c>
      <c r="BT2" t="e">
        <v>#NUM!</v>
      </c>
      <c r="BU2" t="e">
        <v>#NUM!</v>
      </c>
      <c r="BV2" t="e">
        <v>#NUM!</v>
      </c>
      <c r="BW2" t="e">
        <v>#NUM!</v>
      </c>
      <c r="BX2" t="e">
        <v>#NUM!</v>
      </c>
      <c r="BY2" t="e">
        <v>#NUM!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e">
        <v>#NUM!</v>
      </c>
      <c r="CJ2" t="e">
        <v>#NUM!</v>
      </c>
      <c r="CK2" t="e">
        <v>#NUM!</v>
      </c>
      <c r="CL2" t="e">
        <v>#NUM!</v>
      </c>
    </row>
    <row r="3" spans="1:90" x14ac:dyDescent="0.3">
      <c r="A3" s="2" t="s">
        <v>23</v>
      </c>
      <c r="B3" s="2" t="s">
        <v>24</v>
      </c>
      <c r="C3" s="1">
        <v>44113</v>
      </c>
      <c r="D3" t="s">
        <v>25</v>
      </c>
      <c r="E3">
        <v>0.64800000000000002</v>
      </c>
      <c r="F3">
        <v>25800</v>
      </c>
      <c r="G3">
        <v>9.4499999999999993</v>
      </c>
      <c r="H3">
        <v>10.48</v>
      </c>
      <c r="I3">
        <v>74.8</v>
      </c>
      <c r="J3">
        <v>6.25E-2</v>
      </c>
      <c r="K3">
        <v>6.25E-2</v>
      </c>
      <c r="L3">
        <v>0.125</v>
      </c>
      <c r="M3">
        <v>0.21890000000000001</v>
      </c>
      <c r="N3">
        <v>6.25E-2</v>
      </c>
      <c r="O3">
        <v>6.25E-2</v>
      </c>
      <c r="P3">
        <v>0.61680000000000001</v>
      </c>
      <c r="Q3">
        <v>0.37869999999999998</v>
      </c>
      <c r="R3">
        <v>0.38019999999999998</v>
      </c>
      <c r="S3">
        <v>8.3799999999999999E-2</v>
      </c>
      <c r="T3">
        <v>0.125</v>
      </c>
      <c r="U3">
        <v>9.4707000000000008</v>
      </c>
      <c r="AX3">
        <f>SUM(Table1_15[[#This Row],[PFBA]:[PFMPA]])</f>
        <v>11.649100000000001</v>
      </c>
      <c r="AY3">
        <v>-1.2041199826559248</v>
      </c>
      <c r="AZ3">
        <v>-1.2041199826559248</v>
      </c>
      <c r="BA3">
        <v>-0.90308998699194354</v>
      </c>
      <c r="BB3">
        <v>-0.65975423843206826</v>
      </c>
      <c r="BC3">
        <v>-1.2041199826559248</v>
      </c>
      <c r="BD3">
        <v>-1.2041199826559248</v>
      </c>
      <c r="BE3">
        <v>-0.20985563495709944</v>
      </c>
      <c r="BF3">
        <v>-0.42170469487917378</v>
      </c>
      <c r="BG3">
        <v>-0.41998788747057569</v>
      </c>
      <c r="BH3">
        <v>-1.0767559813697234</v>
      </c>
      <c r="BI3">
        <v>-0.90308998699194354</v>
      </c>
      <c r="BJ3">
        <v>0.97638207983771685</v>
      </c>
      <c r="BK3" t="e">
        <v>#NUM!</v>
      </c>
      <c r="BL3" t="e">
        <v>#NUM!</v>
      </c>
      <c r="BM3" t="e">
        <v>#NUM!</v>
      </c>
      <c r="BN3" t="e">
        <v>#NUM!</v>
      </c>
      <c r="BO3" t="e">
        <v>#NUM!</v>
      </c>
      <c r="BP3" t="e">
        <v>#NUM!</v>
      </c>
      <c r="BQ3" t="e">
        <v>#NUM!</v>
      </c>
      <c r="BR3" t="e">
        <v>#NUM!</v>
      </c>
      <c r="BS3" t="e">
        <v>#NUM!</v>
      </c>
      <c r="BT3" t="e">
        <v>#NUM!</v>
      </c>
      <c r="BU3" t="e">
        <v>#NUM!</v>
      </c>
      <c r="BV3" t="e">
        <v>#NUM!</v>
      </c>
      <c r="BW3" t="e">
        <v>#NUM!</v>
      </c>
      <c r="BX3" t="e">
        <v>#NUM!</v>
      </c>
      <c r="BY3" t="e">
        <v>#NUM!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e">
        <v>#NUM!</v>
      </c>
      <c r="CJ3" t="e">
        <v>#NUM!</v>
      </c>
      <c r="CK3" t="e">
        <v>#NUM!</v>
      </c>
      <c r="CL3" t="e">
        <v>#NUM!</v>
      </c>
    </row>
    <row r="4" spans="1:90" x14ac:dyDescent="0.3">
      <c r="A4" s="2" t="s">
        <v>26</v>
      </c>
      <c r="B4" s="2" t="s">
        <v>27</v>
      </c>
      <c r="C4" s="1">
        <v>44113</v>
      </c>
      <c r="D4" t="s">
        <v>22</v>
      </c>
      <c r="E4">
        <v>0.19900000000000001</v>
      </c>
      <c r="F4">
        <v>11300</v>
      </c>
      <c r="G4">
        <v>5.37</v>
      </c>
      <c r="H4">
        <v>73.680000000000007</v>
      </c>
      <c r="I4">
        <v>46.2</v>
      </c>
      <c r="J4">
        <v>6.25E-2</v>
      </c>
      <c r="K4">
        <v>6.25E-2</v>
      </c>
      <c r="L4">
        <v>0.125</v>
      </c>
      <c r="M4">
        <v>6.25E-2</v>
      </c>
      <c r="N4">
        <v>6.25E-2</v>
      </c>
      <c r="O4">
        <v>6.25E-2</v>
      </c>
      <c r="P4">
        <v>0.1535</v>
      </c>
      <c r="Q4">
        <v>0.125</v>
      </c>
      <c r="R4">
        <v>7.8100000000000003E-2</v>
      </c>
      <c r="S4">
        <v>4.6300000000000001E-2</v>
      </c>
      <c r="T4">
        <v>0.125</v>
      </c>
      <c r="U4">
        <v>1.2767999999999999</v>
      </c>
      <c r="AX4">
        <f>SUM(Table1_15[[#This Row],[PFBA]:[PFMPA]])</f>
        <v>2.2422</v>
      </c>
      <c r="AY4">
        <v>-1.2041199826559248</v>
      </c>
      <c r="AZ4">
        <v>-1.2041199826559248</v>
      </c>
      <c r="BA4">
        <v>-0.90308998699194354</v>
      </c>
      <c r="BB4">
        <v>-1.2041199826559248</v>
      </c>
      <c r="BC4">
        <v>-1.2041199826559248</v>
      </c>
      <c r="BD4">
        <v>-1.2041199826559248</v>
      </c>
      <c r="BE4">
        <v>-0.81389162018679473</v>
      </c>
      <c r="BF4">
        <v>-0.90308998699194354</v>
      </c>
      <c r="BG4">
        <v>-1.1073489661226996</v>
      </c>
      <c r="BH4">
        <v>-1.3344190089820469</v>
      </c>
      <c r="BI4">
        <v>-0.90308998699194354</v>
      </c>
      <c r="BJ4">
        <v>0.10612287400665418</v>
      </c>
      <c r="BK4" t="e">
        <v>#NUM!</v>
      </c>
      <c r="BL4" t="e">
        <v>#NUM!</v>
      </c>
      <c r="BM4" t="e">
        <v>#NUM!</v>
      </c>
      <c r="BN4" t="e">
        <v>#NUM!</v>
      </c>
      <c r="BO4" t="e">
        <v>#NUM!</v>
      </c>
      <c r="BP4" t="e">
        <v>#NUM!</v>
      </c>
      <c r="BQ4" t="e">
        <v>#NUM!</v>
      </c>
      <c r="BR4" t="e">
        <v>#NUM!</v>
      </c>
      <c r="BS4" t="e">
        <v>#NUM!</v>
      </c>
      <c r="BT4" t="e">
        <v>#NUM!</v>
      </c>
      <c r="BU4" t="e">
        <v>#NUM!</v>
      </c>
      <c r="BV4" t="e">
        <v>#NUM!</v>
      </c>
      <c r="BW4" t="e">
        <v>#NUM!</v>
      </c>
      <c r="BX4" t="e">
        <v>#NUM!</v>
      </c>
      <c r="BY4" t="e">
        <v>#NUM!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e">
        <v>#NUM!</v>
      </c>
      <c r="CJ4" t="e">
        <v>#NUM!</v>
      </c>
      <c r="CK4" t="e">
        <v>#NUM!</v>
      </c>
      <c r="CL4" t="e">
        <v>#NUM!</v>
      </c>
    </row>
    <row r="5" spans="1:90" x14ac:dyDescent="0.3">
      <c r="A5" s="2" t="s">
        <v>28</v>
      </c>
      <c r="B5" s="2" t="s">
        <v>29</v>
      </c>
      <c r="C5" s="1">
        <v>44113</v>
      </c>
      <c r="D5" t="s">
        <v>25</v>
      </c>
      <c r="E5">
        <v>0.45600000000000002</v>
      </c>
      <c r="F5">
        <v>103000</v>
      </c>
      <c r="G5">
        <v>2.3199999999999998</v>
      </c>
      <c r="H5">
        <v>7.97</v>
      </c>
      <c r="I5">
        <v>74.599999999999994</v>
      </c>
      <c r="J5">
        <v>6.25E-2</v>
      </c>
      <c r="L5">
        <v>0.33879999999999999</v>
      </c>
      <c r="M5">
        <v>0.219</v>
      </c>
      <c r="N5">
        <v>0.26119999999999999</v>
      </c>
      <c r="O5">
        <v>0.21829999999999999</v>
      </c>
      <c r="P5">
        <v>2.2147999999999999</v>
      </c>
      <c r="Q5">
        <v>0.42420000000000002</v>
      </c>
      <c r="R5">
        <v>0.83109999999999995</v>
      </c>
      <c r="S5">
        <v>0.33179999999999998</v>
      </c>
      <c r="T5">
        <v>0.43590000000000001</v>
      </c>
      <c r="U5">
        <v>30.139700000000001</v>
      </c>
      <c r="AX5">
        <f>SUM(Table1_15[[#This Row],[PFBA]:[PFMPA]])</f>
        <v>35.4773</v>
      </c>
      <c r="AY5">
        <v>-1.2041199826559248</v>
      </c>
      <c r="AZ5" t="e">
        <v>#NUM!</v>
      </c>
      <c r="BA5">
        <v>-0.47005659834133073</v>
      </c>
      <c r="BB5">
        <v>-0.65955588515988162</v>
      </c>
      <c r="BC5">
        <v>-0.58302682739696365</v>
      </c>
      <c r="BD5">
        <v>-0.66094626429086079</v>
      </c>
      <c r="BE5">
        <v>0.34533451483989575</v>
      </c>
      <c r="BF5">
        <v>-0.37242933581945692</v>
      </c>
      <c r="BG5">
        <v>-8.0346717689635833E-2</v>
      </c>
      <c r="BH5">
        <v>-0.47912361831165812</v>
      </c>
      <c r="BI5">
        <v>-0.36061313098231601</v>
      </c>
      <c r="BJ5">
        <v>1.4791389251852158</v>
      </c>
      <c r="BK5" t="e">
        <v>#NUM!</v>
      </c>
      <c r="BL5" t="e">
        <v>#NUM!</v>
      </c>
      <c r="BM5" t="e">
        <v>#NUM!</v>
      </c>
      <c r="BN5" t="e">
        <v>#NUM!</v>
      </c>
      <c r="BO5" t="e">
        <v>#NUM!</v>
      </c>
      <c r="BP5" t="e">
        <v>#NUM!</v>
      </c>
      <c r="BQ5" t="e">
        <v>#NUM!</v>
      </c>
      <c r="BR5" t="e">
        <v>#NUM!</v>
      </c>
      <c r="BS5" t="e">
        <v>#NUM!</v>
      </c>
      <c r="BT5" t="e">
        <v>#NUM!</v>
      </c>
      <c r="BU5" t="e">
        <v>#NUM!</v>
      </c>
      <c r="BV5" t="e">
        <v>#NUM!</v>
      </c>
      <c r="BW5" t="e">
        <v>#NUM!</v>
      </c>
      <c r="BX5" t="e">
        <v>#NUM!</v>
      </c>
      <c r="BY5" t="e">
        <v>#NUM!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e">
        <v>#NUM!</v>
      </c>
      <c r="CJ5" t="e">
        <v>#NUM!</v>
      </c>
      <c r="CK5" t="e">
        <v>#NUM!</v>
      </c>
      <c r="CL5" t="e">
        <v>#NUM!</v>
      </c>
    </row>
    <row r="6" spans="1:90" x14ac:dyDescent="0.3">
      <c r="A6" s="2" t="s">
        <v>30</v>
      </c>
      <c r="B6" s="2" t="s">
        <v>21</v>
      </c>
      <c r="C6" s="1">
        <v>44117</v>
      </c>
      <c r="D6" t="s">
        <v>22</v>
      </c>
      <c r="E6">
        <v>0.67800000000000005</v>
      </c>
      <c r="F6">
        <v>6940</v>
      </c>
      <c r="G6">
        <v>21.37</v>
      </c>
      <c r="H6">
        <v>61.91</v>
      </c>
      <c r="I6">
        <v>28.8</v>
      </c>
      <c r="J6">
        <v>6.25E-2</v>
      </c>
      <c r="K6">
        <v>6.25E-2</v>
      </c>
      <c r="L6">
        <v>0.125</v>
      </c>
      <c r="M6">
        <v>6.25E-2</v>
      </c>
      <c r="N6">
        <v>6.25E-2</v>
      </c>
      <c r="O6">
        <v>6.25E-2</v>
      </c>
      <c r="P6">
        <v>0.17730000000000001</v>
      </c>
      <c r="Q6">
        <v>0.125</v>
      </c>
      <c r="R6">
        <v>0.13400000000000001</v>
      </c>
      <c r="S6">
        <v>3.1600000000000003E-2</v>
      </c>
      <c r="T6">
        <v>0.125</v>
      </c>
      <c r="U6">
        <v>1.8802000000000001</v>
      </c>
      <c r="AX6">
        <f>SUM(Table1_15[[#This Row],[PFBA]:[PFMPA]])</f>
        <v>2.9106000000000001</v>
      </c>
      <c r="AY6">
        <v>-1.2041199826559248</v>
      </c>
      <c r="AZ6">
        <v>-1.2041199826559248</v>
      </c>
      <c r="BA6">
        <v>-0.90308998699194354</v>
      </c>
      <c r="BB6">
        <v>-1.2041199826559248</v>
      </c>
      <c r="BC6">
        <v>-1.2041199826559248</v>
      </c>
      <c r="BD6">
        <v>-1.2041199826559248</v>
      </c>
      <c r="BE6">
        <v>-0.75129126439908211</v>
      </c>
      <c r="BF6">
        <v>-0.90308998699194354</v>
      </c>
      <c r="BG6">
        <v>-0.8728952016351923</v>
      </c>
      <c r="BH6">
        <v>-1.5003129173815961</v>
      </c>
      <c r="BI6">
        <v>-0.90308998699194354</v>
      </c>
      <c r="BJ6">
        <v>0.27420404834695339</v>
      </c>
      <c r="BK6" t="e">
        <v>#NUM!</v>
      </c>
      <c r="BL6" t="e">
        <v>#NUM!</v>
      </c>
      <c r="BM6" t="e">
        <v>#NUM!</v>
      </c>
      <c r="BN6" t="e">
        <v>#NUM!</v>
      </c>
      <c r="BO6" t="e">
        <v>#NUM!</v>
      </c>
      <c r="BP6" t="e">
        <v>#NUM!</v>
      </c>
      <c r="BQ6" t="e">
        <v>#NUM!</v>
      </c>
      <c r="BR6" t="e">
        <v>#NUM!</v>
      </c>
      <c r="BS6" t="e">
        <v>#NUM!</v>
      </c>
      <c r="BT6" t="e">
        <v>#NUM!</v>
      </c>
      <c r="BU6" t="e">
        <v>#NUM!</v>
      </c>
      <c r="BV6" t="e">
        <v>#NUM!</v>
      </c>
      <c r="BW6" t="e">
        <v>#NUM!</v>
      </c>
      <c r="BX6" t="e">
        <v>#NUM!</v>
      </c>
      <c r="BY6" t="e">
        <v>#NUM!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e">
        <v>#NUM!</v>
      </c>
      <c r="CJ6" t="e">
        <v>#NUM!</v>
      </c>
      <c r="CK6" t="e">
        <v>#NUM!</v>
      </c>
      <c r="CL6" t="e">
        <v>#NUM!</v>
      </c>
    </row>
    <row r="7" spans="1:90" x14ac:dyDescent="0.3">
      <c r="A7" s="2" t="s">
        <v>31</v>
      </c>
      <c r="B7" s="2" t="s">
        <v>24</v>
      </c>
      <c r="C7" s="1">
        <v>44117</v>
      </c>
      <c r="D7" t="s">
        <v>25</v>
      </c>
      <c r="E7">
        <v>0.64800000000000002</v>
      </c>
      <c r="F7">
        <v>25800</v>
      </c>
      <c r="G7">
        <v>9.4499999999999993</v>
      </c>
      <c r="H7">
        <v>10.48</v>
      </c>
      <c r="I7">
        <v>74.8</v>
      </c>
      <c r="J7">
        <v>6.25E-2</v>
      </c>
      <c r="K7">
        <v>0.14180000000000001</v>
      </c>
      <c r="L7">
        <v>0.25969999999999999</v>
      </c>
      <c r="M7">
        <v>0.3569</v>
      </c>
      <c r="N7">
        <v>0.22009999999999999</v>
      </c>
      <c r="O7">
        <v>0.13769999999999999</v>
      </c>
      <c r="P7">
        <v>1.4280999999999999</v>
      </c>
      <c r="Q7">
        <v>0.48430000000000001</v>
      </c>
      <c r="R7">
        <v>1.0017</v>
      </c>
      <c r="S7">
        <v>9.69E-2</v>
      </c>
      <c r="T7">
        <v>0.125</v>
      </c>
      <c r="U7">
        <v>10.4595</v>
      </c>
      <c r="AX7">
        <f>SUM(Table1_15[[#This Row],[PFBA]:[PFMPA]])</f>
        <v>14.7742</v>
      </c>
      <c r="AY7">
        <v>-1.2041199826559248</v>
      </c>
      <c r="AZ7">
        <v>-0.84832376915295227</v>
      </c>
      <c r="BA7">
        <v>-0.58552805037069733</v>
      </c>
      <c r="BB7">
        <v>-0.44745345204433956</v>
      </c>
      <c r="BC7">
        <v>-0.65737995744665201</v>
      </c>
      <c r="BD7">
        <v>-0.86106605974307637</v>
      </c>
      <c r="BE7">
        <v>0.15475861915417682</v>
      </c>
      <c r="BF7">
        <v>-0.31488553095346061</v>
      </c>
      <c r="BG7">
        <v>7.3767377403320331E-4</v>
      </c>
      <c r="BH7">
        <v>-1.0136762229492347</v>
      </c>
      <c r="BI7">
        <v>-0.90308998699194354</v>
      </c>
      <c r="BJ7">
        <v>1.0195109242605995</v>
      </c>
      <c r="BK7" t="e">
        <v>#NUM!</v>
      </c>
      <c r="BL7" t="e">
        <v>#NUM!</v>
      </c>
      <c r="BM7" t="e">
        <v>#NUM!</v>
      </c>
      <c r="BN7" t="e">
        <v>#NUM!</v>
      </c>
      <c r="BO7" t="e">
        <v>#NUM!</v>
      </c>
      <c r="BP7" t="e">
        <v>#NUM!</v>
      </c>
      <c r="BQ7" t="e">
        <v>#NUM!</v>
      </c>
      <c r="BR7" t="e">
        <v>#NUM!</v>
      </c>
      <c r="BS7" t="e">
        <v>#NUM!</v>
      </c>
      <c r="BT7" t="e">
        <v>#NUM!</v>
      </c>
      <c r="BU7" t="e">
        <v>#NUM!</v>
      </c>
      <c r="BV7" t="e">
        <v>#NUM!</v>
      </c>
      <c r="BW7" t="e">
        <v>#NUM!</v>
      </c>
      <c r="BX7" t="e">
        <v>#NUM!</v>
      </c>
      <c r="BY7" t="e">
        <v>#NUM!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e">
        <v>#NUM!</v>
      </c>
      <c r="CJ7" t="e">
        <v>#NUM!</v>
      </c>
      <c r="CK7" t="e">
        <v>#NUM!</v>
      </c>
      <c r="CL7" t="e">
        <v>#NUM!</v>
      </c>
    </row>
    <row r="8" spans="1:90" x14ac:dyDescent="0.3">
      <c r="A8" s="2" t="s">
        <v>32</v>
      </c>
      <c r="B8" s="2" t="s">
        <v>27</v>
      </c>
      <c r="C8" s="1">
        <v>44117</v>
      </c>
      <c r="D8" t="s">
        <v>22</v>
      </c>
      <c r="E8">
        <v>0.19900000000000001</v>
      </c>
      <c r="F8">
        <v>11300</v>
      </c>
      <c r="G8">
        <v>5.37</v>
      </c>
      <c r="H8">
        <v>73.680000000000007</v>
      </c>
      <c r="I8">
        <v>46.2</v>
      </c>
      <c r="J8">
        <v>6.25E-2</v>
      </c>
      <c r="K8">
        <v>6.25E-2</v>
      </c>
      <c r="L8">
        <v>0.125</v>
      </c>
      <c r="M8">
        <v>6.25E-2</v>
      </c>
      <c r="N8">
        <v>6.25E-2</v>
      </c>
      <c r="O8">
        <v>6.25E-2</v>
      </c>
      <c r="P8">
        <v>0.1923</v>
      </c>
      <c r="Q8">
        <v>0.125</v>
      </c>
      <c r="R8">
        <v>8.9599999999999999E-2</v>
      </c>
      <c r="S8">
        <v>3.3300000000000003E-2</v>
      </c>
      <c r="T8">
        <v>0.125</v>
      </c>
      <c r="U8">
        <v>1.9079999999999999</v>
      </c>
      <c r="AX8">
        <f>SUM(Table1_15[[#This Row],[PFBA]:[PFMPA]])</f>
        <v>2.9106999999999998</v>
      </c>
      <c r="AY8">
        <v>-1.2041199826559248</v>
      </c>
      <c r="AZ8">
        <v>-1.2041199826559248</v>
      </c>
      <c r="BA8">
        <v>-0.90308998699194354</v>
      </c>
      <c r="BB8">
        <v>-1.2041199826559248</v>
      </c>
      <c r="BC8">
        <v>-1.2041199826559248</v>
      </c>
      <c r="BD8">
        <v>-1.2041199826559248</v>
      </c>
      <c r="BE8">
        <v>-0.71602071576152015</v>
      </c>
      <c r="BF8">
        <v>-0.90308998699194354</v>
      </c>
      <c r="BG8">
        <v>-1.0476919903378747</v>
      </c>
      <c r="BH8">
        <v>-1.47755576649368</v>
      </c>
      <c r="BI8">
        <v>-0.90308998699194354</v>
      </c>
      <c r="BJ8">
        <v>0.28057837036807631</v>
      </c>
      <c r="BK8" t="e">
        <v>#NUM!</v>
      </c>
      <c r="BL8" t="e">
        <v>#NUM!</v>
      </c>
      <c r="BM8" t="e">
        <v>#NUM!</v>
      </c>
      <c r="BN8" t="e">
        <v>#NUM!</v>
      </c>
      <c r="BO8" t="e">
        <v>#NUM!</v>
      </c>
      <c r="BP8" t="e">
        <v>#NUM!</v>
      </c>
      <c r="BQ8" t="e">
        <v>#NUM!</v>
      </c>
      <c r="BR8" t="e">
        <v>#NUM!</v>
      </c>
      <c r="BS8" t="e">
        <v>#NUM!</v>
      </c>
      <c r="BT8" t="e">
        <v>#NUM!</v>
      </c>
      <c r="BU8" t="e">
        <v>#NUM!</v>
      </c>
      <c r="BV8" t="e">
        <v>#NUM!</v>
      </c>
      <c r="BW8" t="e">
        <v>#NUM!</v>
      </c>
      <c r="BX8" t="e">
        <v>#NUM!</v>
      </c>
      <c r="BY8" t="e">
        <v>#NUM!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e">
        <v>#NUM!</v>
      </c>
      <c r="CJ8" t="e">
        <v>#NUM!</v>
      </c>
      <c r="CK8" t="e">
        <v>#NUM!</v>
      </c>
      <c r="CL8" t="e">
        <v>#NUM!</v>
      </c>
    </row>
    <row r="9" spans="1:90" x14ac:dyDescent="0.3">
      <c r="A9" s="2" t="s">
        <v>33</v>
      </c>
      <c r="B9" s="2" t="s">
        <v>29</v>
      </c>
      <c r="C9" s="1">
        <v>44117</v>
      </c>
      <c r="D9" t="s">
        <v>25</v>
      </c>
      <c r="E9">
        <v>0.45600000000000002</v>
      </c>
      <c r="F9">
        <v>103000</v>
      </c>
      <c r="G9">
        <v>2.3199999999999998</v>
      </c>
      <c r="H9">
        <v>7.97</v>
      </c>
      <c r="I9">
        <v>74.599999999999994</v>
      </c>
      <c r="J9">
        <v>6.25E-2</v>
      </c>
      <c r="K9">
        <v>0.1411</v>
      </c>
      <c r="L9">
        <v>0.4491</v>
      </c>
      <c r="M9">
        <v>0.38100000000000001</v>
      </c>
      <c r="N9">
        <v>0.22789999999999999</v>
      </c>
      <c r="O9">
        <v>6.25E-2</v>
      </c>
      <c r="P9">
        <v>2.0344000000000002</v>
      </c>
      <c r="Q9">
        <v>0.39900000000000002</v>
      </c>
      <c r="R9">
        <v>2.0825999999999998</v>
      </c>
      <c r="S9">
        <v>0.19040000000000001</v>
      </c>
      <c r="T9">
        <v>0.125</v>
      </c>
      <c r="U9">
        <v>28.068899999999999</v>
      </c>
      <c r="AX9">
        <f>SUM(Table1_15[[#This Row],[PFBA]:[PFMPA]])</f>
        <v>34.224400000000003</v>
      </c>
      <c r="AY9">
        <v>-1.2041199826559248</v>
      </c>
      <c r="AZ9">
        <v>-0.85047298624565215</v>
      </c>
      <c r="BA9">
        <v>-0.34765694493728522</v>
      </c>
      <c r="BB9">
        <v>-0.41907502432438071</v>
      </c>
      <c r="BC9">
        <v>-0.64225567481962442</v>
      </c>
      <c r="BD9">
        <v>-1.2041199826559248</v>
      </c>
      <c r="BE9">
        <v>0.3084363471676525</v>
      </c>
      <c r="BF9">
        <v>-0.39902710431325172</v>
      </c>
      <c r="BG9">
        <v>0.31860586405505559</v>
      </c>
      <c r="BH9">
        <v>-0.7203330559515444</v>
      </c>
      <c r="BI9">
        <v>-0.90308998699194354</v>
      </c>
      <c r="BJ9">
        <v>1.4482253932795834</v>
      </c>
      <c r="BK9" t="e">
        <v>#NUM!</v>
      </c>
      <c r="BL9" t="e">
        <v>#NUM!</v>
      </c>
      <c r="BM9" t="e">
        <v>#NUM!</v>
      </c>
      <c r="BN9" t="e">
        <v>#NUM!</v>
      </c>
      <c r="BO9" t="e">
        <v>#NUM!</v>
      </c>
      <c r="BP9" t="e">
        <v>#NUM!</v>
      </c>
      <c r="BQ9" t="e">
        <v>#NUM!</v>
      </c>
      <c r="BR9" t="e">
        <v>#NUM!</v>
      </c>
      <c r="BS9" t="e">
        <v>#NUM!</v>
      </c>
      <c r="BT9" t="e">
        <v>#NUM!</v>
      </c>
      <c r="BU9" t="e">
        <v>#NUM!</v>
      </c>
      <c r="BV9" t="e">
        <v>#NUM!</v>
      </c>
      <c r="BW9" t="e">
        <v>#NUM!</v>
      </c>
      <c r="BX9" t="e">
        <v>#NUM!</v>
      </c>
      <c r="BY9" t="e">
        <v>#NUM!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e">
        <v>#NUM!</v>
      </c>
      <c r="CJ9" t="e">
        <v>#NUM!</v>
      </c>
      <c r="CK9" t="e">
        <v>#NUM!</v>
      </c>
      <c r="CL9" t="e">
        <v>#NUM!</v>
      </c>
    </row>
    <row r="10" spans="1:90" x14ac:dyDescent="0.3">
      <c r="A10" s="2" t="s">
        <v>34</v>
      </c>
      <c r="B10" s="2" t="s">
        <v>21</v>
      </c>
      <c r="C10" s="1">
        <v>44119</v>
      </c>
      <c r="D10" t="s">
        <v>22</v>
      </c>
      <c r="E10">
        <v>0.67800000000000005</v>
      </c>
      <c r="F10">
        <v>6940</v>
      </c>
      <c r="G10">
        <v>21.37</v>
      </c>
      <c r="H10">
        <v>61.91</v>
      </c>
      <c r="I10">
        <v>28.8</v>
      </c>
      <c r="J10">
        <v>6.25E-2</v>
      </c>
      <c r="K10">
        <v>6.25E-2</v>
      </c>
      <c r="L10">
        <v>0.125</v>
      </c>
      <c r="M10">
        <v>0.12770000000000001</v>
      </c>
      <c r="N10">
        <v>6.25E-2</v>
      </c>
      <c r="O10">
        <v>6.25E-2</v>
      </c>
      <c r="P10">
        <v>0.16009999999999999</v>
      </c>
      <c r="Q10">
        <v>0.125</v>
      </c>
      <c r="R10">
        <v>0.25569999999999998</v>
      </c>
      <c r="T10">
        <v>0.125</v>
      </c>
      <c r="U10">
        <v>1.2222999999999999</v>
      </c>
      <c r="AX10">
        <f>SUM(Table1_15[[#This Row],[PFBA]:[PFMPA]])</f>
        <v>2.3908</v>
      </c>
      <c r="AY10">
        <v>-1.2041199826559248</v>
      </c>
      <c r="AZ10">
        <v>-1.2041199826559248</v>
      </c>
      <c r="BA10">
        <v>-0.90308998699194354</v>
      </c>
      <c r="BB10">
        <v>-0.89380910273658465</v>
      </c>
      <c r="BC10">
        <v>-1.2041199826559248</v>
      </c>
      <c r="BD10">
        <v>-1.2041199826559248</v>
      </c>
      <c r="BE10">
        <v>-0.7956086680807003</v>
      </c>
      <c r="BF10">
        <v>-0.90308998699194354</v>
      </c>
      <c r="BG10">
        <v>-0.59226927197366452</v>
      </c>
      <c r="BH10" t="e">
        <v>#NUM!</v>
      </c>
      <c r="BI10">
        <v>-0.90308998699194354</v>
      </c>
      <c r="BJ10">
        <v>8.7177811761156521E-2</v>
      </c>
      <c r="BK10" t="e">
        <v>#NUM!</v>
      </c>
      <c r="BL10" t="e">
        <v>#NUM!</v>
      </c>
      <c r="BM10" t="e">
        <v>#NUM!</v>
      </c>
      <c r="BN10" t="e">
        <v>#NUM!</v>
      </c>
      <c r="BO10" t="e">
        <v>#NUM!</v>
      </c>
      <c r="BP10" t="e">
        <v>#NUM!</v>
      </c>
      <c r="BQ10" t="e">
        <v>#NUM!</v>
      </c>
      <c r="BR10" t="e">
        <v>#NUM!</v>
      </c>
      <c r="BS10" t="e">
        <v>#NUM!</v>
      </c>
      <c r="BT10" t="e">
        <v>#NUM!</v>
      </c>
      <c r="BU10" t="e">
        <v>#NUM!</v>
      </c>
      <c r="BV10" t="e">
        <v>#NUM!</v>
      </c>
      <c r="BW10" t="e">
        <v>#NUM!</v>
      </c>
      <c r="BX10" t="e">
        <v>#NUM!</v>
      </c>
      <c r="BY10" t="e">
        <v>#NUM!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e">
        <v>#NUM!</v>
      </c>
      <c r="CJ10" t="e">
        <v>#NUM!</v>
      </c>
      <c r="CK10" t="e">
        <v>#NUM!</v>
      </c>
      <c r="CL10" t="e">
        <v>#NUM!</v>
      </c>
    </row>
    <row r="11" spans="1:90" x14ac:dyDescent="0.3">
      <c r="A11" s="2" t="s">
        <v>35</v>
      </c>
      <c r="B11" s="2" t="s">
        <v>27</v>
      </c>
      <c r="C11" s="1">
        <v>44119</v>
      </c>
      <c r="D11" t="s">
        <v>22</v>
      </c>
      <c r="E11">
        <v>0.45600000000000002</v>
      </c>
      <c r="F11">
        <v>11300</v>
      </c>
      <c r="G11">
        <v>5.37</v>
      </c>
      <c r="H11">
        <v>73.680000000000007</v>
      </c>
      <c r="I11">
        <v>46.2</v>
      </c>
      <c r="J11">
        <v>6.25E-2</v>
      </c>
      <c r="K11">
        <v>6.25E-2</v>
      </c>
      <c r="M11">
        <v>6.25E-2</v>
      </c>
      <c r="N11">
        <v>6.25E-2</v>
      </c>
      <c r="O11">
        <v>6.25E-2</v>
      </c>
      <c r="P11">
        <v>0.24060000000000001</v>
      </c>
      <c r="Q11">
        <v>0.125</v>
      </c>
      <c r="R11">
        <v>0.1227</v>
      </c>
      <c r="S11">
        <v>8.0399999999999999E-2</v>
      </c>
      <c r="T11">
        <v>0.125</v>
      </c>
      <c r="U11">
        <v>3.2744</v>
      </c>
      <c r="AX11">
        <f>SUM(Table1_15[[#This Row],[PFBA]:[PFMPA]])</f>
        <v>4.2805999999999997</v>
      </c>
      <c r="AY11">
        <v>-1.2041199826559248</v>
      </c>
      <c r="AZ11">
        <v>-1.2041199826559248</v>
      </c>
      <c r="BA11" t="e">
        <v>#NUM!</v>
      </c>
      <c r="BB11">
        <v>-1.2041199826559248</v>
      </c>
      <c r="BC11">
        <v>-1.2041199826559248</v>
      </c>
      <c r="BD11">
        <v>-1.2041199826559248</v>
      </c>
      <c r="BE11">
        <v>-0.61870437699617409</v>
      </c>
      <c r="BF11">
        <v>-0.90308998699194354</v>
      </c>
      <c r="BG11">
        <v>-0.91115543727299575</v>
      </c>
      <c r="BH11">
        <v>-1.0947439512515487</v>
      </c>
      <c r="BI11">
        <v>-0.90308998699194354</v>
      </c>
      <c r="BJ11">
        <v>0.51513173163721315</v>
      </c>
      <c r="BK11" t="e">
        <v>#NUM!</v>
      </c>
      <c r="BL11" t="e">
        <v>#NUM!</v>
      </c>
      <c r="BM11" t="e">
        <v>#NUM!</v>
      </c>
      <c r="BN11" t="e">
        <v>#NUM!</v>
      </c>
      <c r="BO11" t="e">
        <v>#NUM!</v>
      </c>
      <c r="BP11" t="e">
        <v>#NUM!</v>
      </c>
      <c r="BQ11" t="e">
        <v>#NUM!</v>
      </c>
      <c r="BR11" t="e">
        <v>#NUM!</v>
      </c>
      <c r="BS11" t="e">
        <v>#NUM!</v>
      </c>
      <c r="BT11" t="e">
        <v>#NUM!</v>
      </c>
      <c r="BU11" t="e">
        <v>#NUM!</v>
      </c>
      <c r="BV11" t="e">
        <v>#NUM!</v>
      </c>
      <c r="BW11" t="e">
        <v>#NUM!</v>
      </c>
      <c r="BX11" t="e">
        <v>#NUM!</v>
      </c>
      <c r="BY11" t="e">
        <v>#NUM!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e">
        <v>#NUM!</v>
      </c>
      <c r="CJ11" t="e">
        <v>#NUM!</v>
      </c>
      <c r="CK11" t="e">
        <v>#NUM!</v>
      </c>
      <c r="CL11" t="e">
        <v>#NUM!</v>
      </c>
    </row>
    <row r="12" spans="1:90" x14ac:dyDescent="0.3">
      <c r="A12" s="2" t="s">
        <v>36</v>
      </c>
      <c r="B12" s="2" t="s">
        <v>29</v>
      </c>
      <c r="C12" s="1">
        <v>44119</v>
      </c>
      <c r="D12" t="s">
        <v>25</v>
      </c>
      <c r="E12">
        <v>0.67800000000000005</v>
      </c>
      <c r="F12">
        <v>103000</v>
      </c>
      <c r="G12">
        <v>2.3199999999999998</v>
      </c>
      <c r="H12">
        <v>7.97</v>
      </c>
      <c r="I12">
        <v>74.599999999999994</v>
      </c>
      <c r="J12">
        <v>6.25E-2</v>
      </c>
      <c r="L12">
        <v>0.36649999999999999</v>
      </c>
      <c r="M12">
        <v>0.35949999999999999</v>
      </c>
      <c r="N12">
        <v>0.33200000000000002</v>
      </c>
      <c r="O12">
        <v>0.21940000000000001</v>
      </c>
      <c r="P12">
        <v>3.5425</v>
      </c>
      <c r="Q12">
        <v>0.42230000000000001</v>
      </c>
      <c r="R12">
        <v>1.3705000000000001</v>
      </c>
      <c r="S12">
        <v>0.32600000000000001</v>
      </c>
      <c r="T12">
        <v>0.1308</v>
      </c>
      <c r="U12">
        <v>50.924999999999997</v>
      </c>
      <c r="AX12">
        <f>SUM(Table1_15[[#This Row],[PFBA]:[PFMPA]])</f>
        <v>58.056999999999995</v>
      </c>
      <c r="AY12">
        <v>-1.2041199826559248</v>
      </c>
      <c r="AZ12" t="e">
        <v>#NUM!</v>
      </c>
      <c r="BA12">
        <v>-0.43592602102285327</v>
      </c>
      <c r="BB12">
        <v>-0.44430110528109862</v>
      </c>
      <c r="BC12">
        <v>-0.4788619162959637</v>
      </c>
      <c r="BD12">
        <v>-0.6587633767613077</v>
      </c>
      <c r="BE12">
        <v>0.54930985891949802</v>
      </c>
      <c r="BF12">
        <v>-0.37437891857509231</v>
      </c>
      <c r="BG12">
        <v>0.13687903987551719</v>
      </c>
      <c r="BH12">
        <v>-0.48678239993206096</v>
      </c>
      <c r="BI12">
        <v>-0.88339225601175153</v>
      </c>
      <c r="BJ12">
        <v>1.7069310376722018</v>
      </c>
      <c r="BK12" t="e">
        <v>#NUM!</v>
      </c>
      <c r="BL12" t="e">
        <v>#NUM!</v>
      </c>
      <c r="BM12" t="e">
        <v>#NUM!</v>
      </c>
      <c r="BN12" t="e">
        <v>#NUM!</v>
      </c>
      <c r="BO12" t="e">
        <v>#NUM!</v>
      </c>
      <c r="BP12" t="e">
        <v>#NUM!</v>
      </c>
      <c r="BQ12" t="e">
        <v>#NUM!</v>
      </c>
      <c r="BR12" t="e">
        <v>#NUM!</v>
      </c>
      <c r="BS12" t="e">
        <v>#NUM!</v>
      </c>
      <c r="BT12" t="e">
        <v>#NUM!</v>
      </c>
      <c r="BU12" t="e">
        <v>#NUM!</v>
      </c>
      <c r="BV12" t="e">
        <v>#NUM!</v>
      </c>
      <c r="BW12" t="e">
        <v>#NUM!</v>
      </c>
      <c r="BX12" t="e">
        <v>#NUM!</v>
      </c>
      <c r="BY12" t="e">
        <v>#NUM!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e">
        <v>#NUM!</v>
      </c>
      <c r="CJ12" t="e">
        <v>#NUM!</v>
      </c>
      <c r="CK12" t="e">
        <v>#NUM!</v>
      </c>
      <c r="CL12" t="e">
        <v>#NUM!</v>
      </c>
    </row>
    <row r="13" spans="1:90" x14ac:dyDescent="0.3">
      <c r="A13" s="2" t="s">
        <v>37</v>
      </c>
      <c r="B13" s="2" t="s">
        <v>21</v>
      </c>
      <c r="C13" s="1">
        <v>44124</v>
      </c>
      <c r="D13" t="s">
        <v>22</v>
      </c>
      <c r="E13">
        <v>0.64800000000000002</v>
      </c>
      <c r="F13">
        <v>6940</v>
      </c>
      <c r="G13">
        <v>21.37</v>
      </c>
      <c r="H13">
        <v>61.91</v>
      </c>
      <c r="I13">
        <v>28.8</v>
      </c>
      <c r="J13">
        <v>6.25E-2</v>
      </c>
      <c r="K13">
        <v>6.25E-2</v>
      </c>
      <c r="L13">
        <v>0.125</v>
      </c>
      <c r="M13">
        <v>6.25E-2</v>
      </c>
      <c r="N13">
        <v>6.25E-2</v>
      </c>
      <c r="O13">
        <v>6.25E-2</v>
      </c>
      <c r="P13">
        <v>0.29920000000000002</v>
      </c>
      <c r="Q13">
        <v>0.125</v>
      </c>
      <c r="R13">
        <v>6.9199999999999998E-2</v>
      </c>
      <c r="S13">
        <v>5.0200000000000002E-2</v>
      </c>
      <c r="T13">
        <v>0.125</v>
      </c>
      <c r="U13">
        <v>5.9831000000000003</v>
      </c>
      <c r="AX13">
        <f>SUM(Table1_15[[#This Row],[PFBA]:[PFMPA]])</f>
        <v>7.0891999999999999</v>
      </c>
      <c r="AY13">
        <v>-1.2041199826559248</v>
      </c>
      <c r="AZ13">
        <v>-1.2041199826559248</v>
      </c>
      <c r="BA13">
        <v>-0.90308998699194354</v>
      </c>
      <c r="BB13">
        <v>-1.2041199826559248</v>
      </c>
      <c r="BC13">
        <v>-1.2041199826559248</v>
      </c>
      <c r="BD13">
        <v>-1.2041199826559248</v>
      </c>
      <c r="BE13">
        <v>-0.52403841080757618</v>
      </c>
      <c r="BF13">
        <v>-0.90308998699194354</v>
      </c>
      <c r="BG13">
        <v>-1.1598939055432422</v>
      </c>
      <c r="BH13">
        <v>-1.2992962828549806</v>
      </c>
      <c r="BI13">
        <v>-0.90308998699194354</v>
      </c>
      <c r="BJ13">
        <v>0.77692626158937284</v>
      </c>
      <c r="BK13" t="e">
        <v>#NUM!</v>
      </c>
      <c r="BL13" t="e">
        <v>#NUM!</v>
      </c>
      <c r="BM13" t="e">
        <v>#NUM!</v>
      </c>
      <c r="BN13" t="e">
        <v>#NUM!</v>
      </c>
      <c r="BO13" t="e">
        <v>#NUM!</v>
      </c>
      <c r="BP13" t="e">
        <v>#NUM!</v>
      </c>
      <c r="BQ13" t="e">
        <v>#NUM!</v>
      </c>
      <c r="BR13" t="e">
        <v>#NUM!</v>
      </c>
      <c r="BS13" t="e">
        <v>#NUM!</v>
      </c>
      <c r="BT13" t="e">
        <v>#NUM!</v>
      </c>
      <c r="BU13" t="e">
        <v>#NUM!</v>
      </c>
      <c r="BV13" t="e">
        <v>#NUM!</v>
      </c>
      <c r="BW13" t="e">
        <v>#NUM!</v>
      </c>
      <c r="BX13" t="e">
        <v>#NUM!</v>
      </c>
      <c r="BY13" t="e">
        <v>#NUM!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e">
        <v>#NUM!</v>
      </c>
      <c r="CJ13" t="e">
        <v>#NUM!</v>
      </c>
      <c r="CK13" t="e">
        <v>#NUM!</v>
      </c>
      <c r="CL13" t="e">
        <v>#NUM!</v>
      </c>
    </row>
    <row r="14" spans="1:90" x14ac:dyDescent="0.3">
      <c r="A14" s="2" t="s">
        <v>38</v>
      </c>
      <c r="B14" s="2" t="s">
        <v>24</v>
      </c>
      <c r="C14" s="1">
        <v>44124</v>
      </c>
      <c r="D14" t="s">
        <v>25</v>
      </c>
      <c r="E14">
        <v>0.19900000000000001</v>
      </c>
      <c r="F14">
        <v>25800</v>
      </c>
      <c r="G14">
        <v>9.4499999999999993</v>
      </c>
      <c r="H14">
        <v>10.48</v>
      </c>
      <c r="I14">
        <v>74.8</v>
      </c>
      <c r="J14">
        <v>6.25E-2</v>
      </c>
      <c r="K14">
        <v>0.1303</v>
      </c>
      <c r="L14">
        <v>0.125</v>
      </c>
      <c r="M14">
        <v>0.25280000000000002</v>
      </c>
      <c r="N14">
        <v>0.17380000000000001</v>
      </c>
      <c r="O14">
        <v>0.13009999999999999</v>
      </c>
      <c r="P14">
        <v>1.008</v>
      </c>
      <c r="Q14">
        <v>0.37130000000000002</v>
      </c>
      <c r="R14">
        <v>0.56799999999999995</v>
      </c>
      <c r="S14">
        <v>9.64E-2</v>
      </c>
      <c r="T14">
        <v>0.125</v>
      </c>
      <c r="U14">
        <v>17.177499999999998</v>
      </c>
      <c r="AX14">
        <f>SUM(Table1_15[[#This Row],[PFBA]:[PFMPA]])</f>
        <v>20.220699999999997</v>
      </c>
      <c r="AY14">
        <v>-1.2041199826559248</v>
      </c>
      <c r="AZ14">
        <v>-0.88505558428741526</v>
      </c>
      <c r="BA14">
        <v>-0.90308998699194354</v>
      </c>
      <c r="BB14">
        <v>-0.59722293038965257</v>
      </c>
      <c r="BC14">
        <v>-0.75995022788735234</v>
      </c>
      <c r="BD14">
        <v>-0.88572270343841375</v>
      </c>
      <c r="BE14">
        <v>3.4605321095064891E-3</v>
      </c>
      <c r="BF14">
        <v>-0.43027505077384109</v>
      </c>
      <c r="BG14">
        <v>-0.24565166428898116</v>
      </c>
      <c r="BH14">
        <v>-1.0159229660971691</v>
      </c>
      <c r="BI14">
        <v>-0.90308998699194354</v>
      </c>
      <c r="BJ14">
        <v>1.2349599572129459</v>
      </c>
      <c r="BK14" t="e">
        <v>#NUM!</v>
      </c>
      <c r="BL14" t="e">
        <v>#NUM!</v>
      </c>
      <c r="BM14" t="e">
        <v>#NUM!</v>
      </c>
      <c r="BN14" t="e">
        <v>#NUM!</v>
      </c>
      <c r="BO14" t="e">
        <v>#NUM!</v>
      </c>
      <c r="BP14" t="e">
        <v>#NUM!</v>
      </c>
      <c r="BQ14" t="e">
        <v>#NUM!</v>
      </c>
      <c r="BR14" t="e">
        <v>#NUM!</v>
      </c>
      <c r="BS14" t="e">
        <v>#NUM!</v>
      </c>
      <c r="BT14" t="e">
        <v>#NUM!</v>
      </c>
      <c r="BU14" t="e">
        <v>#NUM!</v>
      </c>
      <c r="BV14" t="e">
        <v>#NUM!</v>
      </c>
      <c r="BW14" t="e">
        <v>#NUM!</v>
      </c>
      <c r="BX14" t="e">
        <v>#NUM!</v>
      </c>
      <c r="BY14" t="e">
        <v>#NUM!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e">
        <v>#NUM!</v>
      </c>
      <c r="CJ14" t="e">
        <v>#NUM!</v>
      </c>
      <c r="CK14" t="e">
        <v>#NUM!</v>
      </c>
      <c r="CL14" t="e">
        <v>#NUM!</v>
      </c>
    </row>
    <row r="15" spans="1:90" x14ac:dyDescent="0.3">
      <c r="A15" s="2" t="s">
        <v>39</v>
      </c>
      <c r="B15" s="2" t="s">
        <v>27</v>
      </c>
      <c r="C15" s="1">
        <v>44124</v>
      </c>
      <c r="D15" t="s">
        <v>22</v>
      </c>
      <c r="E15">
        <v>0.45600000000000002</v>
      </c>
      <c r="F15">
        <v>11300</v>
      </c>
      <c r="G15">
        <v>5.37</v>
      </c>
      <c r="H15">
        <v>73.680000000000007</v>
      </c>
      <c r="I15">
        <v>46.2</v>
      </c>
      <c r="J15">
        <v>6.25E-2</v>
      </c>
      <c r="K15">
        <v>6.25E-2</v>
      </c>
      <c r="L15">
        <v>0.125</v>
      </c>
      <c r="M15">
        <v>6.25E-2</v>
      </c>
      <c r="N15">
        <v>6.25E-2</v>
      </c>
      <c r="O15">
        <v>6.25E-2</v>
      </c>
      <c r="P15">
        <v>0.24929999999999999</v>
      </c>
      <c r="Q15">
        <v>0.125</v>
      </c>
      <c r="R15">
        <v>8.9800000000000005E-2</v>
      </c>
      <c r="S15">
        <v>4.36E-2</v>
      </c>
      <c r="T15">
        <v>0.125</v>
      </c>
      <c r="U15">
        <v>3.242</v>
      </c>
      <c r="AX15">
        <f>SUM(Table1_15[[#This Row],[PFBA]:[PFMPA]])</f>
        <v>4.3121999999999998</v>
      </c>
      <c r="AY15">
        <v>-1.2041199826559248</v>
      </c>
      <c r="AZ15">
        <v>-1.2041199826559248</v>
      </c>
      <c r="BA15">
        <v>-0.90308998699194354</v>
      </c>
      <c r="BB15">
        <v>-1.2041199826559248</v>
      </c>
      <c r="BC15">
        <v>-1.2041199826559248</v>
      </c>
      <c r="BD15">
        <v>-1.2041199826559248</v>
      </c>
      <c r="BE15">
        <v>-0.6032777214962266</v>
      </c>
      <c r="BF15">
        <v>-0.90308998699194354</v>
      </c>
      <c r="BG15">
        <v>-1.0467236633326955</v>
      </c>
      <c r="BH15">
        <v>-1.3605135107314139</v>
      </c>
      <c r="BI15">
        <v>-0.90308998699194354</v>
      </c>
      <c r="BJ15">
        <v>0.51081301051249617</v>
      </c>
      <c r="BK15" t="e">
        <v>#NUM!</v>
      </c>
      <c r="BL15" t="e">
        <v>#NUM!</v>
      </c>
      <c r="BM15" t="e">
        <v>#NUM!</v>
      </c>
      <c r="BN15" t="e">
        <v>#NUM!</v>
      </c>
      <c r="BO15" t="e">
        <v>#NUM!</v>
      </c>
      <c r="BP15" t="e">
        <v>#NUM!</v>
      </c>
      <c r="BQ15" t="e">
        <v>#NUM!</v>
      </c>
      <c r="BR15" t="e">
        <v>#NUM!</v>
      </c>
      <c r="BS15" t="e">
        <v>#NUM!</v>
      </c>
      <c r="BT15" t="e">
        <v>#NUM!</v>
      </c>
      <c r="BU15" t="e">
        <v>#NUM!</v>
      </c>
      <c r="BV15" t="e">
        <v>#NUM!</v>
      </c>
      <c r="BW15" t="e">
        <v>#NUM!</v>
      </c>
      <c r="BX15" t="e">
        <v>#NUM!</v>
      </c>
      <c r="BY15" t="e">
        <v>#NUM!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e">
        <v>#NUM!</v>
      </c>
      <c r="CJ15" t="e">
        <v>#NUM!</v>
      </c>
      <c r="CK15" t="e">
        <v>#NUM!</v>
      </c>
      <c r="CL15" t="e">
        <v>#NUM!</v>
      </c>
    </row>
    <row r="16" spans="1:90" x14ac:dyDescent="0.3">
      <c r="A16" s="2" t="s">
        <v>40</v>
      </c>
      <c r="B16" s="2" t="s">
        <v>29</v>
      </c>
      <c r="C16" s="1">
        <v>44124</v>
      </c>
      <c r="D16" t="s">
        <v>25</v>
      </c>
      <c r="E16">
        <v>0.67800000000000005</v>
      </c>
      <c r="F16">
        <v>103000</v>
      </c>
      <c r="G16">
        <v>2.3199999999999998</v>
      </c>
      <c r="H16">
        <v>7.97</v>
      </c>
      <c r="I16">
        <v>74.599999999999994</v>
      </c>
      <c r="J16">
        <v>6.25E-2</v>
      </c>
      <c r="K16">
        <v>6.25E-2</v>
      </c>
      <c r="L16">
        <v>0.29670000000000002</v>
      </c>
      <c r="M16">
        <v>0.30840000000000001</v>
      </c>
      <c r="N16">
        <v>0.28999999999999998</v>
      </c>
      <c r="O16">
        <v>0.129</v>
      </c>
      <c r="P16">
        <v>1.6617999999999999</v>
      </c>
      <c r="Q16">
        <v>0.42609999999999998</v>
      </c>
      <c r="R16">
        <v>0.82540000000000002</v>
      </c>
      <c r="S16">
        <v>0.38840000000000002</v>
      </c>
      <c r="T16">
        <v>0.125</v>
      </c>
      <c r="U16">
        <v>11.720800000000001</v>
      </c>
      <c r="AX16">
        <f>SUM(Table1_15[[#This Row],[PFBA]:[PFMPA]])</f>
        <v>16.296600000000002</v>
      </c>
      <c r="AY16">
        <v>-1.2041199826559248</v>
      </c>
      <c r="AZ16">
        <v>-1.2041199826559248</v>
      </c>
      <c r="BA16">
        <v>-0.52768245368315814</v>
      </c>
      <c r="BB16">
        <v>-0.51088563062108061</v>
      </c>
      <c r="BC16">
        <v>-0.53760200210104392</v>
      </c>
      <c r="BD16">
        <v>-0.88941028970075098</v>
      </c>
      <c r="BE16">
        <v>0.22057875463282922</v>
      </c>
      <c r="BF16">
        <v>-0.37048846579954681</v>
      </c>
      <c r="BG16">
        <v>-8.3335535458602825E-2</v>
      </c>
      <c r="BH16">
        <v>-0.41072077876403273</v>
      </c>
      <c r="BI16">
        <v>-0.90308998699194354</v>
      </c>
      <c r="BJ16">
        <v>1.0689572553448869</v>
      </c>
      <c r="BK16" t="e">
        <v>#NUM!</v>
      </c>
      <c r="BL16" t="e">
        <v>#NUM!</v>
      </c>
      <c r="BM16" t="e">
        <v>#NUM!</v>
      </c>
      <c r="BN16" t="e">
        <v>#NUM!</v>
      </c>
      <c r="BO16" t="e">
        <v>#NUM!</v>
      </c>
      <c r="BP16" t="e">
        <v>#NUM!</v>
      </c>
      <c r="BQ16" t="e">
        <v>#NUM!</v>
      </c>
      <c r="BR16" t="e">
        <v>#NUM!</v>
      </c>
      <c r="BS16" t="e">
        <v>#NUM!</v>
      </c>
      <c r="BT16" t="e">
        <v>#NUM!</v>
      </c>
      <c r="BU16" t="e">
        <v>#NUM!</v>
      </c>
      <c r="BV16" t="e">
        <v>#NUM!</v>
      </c>
      <c r="BW16" t="e">
        <v>#NUM!</v>
      </c>
      <c r="BX16" t="e">
        <v>#NUM!</v>
      </c>
      <c r="BY16" t="e">
        <v>#NUM!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e">
        <v>#NUM!</v>
      </c>
      <c r="CJ16" t="e">
        <v>#NUM!</v>
      </c>
      <c r="CK16" t="e">
        <v>#NUM!</v>
      </c>
      <c r="CL16" t="e">
        <v>#NUM!</v>
      </c>
    </row>
    <row r="17" spans="1:90" x14ac:dyDescent="0.3">
      <c r="A17" s="2" t="s">
        <v>41</v>
      </c>
      <c r="B17" s="2" t="s">
        <v>21</v>
      </c>
      <c r="C17" s="1">
        <v>44127</v>
      </c>
      <c r="D17" t="s">
        <v>22</v>
      </c>
      <c r="E17">
        <v>0.64800000000000002</v>
      </c>
      <c r="F17">
        <v>6940</v>
      </c>
      <c r="G17">
        <v>21.37</v>
      </c>
      <c r="H17">
        <v>61.91</v>
      </c>
      <c r="I17">
        <v>28.8</v>
      </c>
      <c r="J17">
        <v>6.25E-2</v>
      </c>
      <c r="K17">
        <v>6.25E-2</v>
      </c>
      <c r="L17">
        <v>0.125</v>
      </c>
      <c r="M17">
        <v>6.25E-2</v>
      </c>
      <c r="N17">
        <v>6.25E-2</v>
      </c>
      <c r="O17">
        <v>6.25E-2</v>
      </c>
      <c r="P17">
        <v>0.1792</v>
      </c>
      <c r="Q17">
        <v>0.125</v>
      </c>
      <c r="R17">
        <v>8.8400000000000006E-2</v>
      </c>
      <c r="S17">
        <v>3.9399999999999998E-2</v>
      </c>
      <c r="T17">
        <v>0.125</v>
      </c>
      <c r="U17">
        <v>1.2278</v>
      </c>
      <c r="AX17">
        <f>SUM(Table1_15[[#This Row],[PFBA]:[PFMPA]])</f>
        <v>2.2223000000000002</v>
      </c>
      <c r="AY17">
        <v>-1.2041199826559248</v>
      </c>
      <c r="AZ17">
        <v>-1.2041199826559248</v>
      </c>
      <c r="BA17">
        <v>-0.90308998699194354</v>
      </c>
      <c r="BB17">
        <v>-1.2041199826559248</v>
      </c>
      <c r="BC17">
        <v>-1.2041199826559248</v>
      </c>
      <c r="BD17">
        <v>-1.2041199826559248</v>
      </c>
      <c r="BE17">
        <v>-0.7466619946738936</v>
      </c>
      <c r="BF17">
        <v>-0.90308998699194354</v>
      </c>
      <c r="BG17">
        <v>-1.0535477349869269</v>
      </c>
      <c r="BH17">
        <v>-1.4045037781744258</v>
      </c>
      <c r="BI17">
        <v>-0.90308998699194354</v>
      </c>
      <c r="BJ17">
        <v>8.9127629044278539E-2</v>
      </c>
      <c r="BK17" t="e">
        <v>#NUM!</v>
      </c>
      <c r="BL17" t="e">
        <v>#NUM!</v>
      </c>
      <c r="BM17" t="e">
        <v>#NUM!</v>
      </c>
      <c r="BN17" t="e">
        <v>#NUM!</v>
      </c>
      <c r="BO17" t="e">
        <v>#NUM!</v>
      </c>
      <c r="BP17" t="e">
        <v>#NUM!</v>
      </c>
      <c r="BQ17" t="e">
        <v>#NUM!</v>
      </c>
      <c r="BR17" t="e">
        <v>#NUM!</v>
      </c>
      <c r="BS17" t="e">
        <v>#NUM!</v>
      </c>
      <c r="BT17" t="e">
        <v>#NUM!</v>
      </c>
      <c r="BU17" t="e">
        <v>#NUM!</v>
      </c>
      <c r="BV17" t="e">
        <v>#NUM!</v>
      </c>
      <c r="BW17" t="e">
        <v>#NUM!</v>
      </c>
      <c r="BX17" t="e">
        <v>#NUM!</v>
      </c>
      <c r="BY17" t="e">
        <v>#NUM!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e">
        <v>#NUM!</v>
      </c>
      <c r="CJ17" t="e">
        <v>#NUM!</v>
      </c>
      <c r="CK17" t="e">
        <v>#NUM!</v>
      </c>
      <c r="CL17" t="e">
        <v>#NUM!</v>
      </c>
    </row>
    <row r="18" spans="1:90" x14ac:dyDescent="0.3">
      <c r="A18" s="2" t="s">
        <v>42</v>
      </c>
      <c r="B18" s="2" t="s">
        <v>24</v>
      </c>
      <c r="C18" s="1">
        <v>44127</v>
      </c>
      <c r="D18" t="s">
        <v>25</v>
      </c>
      <c r="E18">
        <v>0.19900000000000001</v>
      </c>
      <c r="F18">
        <v>25800</v>
      </c>
      <c r="G18">
        <v>9.4499999999999993</v>
      </c>
      <c r="H18">
        <v>10.48</v>
      </c>
      <c r="I18">
        <v>74.8</v>
      </c>
      <c r="J18">
        <v>6.25E-2</v>
      </c>
      <c r="K18">
        <v>0.1323</v>
      </c>
      <c r="L18">
        <v>0.27929999999999999</v>
      </c>
      <c r="M18">
        <v>0.33189999999999997</v>
      </c>
      <c r="N18">
        <v>0.26779999999999998</v>
      </c>
      <c r="O18">
        <v>0.1431</v>
      </c>
      <c r="P18">
        <v>1.0609999999999999</v>
      </c>
      <c r="Q18">
        <v>0.41489999999999999</v>
      </c>
      <c r="R18">
        <v>0.8034</v>
      </c>
      <c r="S18">
        <v>0.14879999999999999</v>
      </c>
      <c r="T18">
        <v>0.125</v>
      </c>
      <c r="U18">
        <v>13.0288</v>
      </c>
      <c r="AX18">
        <f>SUM(Table1_15[[#This Row],[PFBA]:[PFMPA]])</f>
        <v>16.7988</v>
      </c>
      <c r="AY18">
        <v>-1.2041199826559248</v>
      </c>
      <c r="AZ18">
        <v>-0.87844015581249901</v>
      </c>
      <c r="BA18">
        <v>-0.55392906429899491</v>
      </c>
      <c r="BB18">
        <v>-0.4789927475913961</v>
      </c>
      <c r="BC18">
        <v>-0.5721894273240099</v>
      </c>
      <c r="BD18">
        <v>-0.84436036624022359</v>
      </c>
      <c r="BE18">
        <v>2.5715383901340642E-2</v>
      </c>
      <c r="BF18">
        <v>-0.38205656517102698</v>
      </c>
      <c r="BG18">
        <v>-9.5068172604347398E-2</v>
      </c>
      <c r="BH18">
        <v>-0.82739706879014019</v>
      </c>
      <c r="BI18">
        <v>-0.90308998699194354</v>
      </c>
      <c r="BJ18">
        <v>1.1149044174487619</v>
      </c>
      <c r="BK18" t="e">
        <v>#NUM!</v>
      </c>
      <c r="BL18" t="e">
        <v>#NUM!</v>
      </c>
      <c r="BM18" t="e">
        <v>#NUM!</v>
      </c>
      <c r="BN18" t="e">
        <v>#NUM!</v>
      </c>
      <c r="BO18" t="e">
        <v>#NUM!</v>
      </c>
      <c r="BP18" t="e">
        <v>#NUM!</v>
      </c>
      <c r="BQ18" t="e">
        <v>#NUM!</v>
      </c>
      <c r="BR18" t="e">
        <v>#NUM!</v>
      </c>
      <c r="BS18" t="e">
        <v>#NUM!</v>
      </c>
      <c r="BT18" t="e">
        <v>#NUM!</v>
      </c>
      <c r="BU18" t="e">
        <v>#NUM!</v>
      </c>
      <c r="BV18" t="e">
        <v>#NUM!</v>
      </c>
      <c r="BW18" t="e">
        <v>#NUM!</v>
      </c>
      <c r="BX18" t="e">
        <v>#NUM!</v>
      </c>
      <c r="BY18" t="e">
        <v>#NUM!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e">
        <v>#NUM!</v>
      </c>
      <c r="CJ18" t="e">
        <v>#NUM!</v>
      </c>
      <c r="CK18" t="e">
        <v>#NUM!</v>
      </c>
      <c r="CL18" t="e">
        <v>#NUM!</v>
      </c>
    </row>
    <row r="19" spans="1:90" x14ac:dyDescent="0.3">
      <c r="A19" s="2" t="s">
        <v>43</v>
      </c>
      <c r="B19" s="2" t="s">
        <v>27</v>
      </c>
      <c r="C19" s="1">
        <v>44127</v>
      </c>
      <c r="D19" t="s">
        <v>22</v>
      </c>
      <c r="E19">
        <v>0.67800000000000005</v>
      </c>
      <c r="F19">
        <v>11300</v>
      </c>
      <c r="G19">
        <v>5.37</v>
      </c>
      <c r="H19">
        <v>73.680000000000007</v>
      </c>
      <c r="I19">
        <v>46.2</v>
      </c>
      <c r="J19">
        <v>6.25E-2</v>
      </c>
      <c r="K19">
        <v>6.25E-2</v>
      </c>
      <c r="L19">
        <v>0.125</v>
      </c>
      <c r="M19">
        <v>6.25E-2</v>
      </c>
      <c r="N19">
        <v>6.25E-2</v>
      </c>
      <c r="O19">
        <v>6.25E-2</v>
      </c>
      <c r="P19">
        <v>0.22800000000000001</v>
      </c>
      <c r="Q19">
        <v>0.125</v>
      </c>
      <c r="R19">
        <v>8.6099999999999996E-2</v>
      </c>
      <c r="S19">
        <v>3.7499999999999999E-2</v>
      </c>
      <c r="T19">
        <v>0.125</v>
      </c>
      <c r="U19">
        <v>2.4598</v>
      </c>
      <c r="AX19">
        <f>SUM(Table1_15[[#This Row],[PFBA]:[PFMPA]])</f>
        <v>3.4988999999999999</v>
      </c>
      <c r="AY19">
        <v>-1.2041199826559248</v>
      </c>
      <c r="AZ19">
        <v>-1.2041199826559248</v>
      </c>
      <c r="BA19">
        <v>-0.90308998699194354</v>
      </c>
      <c r="BB19">
        <v>-1.2041199826559248</v>
      </c>
      <c r="BC19">
        <v>-1.2041199826559248</v>
      </c>
      <c r="BD19">
        <v>-1.2041199826559248</v>
      </c>
      <c r="BE19">
        <v>-0.64206515299954614</v>
      </c>
      <c r="BF19">
        <v>-0.90308998699194354</v>
      </c>
      <c r="BG19">
        <v>-1.0649968485463452</v>
      </c>
      <c r="BH19">
        <v>-1.4259687322722812</v>
      </c>
      <c r="BI19">
        <v>-0.90308998699194354</v>
      </c>
      <c r="BJ19">
        <v>0.39089979717353301</v>
      </c>
      <c r="BK19" t="e">
        <v>#NUM!</v>
      </c>
      <c r="BL19" t="e">
        <v>#NUM!</v>
      </c>
      <c r="BM19" t="e">
        <v>#NUM!</v>
      </c>
      <c r="BN19" t="e">
        <v>#NUM!</v>
      </c>
      <c r="BO19" t="e">
        <v>#NUM!</v>
      </c>
      <c r="BP19" t="e">
        <v>#NUM!</v>
      </c>
      <c r="BQ19" t="e">
        <v>#NUM!</v>
      </c>
      <c r="BR19" t="e">
        <v>#NUM!</v>
      </c>
      <c r="BS19" t="e">
        <v>#NUM!</v>
      </c>
      <c r="BT19" t="e">
        <v>#NUM!</v>
      </c>
      <c r="BU19" t="e">
        <v>#NUM!</v>
      </c>
      <c r="BV19" t="e">
        <v>#NUM!</v>
      </c>
      <c r="BW19" t="e">
        <v>#NUM!</v>
      </c>
      <c r="BX19" t="e">
        <v>#NUM!</v>
      </c>
      <c r="BY19" t="e">
        <v>#NUM!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e">
        <v>#NUM!</v>
      </c>
      <c r="CJ19" t="e">
        <v>#NUM!</v>
      </c>
      <c r="CK19" t="e">
        <v>#NUM!</v>
      </c>
      <c r="CL19" t="e">
        <v>#NUM!</v>
      </c>
    </row>
    <row r="20" spans="1:90" x14ac:dyDescent="0.3">
      <c r="A20" s="2" t="s">
        <v>44</v>
      </c>
      <c r="B20" s="2" t="s">
        <v>21</v>
      </c>
      <c r="C20" s="1">
        <v>44131</v>
      </c>
      <c r="D20" t="s">
        <v>22</v>
      </c>
      <c r="E20">
        <v>0.19900000000000001</v>
      </c>
      <c r="F20">
        <v>6940</v>
      </c>
      <c r="G20">
        <v>21.37</v>
      </c>
      <c r="H20">
        <v>61.91</v>
      </c>
      <c r="I20">
        <v>28.8</v>
      </c>
      <c r="J20">
        <v>6.25E-2</v>
      </c>
      <c r="K20">
        <v>6.25E-2</v>
      </c>
      <c r="L20">
        <v>0.125</v>
      </c>
      <c r="M20">
        <v>0.14510000000000001</v>
      </c>
      <c r="N20">
        <v>6.25E-2</v>
      </c>
      <c r="O20">
        <v>6.25E-2</v>
      </c>
      <c r="P20">
        <v>0.17469999999999999</v>
      </c>
      <c r="Q20">
        <v>0.125</v>
      </c>
      <c r="R20">
        <v>0.17460000000000001</v>
      </c>
      <c r="T20">
        <v>0.125</v>
      </c>
      <c r="U20">
        <v>1.0768</v>
      </c>
      <c r="AX20">
        <f>SUM(Table1_15[[#This Row],[PFBA]:[PFMPA]])</f>
        <v>2.1962000000000002</v>
      </c>
      <c r="AY20">
        <v>-1.2041199826559248</v>
      </c>
      <c r="AZ20">
        <v>-1.2041199826559248</v>
      </c>
      <c r="BA20">
        <v>-0.90308998699194354</v>
      </c>
      <c r="BB20">
        <v>-0.83833258756226414</v>
      </c>
      <c r="BC20">
        <v>-1.2041199826559248</v>
      </c>
      <c r="BD20">
        <v>-1.2041199826559248</v>
      </c>
      <c r="BE20">
        <v>-0.75770709501706912</v>
      </c>
      <c r="BF20">
        <v>-0.90308998699194354</v>
      </c>
      <c r="BG20">
        <v>-0.75795576063044912</v>
      </c>
      <c r="BH20" t="e">
        <v>#NUM!</v>
      </c>
      <c r="BI20">
        <v>-0.90308998699194354</v>
      </c>
      <c r="BJ20">
        <v>3.2135046879901617E-2</v>
      </c>
      <c r="BK20" t="e">
        <v>#NUM!</v>
      </c>
      <c r="BL20" t="e">
        <v>#NUM!</v>
      </c>
      <c r="BM20" t="e">
        <v>#NUM!</v>
      </c>
      <c r="BN20" t="e">
        <v>#NUM!</v>
      </c>
      <c r="BO20" t="e">
        <v>#NUM!</v>
      </c>
      <c r="BP20" t="e">
        <v>#NUM!</v>
      </c>
      <c r="BQ20" t="e">
        <v>#NUM!</v>
      </c>
      <c r="BR20" t="e">
        <v>#NUM!</v>
      </c>
      <c r="BS20" t="e">
        <v>#NUM!</v>
      </c>
      <c r="BT20" t="e">
        <v>#NUM!</v>
      </c>
      <c r="BU20" t="e">
        <v>#NUM!</v>
      </c>
      <c r="BV20" t="e">
        <v>#NUM!</v>
      </c>
      <c r="BW20" t="e">
        <v>#NUM!</v>
      </c>
      <c r="BX20" t="e">
        <v>#NUM!</v>
      </c>
      <c r="BY20" t="e">
        <v>#NUM!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e">
        <v>#NUM!</v>
      </c>
      <c r="CJ20" t="e">
        <v>#NUM!</v>
      </c>
      <c r="CK20" t="e">
        <v>#NUM!</v>
      </c>
      <c r="CL20" t="e">
        <v>#NUM!</v>
      </c>
    </row>
    <row r="21" spans="1:90" x14ac:dyDescent="0.3">
      <c r="A21" s="2" t="s">
        <v>45</v>
      </c>
      <c r="B21" s="2" t="s">
        <v>24</v>
      </c>
      <c r="C21" s="1">
        <v>44131</v>
      </c>
      <c r="D21" t="s">
        <v>25</v>
      </c>
      <c r="E21">
        <v>0.67800000000000005</v>
      </c>
      <c r="F21">
        <v>25800</v>
      </c>
      <c r="G21">
        <v>9.4499999999999993</v>
      </c>
      <c r="H21">
        <v>10.48</v>
      </c>
      <c r="I21">
        <v>74.8</v>
      </c>
      <c r="J21">
        <v>0.12909999999999999</v>
      </c>
      <c r="K21">
        <v>0.15340000000000001</v>
      </c>
      <c r="L21">
        <v>0.125</v>
      </c>
      <c r="M21">
        <v>0.33929999999999999</v>
      </c>
      <c r="N21">
        <v>0.20580000000000001</v>
      </c>
      <c r="O21">
        <v>0.1525</v>
      </c>
      <c r="P21">
        <v>1.3073999999999999</v>
      </c>
      <c r="Q21">
        <v>0.42809999999999998</v>
      </c>
      <c r="R21">
        <v>0.80459999999999998</v>
      </c>
      <c r="S21">
        <v>0.18590000000000001</v>
      </c>
      <c r="T21">
        <v>0.125</v>
      </c>
      <c r="U21">
        <v>17.083300000000001</v>
      </c>
      <c r="AX21">
        <f>SUM(Table1_15[[#This Row],[PFBA]:[PFMPA]])</f>
        <v>21.039400000000001</v>
      </c>
      <c r="AY21">
        <v>-0.88907375773357966</v>
      </c>
      <c r="AZ21">
        <v>-0.8141746403870378</v>
      </c>
      <c r="BA21">
        <v>-0.90308998699194354</v>
      </c>
      <c r="BB21">
        <v>-0.46941614035488227</v>
      </c>
      <c r="BC21">
        <v>-0.68655462957358582</v>
      </c>
      <c r="BD21">
        <v>-0.81673015631719537</v>
      </c>
      <c r="BE21">
        <v>0.11640848062989922</v>
      </c>
      <c r="BF21">
        <v>-0.36845477216569061</v>
      </c>
      <c r="BG21">
        <v>-9.4419971764757471E-2</v>
      </c>
      <c r="BH21">
        <v>-0.73072061022810142</v>
      </c>
      <c r="BI21">
        <v>-0.90308998699194354</v>
      </c>
      <c r="BJ21">
        <v>1.2325717676034356</v>
      </c>
      <c r="BK21" t="e">
        <v>#NUM!</v>
      </c>
      <c r="BL21" t="e">
        <v>#NUM!</v>
      </c>
      <c r="BM21" t="e">
        <v>#NUM!</v>
      </c>
      <c r="BN21" t="e">
        <v>#NUM!</v>
      </c>
      <c r="BO21" t="e">
        <v>#NUM!</v>
      </c>
      <c r="BP21" t="e">
        <v>#NUM!</v>
      </c>
      <c r="BQ21" t="e">
        <v>#NUM!</v>
      </c>
      <c r="BR21" t="e">
        <v>#NUM!</v>
      </c>
      <c r="BS21" t="e">
        <v>#NUM!</v>
      </c>
      <c r="BT21" t="e">
        <v>#NUM!</v>
      </c>
      <c r="BU21" t="e">
        <v>#NUM!</v>
      </c>
      <c r="BV21" t="e">
        <v>#NUM!</v>
      </c>
      <c r="BW21" t="e">
        <v>#NUM!</v>
      </c>
      <c r="BX21" t="e">
        <v>#NUM!</v>
      </c>
      <c r="BY21" t="e">
        <v>#NUM!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e">
        <v>#NUM!</v>
      </c>
      <c r="CJ21" t="e">
        <v>#NUM!</v>
      </c>
      <c r="CK21" t="e">
        <v>#NUM!</v>
      </c>
      <c r="CL21" t="e">
        <v>#NUM!</v>
      </c>
    </row>
    <row r="22" spans="1:90" x14ac:dyDescent="0.3">
      <c r="A22" s="2" t="s">
        <v>46</v>
      </c>
      <c r="B22" s="2" t="s">
        <v>27</v>
      </c>
      <c r="C22" s="1">
        <v>44131</v>
      </c>
      <c r="D22" t="s">
        <v>22</v>
      </c>
      <c r="E22">
        <v>0.64800000000000002</v>
      </c>
      <c r="F22">
        <v>11300</v>
      </c>
      <c r="G22">
        <v>5.37</v>
      </c>
      <c r="H22">
        <v>73.680000000000007</v>
      </c>
      <c r="I22">
        <v>46.2</v>
      </c>
      <c r="J22">
        <v>6.25E-2</v>
      </c>
      <c r="K22">
        <v>6.25E-2</v>
      </c>
      <c r="L22">
        <v>0.125</v>
      </c>
      <c r="M22">
        <v>0.12859999999999999</v>
      </c>
      <c r="N22">
        <v>0.1416</v>
      </c>
      <c r="O22">
        <v>6.25E-2</v>
      </c>
      <c r="P22">
        <v>0.2404</v>
      </c>
      <c r="Q22">
        <v>0.125</v>
      </c>
      <c r="R22">
        <v>0.18110000000000001</v>
      </c>
      <c r="S22">
        <v>4.19E-2</v>
      </c>
      <c r="T22">
        <v>0.125</v>
      </c>
      <c r="U22">
        <v>1.982</v>
      </c>
      <c r="AX22">
        <f>SUM(Table1_15[[#This Row],[PFBA]:[PFMPA]])</f>
        <v>3.2781000000000002</v>
      </c>
      <c r="AY22">
        <v>-1.2041199826559248</v>
      </c>
      <c r="AZ22">
        <v>-1.2041199826559248</v>
      </c>
      <c r="BA22">
        <v>-0.90308998699194354</v>
      </c>
      <c r="BB22">
        <v>-0.8907590314117968</v>
      </c>
      <c r="BC22">
        <v>-0.84893674664624974</v>
      </c>
      <c r="BD22">
        <v>-1.2041199826559248</v>
      </c>
      <c r="BE22">
        <v>-0.61906553666929809</v>
      </c>
      <c r="BF22">
        <v>-0.90308998699194354</v>
      </c>
      <c r="BG22">
        <v>-0.74208154968594153</v>
      </c>
      <c r="BH22">
        <v>-1.3777859770337046</v>
      </c>
      <c r="BI22">
        <v>-0.90308998699194354</v>
      </c>
      <c r="BJ22">
        <v>0.29710365014925649</v>
      </c>
      <c r="BK22" t="e">
        <v>#NUM!</v>
      </c>
      <c r="BL22" t="e">
        <v>#NUM!</v>
      </c>
      <c r="BM22" t="e">
        <v>#NUM!</v>
      </c>
      <c r="BN22" t="e">
        <v>#NUM!</v>
      </c>
      <c r="BO22" t="e">
        <v>#NUM!</v>
      </c>
      <c r="BP22" t="e">
        <v>#NUM!</v>
      </c>
      <c r="BQ22" t="e">
        <v>#NUM!</v>
      </c>
      <c r="BR22" t="e">
        <v>#NUM!</v>
      </c>
      <c r="BS22" t="e">
        <v>#NUM!</v>
      </c>
      <c r="BT22" t="e">
        <v>#NUM!</v>
      </c>
      <c r="BU22" t="e">
        <v>#NUM!</v>
      </c>
      <c r="BV22" t="e">
        <v>#NUM!</v>
      </c>
      <c r="BW22" t="e">
        <v>#NUM!</v>
      </c>
      <c r="BX22" t="e">
        <v>#NUM!</v>
      </c>
      <c r="BY22" t="e">
        <v>#NUM!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e">
        <v>#NUM!</v>
      </c>
      <c r="CJ22" t="e">
        <v>#NUM!</v>
      </c>
      <c r="CK22" t="e">
        <v>#NUM!</v>
      </c>
      <c r="CL22" t="e">
        <v>#NUM!</v>
      </c>
    </row>
    <row r="23" spans="1:90" x14ac:dyDescent="0.3">
      <c r="A23" s="2" t="s">
        <v>47</v>
      </c>
      <c r="B23" s="2" t="s">
        <v>21</v>
      </c>
      <c r="C23" s="1">
        <v>44133</v>
      </c>
      <c r="D23" t="s">
        <v>22</v>
      </c>
      <c r="E23">
        <v>0.45600000000000002</v>
      </c>
      <c r="F23">
        <v>6940</v>
      </c>
      <c r="G23">
        <v>21.37</v>
      </c>
      <c r="H23">
        <v>61.91</v>
      </c>
      <c r="I23">
        <v>28.8</v>
      </c>
      <c r="J23">
        <v>6.25E-2</v>
      </c>
      <c r="K23">
        <v>6.25E-2</v>
      </c>
      <c r="L23">
        <v>0.125</v>
      </c>
      <c r="M23">
        <v>6.25E-2</v>
      </c>
      <c r="N23">
        <v>6.25E-2</v>
      </c>
      <c r="O23">
        <v>6.25E-2</v>
      </c>
      <c r="P23">
        <v>0.22170000000000001</v>
      </c>
      <c r="Q23">
        <v>0.125</v>
      </c>
      <c r="R23">
        <v>0.15590000000000001</v>
      </c>
      <c r="S23">
        <v>4.0500000000000001E-2</v>
      </c>
      <c r="T23">
        <v>0.125</v>
      </c>
      <c r="U23">
        <v>2.363</v>
      </c>
      <c r="AX23">
        <f>SUM(Table1_15[[#This Row],[PFBA]:[PFMPA]])</f>
        <v>3.4685999999999999</v>
      </c>
      <c r="AY23">
        <v>-1.2041199826559248</v>
      </c>
      <c r="AZ23">
        <v>-1.2041199826559248</v>
      </c>
      <c r="BA23">
        <v>-0.90308998699194354</v>
      </c>
      <c r="BB23">
        <v>-1.2041199826559248</v>
      </c>
      <c r="BC23">
        <v>-1.2041199826559248</v>
      </c>
      <c r="BD23">
        <v>-1.2041199826559248</v>
      </c>
      <c r="BE23">
        <v>-0.65423430688551176</v>
      </c>
      <c r="BF23">
        <v>-0.90308998699194354</v>
      </c>
      <c r="BG23">
        <v>-0.80715388481115824</v>
      </c>
      <c r="BH23">
        <v>-1.3925449767853315</v>
      </c>
      <c r="BI23">
        <v>-0.90308998699194354</v>
      </c>
      <c r="BJ23">
        <v>0.37346372163236902</v>
      </c>
      <c r="BK23" t="e">
        <v>#NUM!</v>
      </c>
      <c r="BL23" t="e">
        <v>#NUM!</v>
      </c>
      <c r="BM23" t="e">
        <v>#NUM!</v>
      </c>
      <c r="BN23" t="e">
        <v>#NUM!</v>
      </c>
      <c r="BO23" t="e">
        <v>#NUM!</v>
      </c>
      <c r="BP23" t="e">
        <v>#NUM!</v>
      </c>
      <c r="BQ23" t="e">
        <v>#NUM!</v>
      </c>
      <c r="BR23" t="e">
        <v>#NUM!</v>
      </c>
      <c r="BS23" t="e">
        <v>#NUM!</v>
      </c>
      <c r="BT23" t="e">
        <v>#NUM!</v>
      </c>
      <c r="BU23" t="e">
        <v>#NUM!</v>
      </c>
      <c r="BV23" t="e">
        <v>#NUM!</v>
      </c>
      <c r="BW23" t="e">
        <v>#NUM!</v>
      </c>
      <c r="BX23" t="e">
        <v>#NUM!</v>
      </c>
      <c r="BY23" t="e">
        <v>#NUM!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e">
        <v>#NUM!</v>
      </c>
      <c r="CJ23" t="e">
        <v>#NUM!</v>
      </c>
      <c r="CK23" t="e">
        <v>#NUM!</v>
      </c>
      <c r="CL23" t="e">
        <v>#NUM!</v>
      </c>
    </row>
    <row r="24" spans="1:90" x14ac:dyDescent="0.3">
      <c r="A24" s="2" t="s">
        <v>48</v>
      </c>
      <c r="B24" s="2" t="s">
        <v>24</v>
      </c>
      <c r="C24" s="1">
        <v>44133</v>
      </c>
      <c r="D24" t="s">
        <v>25</v>
      </c>
      <c r="E24">
        <v>0.67800000000000005</v>
      </c>
      <c r="F24">
        <v>25800</v>
      </c>
      <c r="G24">
        <v>9.4499999999999993</v>
      </c>
      <c r="H24">
        <v>10.48</v>
      </c>
      <c r="I24">
        <v>74.8</v>
      </c>
      <c r="J24">
        <v>0.12820000000000001</v>
      </c>
      <c r="K24">
        <v>0.15840000000000001</v>
      </c>
      <c r="L24">
        <v>0.25019999999999998</v>
      </c>
      <c r="M24">
        <v>0.31540000000000001</v>
      </c>
      <c r="N24">
        <v>0.3226</v>
      </c>
      <c r="O24">
        <v>0.1663</v>
      </c>
      <c r="P24">
        <v>2.0529000000000002</v>
      </c>
      <c r="Q24">
        <v>0.50619999999999998</v>
      </c>
      <c r="R24">
        <v>1.2777000000000001</v>
      </c>
      <c r="S24">
        <v>0.22650000000000001</v>
      </c>
      <c r="T24">
        <v>0.125</v>
      </c>
      <c r="U24">
        <v>14.071899999999999</v>
      </c>
      <c r="AX24">
        <f>SUM(Table1_15[[#This Row],[PFBA]:[PFMPA]])</f>
        <v>19.601299999999998</v>
      </c>
      <c r="AY24">
        <v>-0.89211197481720139</v>
      </c>
      <c r="AZ24">
        <v>-0.80024482274652531</v>
      </c>
      <c r="BA24">
        <v>-0.60171269464259891</v>
      </c>
      <c r="BB24">
        <v>-0.50113831100711592</v>
      </c>
      <c r="BC24">
        <v>-0.49133563694705729</v>
      </c>
      <c r="BD24">
        <v>-0.77910775078048078</v>
      </c>
      <c r="BE24">
        <v>0.31236779471597348</v>
      </c>
      <c r="BF24">
        <v>-0.29567785917776457</v>
      </c>
      <c r="BG24">
        <v>0.1064288947934113</v>
      </c>
      <c r="BH24">
        <v>-0.64493179365114928</v>
      </c>
      <c r="BI24">
        <v>-0.90308998699194354</v>
      </c>
      <c r="BJ24">
        <v>1.1483527402070439</v>
      </c>
      <c r="BK24" t="e">
        <v>#NUM!</v>
      </c>
      <c r="BL24" t="e">
        <v>#NUM!</v>
      </c>
      <c r="BM24" t="e">
        <v>#NUM!</v>
      </c>
      <c r="BN24" t="e">
        <v>#NUM!</v>
      </c>
      <c r="BO24" t="e">
        <v>#NUM!</v>
      </c>
      <c r="BP24" t="e">
        <v>#NUM!</v>
      </c>
      <c r="BQ24" t="e">
        <v>#NUM!</v>
      </c>
      <c r="BR24" t="e">
        <v>#NUM!</v>
      </c>
      <c r="BS24" t="e">
        <v>#NUM!</v>
      </c>
      <c r="BT24" t="e">
        <v>#NUM!</v>
      </c>
      <c r="BU24" t="e">
        <v>#NUM!</v>
      </c>
      <c r="BV24" t="e">
        <v>#NUM!</v>
      </c>
      <c r="BW24" t="e">
        <v>#NUM!</v>
      </c>
      <c r="BX24" t="e">
        <v>#NUM!</v>
      </c>
      <c r="BY24" t="e">
        <v>#NUM!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e">
        <v>#NUM!</v>
      </c>
      <c r="CJ24" t="e">
        <v>#NUM!</v>
      </c>
      <c r="CK24" t="e">
        <v>#NUM!</v>
      </c>
      <c r="CL24" t="e">
        <v>#NUM!</v>
      </c>
    </row>
    <row r="25" spans="1:90" x14ac:dyDescent="0.3">
      <c r="A25" s="2" t="s">
        <v>49</v>
      </c>
      <c r="B25" s="2" t="s">
        <v>27</v>
      </c>
      <c r="C25" s="1">
        <v>44133</v>
      </c>
      <c r="D25" t="s">
        <v>22</v>
      </c>
      <c r="E25">
        <v>0.19900000000000001</v>
      </c>
      <c r="F25">
        <v>11300</v>
      </c>
      <c r="G25">
        <v>5.37</v>
      </c>
      <c r="H25">
        <v>73.680000000000007</v>
      </c>
      <c r="I25">
        <v>46.2</v>
      </c>
      <c r="J25">
        <v>6.25E-2</v>
      </c>
      <c r="K25">
        <v>6.25E-2</v>
      </c>
      <c r="L25">
        <v>0.125</v>
      </c>
      <c r="M25">
        <v>0.1318</v>
      </c>
      <c r="N25">
        <v>6.25E-2</v>
      </c>
      <c r="O25">
        <v>6.25E-2</v>
      </c>
      <c r="P25">
        <v>0.1986</v>
      </c>
      <c r="Q25">
        <v>0.125</v>
      </c>
      <c r="R25">
        <v>0.1711</v>
      </c>
      <c r="S25">
        <v>2.8500000000000001E-2</v>
      </c>
      <c r="T25">
        <v>0.125</v>
      </c>
      <c r="U25">
        <v>1.9838</v>
      </c>
      <c r="AX25">
        <f>SUM(Table1_15[[#This Row],[PFBA]:[PFMPA]])</f>
        <v>3.1387999999999998</v>
      </c>
      <c r="AY25">
        <v>-1.2041199826559248</v>
      </c>
      <c r="AZ25">
        <v>-1.2041199826559248</v>
      </c>
      <c r="BA25">
        <v>-0.90308998699194354</v>
      </c>
      <c r="BB25">
        <v>-0.88008458974200898</v>
      </c>
      <c r="BC25">
        <v>-1.2041199826559248</v>
      </c>
      <c r="BD25">
        <v>-1.2041199826559248</v>
      </c>
      <c r="BE25">
        <v>-0.70202075584063761</v>
      </c>
      <c r="BF25">
        <v>-0.90308998699194354</v>
      </c>
      <c r="BG25">
        <v>-0.76674999045889969</v>
      </c>
      <c r="BH25">
        <v>-1.5451551399914898</v>
      </c>
      <c r="BI25">
        <v>-0.90308998699194354</v>
      </c>
      <c r="BJ25">
        <v>0.29749788592569842</v>
      </c>
      <c r="BK25" t="e">
        <v>#NUM!</v>
      </c>
      <c r="BL25" t="e">
        <v>#NUM!</v>
      </c>
      <c r="BM25" t="e">
        <v>#NUM!</v>
      </c>
      <c r="BN25" t="e">
        <v>#NUM!</v>
      </c>
      <c r="BO25" t="e">
        <v>#NUM!</v>
      </c>
      <c r="BP25" t="e">
        <v>#NUM!</v>
      </c>
      <c r="BQ25" t="e">
        <v>#NUM!</v>
      </c>
      <c r="BR25" t="e">
        <v>#NUM!</v>
      </c>
      <c r="BS25" t="e">
        <v>#NUM!</v>
      </c>
      <c r="BT25" t="e">
        <v>#NUM!</v>
      </c>
      <c r="BU25" t="e">
        <v>#NUM!</v>
      </c>
      <c r="BV25" t="e">
        <v>#NUM!</v>
      </c>
      <c r="BW25" t="e">
        <v>#NUM!</v>
      </c>
      <c r="BX25" t="e">
        <v>#NUM!</v>
      </c>
      <c r="BY25" t="e">
        <v>#NUM!</v>
      </c>
      <c r="BZ25" t="e">
        <v>#NUM!</v>
      </c>
      <c r="CA25" t="e">
        <v>#NUM!</v>
      </c>
      <c r="CB25" t="e">
        <v>#NUM!</v>
      </c>
      <c r="CC25" t="e">
        <v>#NUM!</v>
      </c>
      <c r="CD25" t="e">
        <v>#NUM!</v>
      </c>
      <c r="CE25" t="e">
        <v>#NUM!</v>
      </c>
      <c r="CF25" t="e">
        <v>#NUM!</v>
      </c>
      <c r="CG25" t="e">
        <v>#NUM!</v>
      </c>
      <c r="CH25" t="e">
        <v>#NUM!</v>
      </c>
      <c r="CI25" t="e">
        <v>#NUM!</v>
      </c>
      <c r="CJ25" t="e">
        <v>#NUM!</v>
      </c>
      <c r="CK25" t="e">
        <v>#NUM!</v>
      </c>
      <c r="CL25" t="e">
        <v>#NUM!</v>
      </c>
    </row>
    <row r="26" spans="1:90" x14ac:dyDescent="0.3">
      <c r="A26" s="2" t="s">
        <v>50</v>
      </c>
      <c r="B26" s="2" t="s">
        <v>29</v>
      </c>
      <c r="C26" s="1">
        <v>44133</v>
      </c>
      <c r="D26" t="s">
        <v>25</v>
      </c>
      <c r="E26">
        <v>0.67800000000000005</v>
      </c>
      <c r="F26">
        <v>103000</v>
      </c>
      <c r="G26">
        <v>2.3199999999999998</v>
      </c>
      <c r="H26">
        <v>7.97</v>
      </c>
      <c r="I26">
        <v>74.599999999999994</v>
      </c>
      <c r="J26">
        <v>0.1275</v>
      </c>
      <c r="K26">
        <v>0.1552</v>
      </c>
      <c r="L26">
        <v>0.32640000000000002</v>
      </c>
      <c r="M26">
        <v>0.45269999999999999</v>
      </c>
      <c r="N26">
        <v>0.3846</v>
      </c>
      <c r="O26">
        <v>0.1482</v>
      </c>
      <c r="P26">
        <v>2.7288999999999999</v>
      </c>
      <c r="Q26">
        <v>0.497</v>
      </c>
      <c r="R26">
        <v>2.0617000000000001</v>
      </c>
      <c r="S26">
        <v>0.59199999999999997</v>
      </c>
      <c r="T26">
        <v>0.125</v>
      </c>
      <c r="U26">
        <v>21.900500000000001</v>
      </c>
      <c r="AX26">
        <f>SUM(Table1_15[[#This Row],[PFBA]:[PFMPA]])</f>
        <v>29.499700000000001</v>
      </c>
      <c r="AY26">
        <v>-0.89448981523002602</v>
      </c>
      <c r="AZ26">
        <v>-0.80910828307783034</v>
      </c>
      <c r="BA26">
        <v>-0.48624984991817644</v>
      </c>
      <c r="BB26">
        <v>-0.34418950550474775</v>
      </c>
      <c r="BC26">
        <v>-0.41499072009753896</v>
      </c>
      <c r="BD26">
        <v>-0.82915179635669067</v>
      </c>
      <c r="BE26">
        <v>0.43598762132621299</v>
      </c>
      <c r="BF26">
        <v>-0.30364361126666789</v>
      </c>
      <c r="BG26">
        <v>0.31422547092649677</v>
      </c>
      <c r="BH26">
        <v>-0.22767829327708025</v>
      </c>
      <c r="BI26">
        <v>-0.90308998699194354</v>
      </c>
      <c r="BJ26">
        <v>1.3404540301260608</v>
      </c>
      <c r="BK26" t="e">
        <v>#NUM!</v>
      </c>
      <c r="BL26" t="e">
        <v>#NUM!</v>
      </c>
      <c r="BM26" t="e">
        <v>#NUM!</v>
      </c>
      <c r="BN26" t="e">
        <v>#NUM!</v>
      </c>
      <c r="BO26" t="e">
        <v>#NUM!</v>
      </c>
      <c r="BP26" t="e">
        <v>#NUM!</v>
      </c>
      <c r="BQ26" t="e">
        <v>#NUM!</v>
      </c>
      <c r="BR26" t="e">
        <v>#NUM!</v>
      </c>
      <c r="BS26" t="e">
        <v>#NUM!</v>
      </c>
      <c r="BT26" t="e">
        <v>#NUM!</v>
      </c>
      <c r="BU26" t="e">
        <v>#NUM!</v>
      </c>
      <c r="BV26" t="e">
        <v>#NUM!</v>
      </c>
      <c r="BW26" t="e">
        <v>#NUM!</v>
      </c>
      <c r="BX26" t="e">
        <v>#NUM!</v>
      </c>
      <c r="BY26" t="e">
        <v>#NUM!</v>
      </c>
      <c r="BZ26" t="e">
        <v>#NUM!</v>
      </c>
      <c r="CA26" t="e">
        <v>#NUM!</v>
      </c>
      <c r="CB26" t="e">
        <v>#NUM!</v>
      </c>
      <c r="CC26" t="e">
        <v>#NUM!</v>
      </c>
      <c r="CD26" t="e">
        <v>#NUM!</v>
      </c>
      <c r="CE26" t="e">
        <v>#NUM!</v>
      </c>
      <c r="CF26" t="e">
        <v>#NUM!</v>
      </c>
      <c r="CG26" t="e">
        <v>#NUM!</v>
      </c>
      <c r="CH26" t="e">
        <v>#NUM!</v>
      </c>
      <c r="CI26" t="e">
        <v>#NUM!</v>
      </c>
      <c r="CJ26" t="e">
        <v>#NUM!</v>
      </c>
      <c r="CK26" t="e">
        <v>#NUM!</v>
      </c>
      <c r="CL26" t="e">
        <v>#NUM!</v>
      </c>
    </row>
    <row r="27" spans="1:90" x14ac:dyDescent="0.3">
      <c r="A27" s="2" t="s">
        <v>51</v>
      </c>
      <c r="B27" s="2" t="s">
        <v>21</v>
      </c>
      <c r="C27" s="1">
        <v>44138</v>
      </c>
      <c r="D27" t="s">
        <v>22</v>
      </c>
      <c r="E27">
        <v>0.19900000000000001</v>
      </c>
      <c r="F27">
        <v>6940</v>
      </c>
      <c r="G27">
        <v>21.37</v>
      </c>
      <c r="H27">
        <v>61.91</v>
      </c>
      <c r="I27">
        <v>28.8</v>
      </c>
      <c r="J27">
        <v>6.25E-2</v>
      </c>
      <c r="K27">
        <v>6.25E-2</v>
      </c>
      <c r="L27">
        <v>0.125</v>
      </c>
      <c r="M27">
        <v>6.25E-2</v>
      </c>
      <c r="N27">
        <v>6.25E-2</v>
      </c>
      <c r="O27">
        <v>6.25E-2</v>
      </c>
      <c r="P27">
        <v>0.1807</v>
      </c>
      <c r="Q27">
        <v>0.125</v>
      </c>
      <c r="R27">
        <v>0.16589999999999999</v>
      </c>
      <c r="T27">
        <v>0.125</v>
      </c>
      <c r="U27">
        <v>1.6272</v>
      </c>
      <c r="AX27">
        <f>SUM(Table1_15[[#This Row],[PFBA]:[PFMPA]])</f>
        <v>2.6612999999999998</v>
      </c>
      <c r="AY27">
        <v>-1.2041199826559248</v>
      </c>
      <c r="AZ27">
        <v>-1.2041199826559248</v>
      </c>
      <c r="BA27">
        <v>-0.90308998699194354</v>
      </c>
      <c r="BB27">
        <v>-1.2041199826559248</v>
      </c>
      <c r="BC27">
        <v>-1.2041199826559248</v>
      </c>
      <c r="BD27">
        <v>-1.2041199826559248</v>
      </c>
      <c r="BE27">
        <v>-0.7430418474390682</v>
      </c>
      <c r="BF27">
        <v>-0.90308998699194354</v>
      </c>
      <c r="BG27">
        <v>-0.78015361397563932</v>
      </c>
      <c r="BH27" t="e">
        <v>#NUM!</v>
      </c>
      <c r="BI27">
        <v>-0.90308998699194354</v>
      </c>
      <c r="BJ27">
        <v>0.21144093557866939</v>
      </c>
      <c r="BK27" t="e">
        <v>#NUM!</v>
      </c>
      <c r="BL27" t="e">
        <v>#NUM!</v>
      </c>
      <c r="BM27" t="e">
        <v>#NUM!</v>
      </c>
      <c r="BN27" t="e">
        <v>#NUM!</v>
      </c>
      <c r="BO27" t="e">
        <v>#NUM!</v>
      </c>
      <c r="BP27" t="e">
        <v>#NUM!</v>
      </c>
      <c r="BQ27" t="e">
        <v>#NUM!</v>
      </c>
      <c r="BR27" t="e">
        <v>#NUM!</v>
      </c>
      <c r="BS27" t="e">
        <v>#NUM!</v>
      </c>
      <c r="BT27" t="e">
        <v>#NUM!</v>
      </c>
      <c r="BU27" t="e">
        <v>#NUM!</v>
      </c>
      <c r="BV27" t="e">
        <v>#NUM!</v>
      </c>
      <c r="BW27" t="e">
        <v>#NUM!</v>
      </c>
      <c r="BX27" t="e">
        <v>#NUM!</v>
      </c>
      <c r="BY27" t="e">
        <v>#NUM!</v>
      </c>
      <c r="BZ27" t="e">
        <v>#NUM!</v>
      </c>
      <c r="CA27" t="e">
        <v>#NUM!</v>
      </c>
      <c r="CB27" t="e">
        <v>#NUM!</v>
      </c>
      <c r="CC27" t="e">
        <v>#NUM!</v>
      </c>
      <c r="CD27" t="e">
        <v>#NUM!</v>
      </c>
      <c r="CE27" t="e">
        <v>#NUM!</v>
      </c>
      <c r="CF27" t="e">
        <v>#NUM!</v>
      </c>
      <c r="CG27" t="e">
        <v>#NUM!</v>
      </c>
      <c r="CH27" t="e">
        <v>#NUM!</v>
      </c>
      <c r="CI27" t="e">
        <v>#NUM!</v>
      </c>
      <c r="CJ27" t="e">
        <v>#NUM!</v>
      </c>
      <c r="CK27" t="e">
        <v>#NUM!</v>
      </c>
      <c r="CL27" t="e">
        <v>#NUM!</v>
      </c>
    </row>
    <row r="28" spans="1:90" x14ac:dyDescent="0.3">
      <c r="A28" s="2" t="s">
        <v>52</v>
      </c>
      <c r="B28" s="2" t="s">
        <v>27</v>
      </c>
      <c r="C28" s="1">
        <v>44138</v>
      </c>
      <c r="D28" t="s">
        <v>22</v>
      </c>
      <c r="E28">
        <v>0.67800000000000005</v>
      </c>
      <c r="F28">
        <v>11300</v>
      </c>
      <c r="G28">
        <v>5.37</v>
      </c>
      <c r="H28">
        <v>73.680000000000007</v>
      </c>
      <c r="I28">
        <v>46.2</v>
      </c>
      <c r="J28">
        <v>6.25E-2</v>
      </c>
      <c r="K28">
        <v>6.25E-2</v>
      </c>
      <c r="L28">
        <v>0.125</v>
      </c>
      <c r="M28">
        <v>6.25E-2</v>
      </c>
      <c r="N28">
        <v>0.12379999999999999</v>
      </c>
      <c r="O28">
        <v>6.25E-2</v>
      </c>
      <c r="P28">
        <v>0.3342</v>
      </c>
      <c r="Q28">
        <v>0.125</v>
      </c>
      <c r="R28">
        <v>0.14749999999999999</v>
      </c>
      <c r="S28">
        <v>5.2600000000000001E-2</v>
      </c>
      <c r="T28">
        <v>0.125</v>
      </c>
      <c r="U28">
        <v>2.7298</v>
      </c>
      <c r="AX28">
        <f>SUM(Table1_15[[#This Row],[PFBA]:[PFMPA]])</f>
        <v>4.0129000000000001</v>
      </c>
      <c r="AY28">
        <v>-1.2041199826559248</v>
      </c>
      <c r="AZ28">
        <v>-1.2041199826559248</v>
      </c>
      <c r="BA28">
        <v>-0.90308998699194354</v>
      </c>
      <c r="BB28">
        <v>-1.2041199826559248</v>
      </c>
      <c r="BC28">
        <v>-0.90727935531590087</v>
      </c>
      <c r="BD28">
        <v>-1.2041199826559248</v>
      </c>
      <c r="BE28">
        <v>-0.47599355444262748</v>
      </c>
      <c r="BF28">
        <v>-0.90308998699194354</v>
      </c>
      <c r="BG28">
        <v>-0.83120797968581828</v>
      </c>
      <c r="BH28">
        <v>-1.2790142558462609</v>
      </c>
      <c r="BI28">
        <v>-0.90308998699194354</v>
      </c>
      <c r="BJ28">
        <v>0.43613082942970088</v>
      </c>
      <c r="BK28" t="e">
        <v>#NUM!</v>
      </c>
      <c r="BL28" t="e">
        <v>#NUM!</v>
      </c>
      <c r="BM28" t="e">
        <v>#NUM!</v>
      </c>
      <c r="BN28" t="e">
        <v>#NUM!</v>
      </c>
      <c r="BO28" t="e">
        <v>#NUM!</v>
      </c>
      <c r="BP28" t="e">
        <v>#NUM!</v>
      </c>
      <c r="BQ28" t="e">
        <v>#NUM!</v>
      </c>
      <c r="BR28" t="e">
        <v>#NUM!</v>
      </c>
      <c r="BS28" t="e">
        <v>#NUM!</v>
      </c>
      <c r="BT28" t="e">
        <v>#NUM!</v>
      </c>
      <c r="BU28" t="e">
        <v>#NUM!</v>
      </c>
      <c r="BV28" t="e">
        <v>#NUM!</v>
      </c>
      <c r="BW28" t="e">
        <v>#NUM!</v>
      </c>
      <c r="BX28" t="e">
        <v>#NUM!</v>
      </c>
      <c r="BY28" t="e">
        <v>#NUM!</v>
      </c>
      <c r="BZ28" t="e">
        <v>#NUM!</v>
      </c>
      <c r="CA28" t="e">
        <v>#NUM!</v>
      </c>
      <c r="CB28" t="e">
        <v>#NUM!</v>
      </c>
      <c r="CC28" t="e">
        <v>#NUM!</v>
      </c>
      <c r="CD28" t="e">
        <v>#NUM!</v>
      </c>
      <c r="CE28" t="e">
        <v>#NUM!</v>
      </c>
      <c r="CF28" t="e">
        <v>#NUM!</v>
      </c>
      <c r="CG28" t="e">
        <v>#NUM!</v>
      </c>
      <c r="CH28" t="e">
        <v>#NUM!</v>
      </c>
      <c r="CI28" t="e">
        <v>#NUM!</v>
      </c>
      <c r="CJ28" t="e">
        <v>#NUM!</v>
      </c>
      <c r="CK28" t="e">
        <v>#NUM!</v>
      </c>
      <c r="CL28" t="e">
        <v>#NUM!</v>
      </c>
    </row>
    <row r="29" spans="1:90" x14ac:dyDescent="0.3">
      <c r="A29" s="2" t="s">
        <v>53</v>
      </c>
      <c r="B29" s="2" t="s">
        <v>21</v>
      </c>
      <c r="C29" s="1">
        <v>44140</v>
      </c>
      <c r="D29" t="s">
        <v>22</v>
      </c>
      <c r="E29">
        <v>0.19900000000000001</v>
      </c>
      <c r="F29">
        <v>6940</v>
      </c>
      <c r="G29">
        <v>21.37</v>
      </c>
      <c r="H29">
        <v>61.91</v>
      </c>
      <c r="I29">
        <v>28.8</v>
      </c>
      <c r="J29">
        <v>6.25E-2</v>
      </c>
      <c r="K29">
        <v>6.25E-2</v>
      </c>
      <c r="L29">
        <v>0.125</v>
      </c>
      <c r="M29">
        <v>6.25E-2</v>
      </c>
      <c r="N29">
        <v>6.25E-2</v>
      </c>
      <c r="O29">
        <v>6.25E-2</v>
      </c>
      <c r="P29">
        <v>0.2001</v>
      </c>
      <c r="Q29">
        <v>0.125</v>
      </c>
      <c r="R29">
        <v>0.22670000000000001</v>
      </c>
      <c r="S29">
        <v>1.2500000000000001E-2</v>
      </c>
      <c r="T29">
        <v>0.125</v>
      </c>
      <c r="U29">
        <v>3.0945</v>
      </c>
      <c r="AX29">
        <f>SUM(Table1_15[[#This Row],[PFBA]:[PFMPA]])</f>
        <v>4.2213000000000003</v>
      </c>
      <c r="AY29">
        <v>-1.2041199826559248</v>
      </c>
      <c r="AZ29">
        <v>-1.2041199826559248</v>
      </c>
      <c r="BA29">
        <v>-0.90308998699194354</v>
      </c>
      <c r="BB29">
        <v>-1.2041199826559248</v>
      </c>
      <c r="BC29">
        <v>-1.2041199826559248</v>
      </c>
      <c r="BD29">
        <v>-1.2041199826559248</v>
      </c>
      <c r="BE29">
        <v>-0.69875291136378859</v>
      </c>
      <c r="BF29">
        <v>-0.90308998699194354</v>
      </c>
      <c r="BG29">
        <v>-0.64454847987348263</v>
      </c>
      <c r="BH29">
        <v>-1.9030899869919435</v>
      </c>
      <c r="BI29">
        <v>-0.90308998699194354</v>
      </c>
      <c r="BJ29">
        <v>0.49059048702883279</v>
      </c>
      <c r="BK29" t="e">
        <v>#NUM!</v>
      </c>
      <c r="BL29" t="e">
        <v>#NUM!</v>
      </c>
      <c r="BM29" t="e">
        <v>#NUM!</v>
      </c>
      <c r="BN29" t="e">
        <v>#NUM!</v>
      </c>
      <c r="BO29" t="e">
        <v>#NUM!</v>
      </c>
      <c r="BP29" t="e">
        <v>#NUM!</v>
      </c>
      <c r="BQ29" t="e">
        <v>#NUM!</v>
      </c>
      <c r="BR29" t="e">
        <v>#NUM!</v>
      </c>
      <c r="BS29" t="e">
        <v>#NUM!</v>
      </c>
      <c r="BT29" t="e">
        <v>#NUM!</v>
      </c>
      <c r="BU29" t="e">
        <v>#NUM!</v>
      </c>
      <c r="BV29" t="e">
        <v>#NUM!</v>
      </c>
      <c r="BW29" t="e">
        <v>#NUM!</v>
      </c>
      <c r="BX29" t="e">
        <v>#NUM!</v>
      </c>
      <c r="BY29" t="e">
        <v>#NUM!</v>
      </c>
      <c r="BZ29" t="e">
        <v>#NUM!</v>
      </c>
      <c r="CA29" t="e">
        <v>#NUM!</v>
      </c>
      <c r="CB29" t="e">
        <v>#NUM!</v>
      </c>
      <c r="CC29" t="e">
        <v>#NUM!</v>
      </c>
      <c r="CD29" t="e">
        <v>#NUM!</v>
      </c>
      <c r="CE29" t="e">
        <v>#NUM!</v>
      </c>
      <c r="CF29" t="e">
        <v>#NUM!</v>
      </c>
      <c r="CG29" t="e">
        <v>#NUM!</v>
      </c>
      <c r="CH29" t="e">
        <v>#NUM!</v>
      </c>
      <c r="CI29" t="e">
        <v>#NUM!</v>
      </c>
      <c r="CJ29" t="e">
        <v>#NUM!</v>
      </c>
      <c r="CK29" t="e">
        <v>#NUM!</v>
      </c>
      <c r="CL29" t="e">
        <v>#NUM!</v>
      </c>
    </row>
    <row r="30" spans="1:90" x14ac:dyDescent="0.3">
      <c r="A30" s="2" t="s">
        <v>54</v>
      </c>
      <c r="B30" s="2" t="s">
        <v>27</v>
      </c>
      <c r="C30" s="1">
        <v>44140</v>
      </c>
      <c r="D30" t="s">
        <v>22</v>
      </c>
      <c r="E30">
        <v>0.19900000000000001</v>
      </c>
      <c r="F30">
        <v>11300</v>
      </c>
      <c r="G30">
        <v>5.37</v>
      </c>
      <c r="H30">
        <v>73.680000000000007</v>
      </c>
      <c r="I30">
        <v>46.2</v>
      </c>
      <c r="J30">
        <v>6.25E-2</v>
      </c>
      <c r="K30">
        <v>6.25E-2</v>
      </c>
      <c r="L30">
        <v>0.125</v>
      </c>
      <c r="M30">
        <v>6.25E-2</v>
      </c>
      <c r="N30">
        <v>0.28220000000000001</v>
      </c>
      <c r="O30">
        <v>6.25E-2</v>
      </c>
      <c r="P30">
        <v>0.25969999999999999</v>
      </c>
      <c r="Q30">
        <v>0.125</v>
      </c>
      <c r="R30">
        <v>0.14779999999999999</v>
      </c>
      <c r="S30">
        <v>8.2699999999999996E-2</v>
      </c>
      <c r="T30">
        <v>0.125</v>
      </c>
      <c r="U30">
        <v>2.6074000000000002</v>
      </c>
      <c r="AX30">
        <f>SUM(Table1_15[[#This Row],[PFBA]:[PFMPA]])</f>
        <v>4.0048000000000004</v>
      </c>
      <c r="AY30">
        <v>-1.2041199826559248</v>
      </c>
      <c r="AZ30">
        <v>-1.2041199826559248</v>
      </c>
      <c r="BA30">
        <v>-0.90308998699194354</v>
      </c>
      <c r="BB30">
        <v>-1.2041199826559248</v>
      </c>
      <c r="BC30">
        <v>-0.54944299058167101</v>
      </c>
      <c r="BD30">
        <v>-1.2041199826559248</v>
      </c>
      <c r="BE30">
        <v>-0.58552805037069733</v>
      </c>
      <c r="BF30">
        <v>-0.90308998699194354</v>
      </c>
      <c r="BG30">
        <v>-0.83032556594119311</v>
      </c>
      <c r="BH30">
        <v>-1.0824944904474534</v>
      </c>
      <c r="BI30">
        <v>-0.90308998699194354</v>
      </c>
      <c r="BJ30">
        <v>0.41620766119023062</v>
      </c>
      <c r="BK30" t="e">
        <v>#NUM!</v>
      </c>
      <c r="BL30" t="e">
        <v>#NUM!</v>
      </c>
      <c r="BM30" t="e">
        <v>#NUM!</v>
      </c>
      <c r="BN30" t="e">
        <v>#NUM!</v>
      </c>
      <c r="BO30" t="e">
        <v>#NUM!</v>
      </c>
      <c r="BP30" t="e">
        <v>#NUM!</v>
      </c>
      <c r="BQ30" t="e">
        <v>#NUM!</v>
      </c>
      <c r="BR30" t="e">
        <v>#NUM!</v>
      </c>
      <c r="BS30" t="e">
        <v>#NUM!</v>
      </c>
      <c r="BT30" t="e">
        <v>#NUM!</v>
      </c>
      <c r="BU30" t="e">
        <v>#NUM!</v>
      </c>
      <c r="BV30" t="e">
        <v>#NUM!</v>
      </c>
      <c r="BW30" t="e">
        <v>#NUM!</v>
      </c>
      <c r="BX30" t="e">
        <v>#NUM!</v>
      </c>
      <c r="BY30" t="e">
        <v>#NUM!</v>
      </c>
      <c r="BZ30" t="e">
        <v>#NUM!</v>
      </c>
      <c r="CA30" t="e">
        <v>#NUM!</v>
      </c>
      <c r="CB30" t="e">
        <v>#NUM!</v>
      </c>
      <c r="CC30" t="e">
        <v>#NUM!</v>
      </c>
      <c r="CD30" t="e">
        <v>#NUM!</v>
      </c>
      <c r="CE30" t="e">
        <v>#NUM!</v>
      </c>
      <c r="CF30" t="e">
        <v>#NUM!</v>
      </c>
      <c r="CG30" t="e">
        <v>#NUM!</v>
      </c>
      <c r="CH30" t="e">
        <v>#NUM!</v>
      </c>
      <c r="CI30" t="e">
        <v>#NUM!</v>
      </c>
      <c r="CJ30" t="e">
        <v>#NUM!</v>
      </c>
      <c r="CK30" t="e">
        <v>#NUM!</v>
      </c>
      <c r="CL30" t="e">
        <v>#NUM!</v>
      </c>
    </row>
    <row r="31" spans="1:90" x14ac:dyDescent="0.3">
      <c r="A31" s="2" t="s">
        <v>55</v>
      </c>
      <c r="B31" s="2" t="s">
        <v>29</v>
      </c>
      <c r="C31" s="1">
        <v>44140</v>
      </c>
      <c r="D31" t="s">
        <v>25</v>
      </c>
      <c r="E31">
        <v>0.45600000000000002</v>
      </c>
      <c r="F31">
        <v>103000</v>
      </c>
      <c r="G31">
        <v>2.3199999999999998</v>
      </c>
      <c r="H31">
        <v>7.97</v>
      </c>
      <c r="I31">
        <v>74.599999999999994</v>
      </c>
      <c r="J31">
        <v>6.25E-2</v>
      </c>
      <c r="L31">
        <v>0.41099999999999998</v>
      </c>
      <c r="M31">
        <v>0.27429999999999999</v>
      </c>
      <c r="N31">
        <v>0.43380000000000002</v>
      </c>
      <c r="O31">
        <v>0.2291</v>
      </c>
      <c r="P31">
        <v>2.71</v>
      </c>
      <c r="Q31">
        <v>0.41099999999999998</v>
      </c>
      <c r="R31">
        <v>1.5748</v>
      </c>
      <c r="S31">
        <v>0.32279999999999998</v>
      </c>
      <c r="T31">
        <v>0.1333</v>
      </c>
      <c r="U31">
        <v>30.675000000000001</v>
      </c>
      <c r="AX31">
        <f>SUM(Table1_15[[#This Row],[PFBA]:[PFMPA]])</f>
        <v>37.2376</v>
      </c>
      <c r="AY31">
        <v>-1.2041199826559248</v>
      </c>
      <c r="AZ31" t="e">
        <v>#NUM!</v>
      </c>
      <c r="BA31">
        <v>-0.38615817812393083</v>
      </c>
      <c r="BB31">
        <v>-0.56177419239547055</v>
      </c>
      <c r="BC31">
        <v>-0.36271045232182553</v>
      </c>
      <c r="BD31">
        <v>-0.63997491081060254</v>
      </c>
      <c r="BE31">
        <v>0.43296929087440572</v>
      </c>
      <c r="BF31">
        <v>-0.38615817812393083</v>
      </c>
      <c r="BG31">
        <v>0.19722540611819192</v>
      </c>
      <c r="BH31">
        <v>-0.49106647394996722</v>
      </c>
      <c r="BI31">
        <v>-0.87516985058614083</v>
      </c>
      <c r="BJ31">
        <v>1.486784571399042</v>
      </c>
      <c r="BK31" t="e">
        <v>#NUM!</v>
      </c>
      <c r="BL31" t="e">
        <v>#NUM!</v>
      </c>
      <c r="BM31" t="e">
        <v>#NUM!</v>
      </c>
      <c r="BN31" t="e">
        <v>#NUM!</v>
      </c>
      <c r="BO31" t="e">
        <v>#NUM!</v>
      </c>
      <c r="BP31" t="e">
        <v>#NUM!</v>
      </c>
      <c r="BQ31" t="e">
        <v>#NUM!</v>
      </c>
      <c r="BR31" t="e">
        <v>#NUM!</v>
      </c>
      <c r="BS31" t="e">
        <v>#NUM!</v>
      </c>
      <c r="BT31" t="e">
        <v>#NUM!</v>
      </c>
      <c r="BU31" t="e">
        <v>#NUM!</v>
      </c>
      <c r="BV31" t="e">
        <v>#NUM!</v>
      </c>
      <c r="BW31" t="e">
        <v>#NUM!</v>
      </c>
      <c r="BX31" t="e">
        <v>#NUM!</v>
      </c>
      <c r="BY31" t="e">
        <v>#NUM!</v>
      </c>
      <c r="BZ31" t="e">
        <v>#NUM!</v>
      </c>
      <c r="CA31" t="e">
        <v>#NUM!</v>
      </c>
      <c r="CB31" t="e">
        <v>#NUM!</v>
      </c>
      <c r="CC31" t="e">
        <v>#NUM!</v>
      </c>
      <c r="CD31" t="e">
        <v>#NUM!</v>
      </c>
      <c r="CE31" t="e">
        <v>#NUM!</v>
      </c>
      <c r="CF31" t="e">
        <v>#NUM!</v>
      </c>
      <c r="CG31" t="e">
        <v>#NUM!</v>
      </c>
      <c r="CH31" t="e">
        <v>#NUM!</v>
      </c>
      <c r="CI31" t="e">
        <v>#NUM!</v>
      </c>
      <c r="CJ31" t="e">
        <v>#NUM!</v>
      </c>
      <c r="CK31" t="e">
        <v>#NUM!</v>
      </c>
      <c r="CL31" t="e">
        <v>#NUM!</v>
      </c>
    </row>
    <row r="32" spans="1:90" x14ac:dyDescent="0.3">
      <c r="A32" s="2" t="s">
        <v>56</v>
      </c>
      <c r="B32" s="2" t="s">
        <v>21</v>
      </c>
      <c r="C32" s="1">
        <v>44145</v>
      </c>
      <c r="D32" t="s">
        <v>22</v>
      </c>
      <c r="E32">
        <v>0.67800000000000005</v>
      </c>
      <c r="F32">
        <v>6940</v>
      </c>
      <c r="G32">
        <v>21.37</v>
      </c>
      <c r="H32">
        <v>61.91</v>
      </c>
      <c r="I32">
        <v>28.8</v>
      </c>
      <c r="J32">
        <v>6.25E-2</v>
      </c>
      <c r="K32">
        <v>6.25E-2</v>
      </c>
      <c r="L32">
        <v>0.125</v>
      </c>
      <c r="M32">
        <v>0.12670000000000001</v>
      </c>
      <c r="N32">
        <v>0.1779</v>
      </c>
      <c r="O32">
        <v>6.25E-2</v>
      </c>
      <c r="P32">
        <v>0.4118</v>
      </c>
      <c r="Q32">
        <v>0.125</v>
      </c>
      <c r="R32">
        <v>0.1275</v>
      </c>
      <c r="S32">
        <v>5.7000000000000002E-2</v>
      </c>
      <c r="T32">
        <v>0.125</v>
      </c>
      <c r="U32">
        <v>3.4689999999999999</v>
      </c>
      <c r="AX32">
        <f>SUM(Table1_15[[#This Row],[PFBA]:[PFMPA]])</f>
        <v>4.9323999999999995</v>
      </c>
      <c r="AY32">
        <v>-1.2041199826559248</v>
      </c>
      <c r="AZ32">
        <v>-1.2041199826559248</v>
      </c>
      <c r="BA32">
        <v>-0.90308998699194354</v>
      </c>
      <c r="BB32">
        <v>-0.89722338511655864</v>
      </c>
      <c r="BC32">
        <v>-0.74982405191607493</v>
      </c>
      <c r="BD32">
        <v>-1.2041199826559248</v>
      </c>
      <c r="BE32">
        <v>-0.38531365771798742</v>
      </c>
      <c r="BF32">
        <v>-0.90308998699194354</v>
      </c>
      <c r="BG32">
        <v>-0.89448981523002602</v>
      </c>
      <c r="BH32">
        <v>-1.2441251443275085</v>
      </c>
      <c r="BI32">
        <v>-0.90308998699194354</v>
      </c>
      <c r="BJ32">
        <v>0.54020429984205975</v>
      </c>
      <c r="BK32" t="e">
        <v>#NUM!</v>
      </c>
      <c r="BL32" t="e">
        <v>#NUM!</v>
      </c>
      <c r="BM32" t="e">
        <v>#NUM!</v>
      </c>
      <c r="BN32" t="e">
        <v>#NUM!</v>
      </c>
      <c r="BO32" t="e">
        <v>#NUM!</v>
      </c>
      <c r="BP32" t="e">
        <v>#NUM!</v>
      </c>
      <c r="BQ32" t="e">
        <v>#NUM!</v>
      </c>
      <c r="BR32" t="e">
        <v>#NUM!</v>
      </c>
      <c r="BS32" t="e">
        <v>#NUM!</v>
      </c>
      <c r="BT32" t="e">
        <v>#NUM!</v>
      </c>
      <c r="BU32" t="e">
        <v>#NUM!</v>
      </c>
      <c r="BV32" t="e">
        <v>#NUM!</v>
      </c>
      <c r="BW32" t="e">
        <v>#NUM!</v>
      </c>
      <c r="BX32" t="e">
        <v>#NUM!</v>
      </c>
      <c r="BY32" t="e">
        <v>#NUM!</v>
      </c>
      <c r="BZ32" t="e">
        <v>#NUM!</v>
      </c>
      <c r="CA32" t="e">
        <v>#NUM!</v>
      </c>
      <c r="CB32" t="e">
        <v>#NUM!</v>
      </c>
      <c r="CC32" t="e">
        <v>#NUM!</v>
      </c>
      <c r="CD32" t="e">
        <v>#NUM!</v>
      </c>
      <c r="CE32" t="e">
        <v>#NUM!</v>
      </c>
      <c r="CF32" t="e">
        <v>#NUM!</v>
      </c>
      <c r="CG32" t="e">
        <v>#NUM!</v>
      </c>
      <c r="CH32" t="e">
        <v>#NUM!</v>
      </c>
      <c r="CI32" t="e">
        <v>#NUM!</v>
      </c>
      <c r="CJ32" t="e">
        <v>#NUM!</v>
      </c>
      <c r="CK32" t="e">
        <v>#NUM!</v>
      </c>
      <c r="CL32" t="e">
        <v>#NUM!</v>
      </c>
    </row>
    <row r="33" spans="1:90" x14ac:dyDescent="0.3">
      <c r="A33" s="2" t="s">
        <v>57</v>
      </c>
      <c r="B33" s="2" t="s">
        <v>24</v>
      </c>
      <c r="C33" s="1">
        <v>44145</v>
      </c>
      <c r="D33" t="s">
        <v>25</v>
      </c>
      <c r="E33">
        <v>0.64800000000000002</v>
      </c>
      <c r="F33">
        <v>25800</v>
      </c>
      <c r="G33">
        <v>9.4499999999999993</v>
      </c>
      <c r="H33">
        <v>10.48</v>
      </c>
      <c r="I33">
        <v>74.8</v>
      </c>
      <c r="J33">
        <v>0.19819999999999999</v>
      </c>
      <c r="K33">
        <v>6.25E-2</v>
      </c>
      <c r="L33">
        <v>0.55889999999999995</v>
      </c>
      <c r="M33">
        <v>0.4703</v>
      </c>
      <c r="N33">
        <v>0.44829999999999998</v>
      </c>
      <c r="O33">
        <v>5.5126999999999997</v>
      </c>
      <c r="P33">
        <v>2.9346999999999999</v>
      </c>
      <c r="Q33">
        <v>0.83009999999999995</v>
      </c>
      <c r="R33">
        <v>4.2839</v>
      </c>
      <c r="S33">
        <v>0.45679999999999998</v>
      </c>
      <c r="T33">
        <v>0.45</v>
      </c>
      <c r="U33">
        <v>35.834699999999998</v>
      </c>
      <c r="AX33">
        <f>SUM(Table1_15[[#This Row],[PFBA]:[PFMPA]])</f>
        <v>52.0411</v>
      </c>
      <c r="AY33">
        <v>-0.70289634985074345</v>
      </c>
      <c r="AZ33">
        <v>-1.2041199826559248</v>
      </c>
      <c r="BA33">
        <v>-0.25266589038409498</v>
      </c>
      <c r="BB33">
        <v>-0.32762502125392051</v>
      </c>
      <c r="BC33">
        <v>-0.34843126113420814</v>
      </c>
      <c r="BD33">
        <v>0.74136435890596242</v>
      </c>
      <c r="BE33">
        <v>0.46756371205596253</v>
      </c>
      <c r="BF33">
        <v>-8.0869586139385607E-2</v>
      </c>
      <c r="BG33">
        <v>0.63183932444854873</v>
      </c>
      <c r="BH33">
        <v>-0.34027390476220837</v>
      </c>
      <c r="BI33">
        <v>-0.34678748622465633</v>
      </c>
      <c r="BJ33">
        <v>1.5543037730056444</v>
      </c>
      <c r="BK33" t="e">
        <v>#NUM!</v>
      </c>
      <c r="BL33" t="e">
        <v>#NUM!</v>
      </c>
      <c r="BM33" t="e">
        <v>#NUM!</v>
      </c>
      <c r="BN33" t="e">
        <v>#NUM!</v>
      </c>
      <c r="BO33" t="e">
        <v>#NUM!</v>
      </c>
      <c r="BP33" t="e">
        <v>#NUM!</v>
      </c>
      <c r="BQ33" t="e">
        <v>#NUM!</v>
      </c>
      <c r="BR33" t="e">
        <v>#NUM!</v>
      </c>
      <c r="BS33" t="e">
        <v>#NUM!</v>
      </c>
      <c r="BT33" t="e">
        <v>#NUM!</v>
      </c>
      <c r="BU33" t="e">
        <v>#NUM!</v>
      </c>
      <c r="BV33" t="e">
        <v>#NUM!</v>
      </c>
      <c r="BW33" t="e">
        <v>#NUM!</v>
      </c>
      <c r="BX33" t="e">
        <v>#NUM!</v>
      </c>
      <c r="BY33" t="e">
        <v>#NUM!</v>
      </c>
      <c r="BZ33" t="e">
        <v>#NUM!</v>
      </c>
      <c r="CA33" t="e">
        <v>#NUM!</v>
      </c>
      <c r="CB33" t="e">
        <v>#NUM!</v>
      </c>
      <c r="CC33" t="e">
        <v>#NUM!</v>
      </c>
      <c r="CD33" t="e">
        <v>#NUM!</v>
      </c>
      <c r="CE33" t="e">
        <v>#NUM!</v>
      </c>
      <c r="CF33" t="e">
        <v>#NUM!</v>
      </c>
      <c r="CG33" t="e">
        <v>#NUM!</v>
      </c>
      <c r="CH33" t="e">
        <v>#NUM!</v>
      </c>
      <c r="CI33" t="e">
        <v>#NUM!</v>
      </c>
      <c r="CJ33" t="e">
        <v>#NUM!</v>
      </c>
      <c r="CK33" t="e">
        <v>#NUM!</v>
      </c>
      <c r="CL33" t="e">
        <v>#NUM!</v>
      </c>
    </row>
    <row r="34" spans="1:90" x14ac:dyDescent="0.3">
      <c r="A34" s="2" t="s">
        <v>58</v>
      </c>
      <c r="B34" s="2" t="s">
        <v>27</v>
      </c>
      <c r="C34" s="1">
        <v>44145</v>
      </c>
      <c r="D34" t="s">
        <v>22</v>
      </c>
      <c r="E34">
        <v>0.19900000000000001</v>
      </c>
      <c r="F34">
        <v>11300</v>
      </c>
      <c r="G34">
        <v>5.37</v>
      </c>
      <c r="H34">
        <v>73.680000000000007</v>
      </c>
      <c r="I34">
        <v>46.2</v>
      </c>
      <c r="J34">
        <v>6.25E-2</v>
      </c>
      <c r="K34">
        <v>6.25E-2</v>
      </c>
      <c r="L34">
        <v>0.125</v>
      </c>
      <c r="M34">
        <v>0.1283</v>
      </c>
      <c r="N34">
        <v>0.17649999999999999</v>
      </c>
      <c r="O34">
        <v>6.25E-2</v>
      </c>
      <c r="P34">
        <v>0.55359999999999998</v>
      </c>
      <c r="Q34">
        <v>0.25369999999999998</v>
      </c>
      <c r="R34">
        <v>0.15820000000000001</v>
      </c>
      <c r="S34">
        <v>3.1699999999999999E-2</v>
      </c>
      <c r="T34">
        <v>0.125</v>
      </c>
      <c r="U34">
        <v>6.0419</v>
      </c>
      <c r="AX34">
        <f>SUM(Table1_15[[#This Row],[PFBA]:[PFMPA]])</f>
        <v>7.7814000000000005</v>
      </c>
      <c r="AY34">
        <v>-1.2041199826559248</v>
      </c>
      <c r="AZ34">
        <v>-1.2041199826559248</v>
      </c>
      <c r="BA34">
        <v>-0.90308998699194354</v>
      </c>
      <c r="BB34">
        <v>-0.89177334362507155</v>
      </c>
      <c r="BC34">
        <v>-0.75325529027615867</v>
      </c>
      <c r="BD34">
        <v>-1.2041199826559248</v>
      </c>
      <c r="BE34">
        <v>-0.25680391855129864</v>
      </c>
      <c r="BF34">
        <v>-0.59567953277826935</v>
      </c>
      <c r="BG34">
        <v>-0.80079352083834221</v>
      </c>
      <c r="BH34">
        <v>-1.4989407377822486</v>
      </c>
      <c r="BI34">
        <v>-0.90308998699194354</v>
      </c>
      <c r="BJ34">
        <v>0.78117353295189407</v>
      </c>
      <c r="BK34" t="e">
        <v>#NUM!</v>
      </c>
      <c r="BL34" t="e">
        <v>#NUM!</v>
      </c>
      <c r="BM34" t="e">
        <v>#NUM!</v>
      </c>
      <c r="BN34" t="e">
        <v>#NUM!</v>
      </c>
      <c r="BO34" t="e">
        <v>#NUM!</v>
      </c>
      <c r="BP34" t="e">
        <v>#NUM!</v>
      </c>
      <c r="BQ34" t="e">
        <v>#NUM!</v>
      </c>
      <c r="BR34" t="e">
        <v>#NUM!</v>
      </c>
      <c r="BS34" t="e">
        <v>#NUM!</v>
      </c>
      <c r="BT34" t="e">
        <v>#NUM!</v>
      </c>
      <c r="BU34" t="e">
        <v>#NUM!</v>
      </c>
      <c r="BV34" t="e">
        <v>#NUM!</v>
      </c>
      <c r="BW34" t="e">
        <v>#NUM!</v>
      </c>
      <c r="BX34" t="e">
        <v>#NUM!</v>
      </c>
      <c r="BY34" t="e">
        <v>#NUM!</v>
      </c>
      <c r="BZ34" t="e">
        <v>#NUM!</v>
      </c>
      <c r="CA34" t="e">
        <v>#NUM!</v>
      </c>
      <c r="CB34" t="e">
        <v>#NUM!</v>
      </c>
      <c r="CC34" t="e">
        <v>#NUM!</v>
      </c>
      <c r="CD34" t="e">
        <v>#NUM!</v>
      </c>
      <c r="CE34" t="e">
        <v>#NUM!</v>
      </c>
      <c r="CF34" t="e">
        <v>#NUM!</v>
      </c>
      <c r="CG34" t="e">
        <v>#NUM!</v>
      </c>
      <c r="CH34" t="e">
        <v>#NUM!</v>
      </c>
      <c r="CI34" t="e">
        <v>#NUM!</v>
      </c>
      <c r="CJ34" t="e">
        <v>#NUM!</v>
      </c>
      <c r="CK34" t="e">
        <v>#NUM!</v>
      </c>
      <c r="CL34" t="e">
        <v>#NUM!</v>
      </c>
    </row>
    <row r="35" spans="1:90" x14ac:dyDescent="0.3">
      <c r="A35" s="2" t="s">
        <v>59</v>
      </c>
      <c r="B35" s="2" t="s">
        <v>29</v>
      </c>
      <c r="C35" s="1">
        <v>44145</v>
      </c>
      <c r="D35" t="s">
        <v>25</v>
      </c>
      <c r="E35">
        <v>0.45600000000000002</v>
      </c>
      <c r="F35">
        <v>103000</v>
      </c>
      <c r="G35">
        <v>2.3199999999999998</v>
      </c>
      <c r="H35">
        <v>7.97</v>
      </c>
      <c r="I35">
        <v>74.599999999999994</v>
      </c>
      <c r="J35">
        <v>0.1394</v>
      </c>
      <c r="L35">
        <v>0.69340000000000002</v>
      </c>
      <c r="M35">
        <v>0.39200000000000002</v>
      </c>
      <c r="N35">
        <v>0.74709999999999999</v>
      </c>
      <c r="O35">
        <v>2.3481000000000001</v>
      </c>
      <c r="P35">
        <v>2.5737000000000001</v>
      </c>
      <c r="Q35">
        <v>0.66410000000000002</v>
      </c>
      <c r="R35">
        <v>8.6865000000000006</v>
      </c>
      <c r="S35">
        <v>0.61470000000000002</v>
      </c>
      <c r="T35">
        <v>0.2452</v>
      </c>
      <c r="U35">
        <v>32.7393</v>
      </c>
      <c r="AX35">
        <f>SUM(Table1_15[[#This Row],[PFBA]:[PFMPA]])</f>
        <v>49.843500000000006</v>
      </c>
      <c r="AY35">
        <v>-0.85573722623800941</v>
      </c>
      <c r="AZ35" t="e">
        <v>#NUM!</v>
      </c>
      <c r="BA35">
        <v>-0.1590161626796221</v>
      </c>
      <c r="BB35">
        <v>-0.40671393297954272</v>
      </c>
      <c r="BC35">
        <v>-0.12662126359085896</v>
      </c>
      <c r="BD35">
        <v>0.37071658853954564</v>
      </c>
      <c r="BE35">
        <v>0.41055792254594292</v>
      </c>
      <c r="BF35">
        <v>-0.1777665197611559</v>
      </c>
      <c r="BG35">
        <v>0.93884482398905522</v>
      </c>
      <c r="BH35">
        <v>-0.21133678687914254</v>
      </c>
      <c r="BI35">
        <v>-0.61047953415362255</v>
      </c>
      <c r="BJ35">
        <v>1.5150693895112528</v>
      </c>
      <c r="BK35" t="e">
        <v>#NUM!</v>
      </c>
      <c r="BL35" t="e">
        <v>#NUM!</v>
      </c>
      <c r="BM35" t="e">
        <v>#NUM!</v>
      </c>
      <c r="BN35" t="e">
        <v>#NUM!</v>
      </c>
      <c r="BO35" t="e">
        <v>#NUM!</v>
      </c>
      <c r="BP35" t="e">
        <v>#NUM!</v>
      </c>
      <c r="BQ35" t="e">
        <v>#NUM!</v>
      </c>
      <c r="BR35" t="e">
        <v>#NUM!</v>
      </c>
      <c r="BS35" t="e">
        <v>#NUM!</v>
      </c>
      <c r="BT35" t="e">
        <v>#NUM!</v>
      </c>
      <c r="BU35" t="e">
        <v>#NUM!</v>
      </c>
      <c r="BV35" t="e">
        <v>#NUM!</v>
      </c>
      <c r="BW35" t="e">
        <v>#NUM!</v>
      </c>
      <c r="BX35" t="e">
        <v>#NUM!</v>
      </c>
      <c r="BY35" t="e">
        <v>#NUM!</v>
      </c>
      <c r="BZ35" t="e">
        <v>#NUM!</v>
      </c>
      <c r="CA35" t="e">
        <v>#NUM!</v>
      </c>
      <c r="CB35" t="e">
        <v>#NUM!</v>
      </c>
      <c r="CC35" t="e">
        <v>#NUM!</v>
      </c>
      <c r="CD35" t="e">
        <v>#NUM!</v>
      </c>
      <c r="CE35" t="e">
        <v>#NUM!</v>
      </c>
      <c r="CF35" t="e">
        <v>#NUM!</v>
      </c>
      <c r="CG35" t="e">
        <v>#NUM!</v>
      </c>
      <c r="CH35" t="e">
        <v>#NUM!</v>
      </c>
      <c r="CI35" t="e">
        <v>#NUM!</v>
      </c>
      <c r="CJ35" t="e">
        <v>#NUM!</v>
      </c>
      <c r="CK35" t="e">
        <v>#NUM!</v>
      </c>
      <c r="CL35" t="e">
        <v>#NUM!</v>
      </c>
    </row>
    <row r="36" spans="1:90" x14ac:dyDescent="0.3">
      <c r="A36" s="2" t="s">
        <v>200</v>
      </c>
      <c r="B36" s="2" t="s">
        <v>128</v>
      </c>
      <c r="C36" s="1">
        <v>44244</v>
      </c>
      <c r="J36">
        <v>7.1999999999999995E-2</v>
      </c>
      <c r="K36">
        <v>0.16900000000000001</v>
      </c>
      <c r="L36">
        <v>1.805E-2</v>
      </c>
      <c r="M36">
        <v>0.13100000000000001</v>
      </c>
      <c r="N36">
        <v>6.5000000000000002E-2</v>
      </c>
      <c r="O36">
        <v>8.4000000000000005E-2</v>
      </c>
      <c r="P36">
        <v>0.72</v>
      </c>
      <c r="Q36">
        <v>0.18099999999999999</v>
      </c>
      <c r="R36">
        <v>0.16300000000000001</v>
      </c>
      <c r="S36">
        <v>0.05</v>
      </c>
      <c r="T36">
        <v>0.17299999999999999</v>
      </c>
      <c r="U36">
        <v>10.199999999999999</v>
      </c>
      <c r="V36">
        <v>8.3000000000000004E-2</v>
      </c>
      <c r="W36">
        <v>0.126</v>
      </c>
      <c r="X36">
        <v>5.6000000000000001E-2</v>
      </c>
      <c r="Y36">
        <v>4.4999999999999998E-2</v>
      </c>
      <c r="Z36">
        <v>1.805E-2</v>
      </c>
      <c r="AA36">
        <v>9.6000000000000002E-2</v>
      </c>
      <c r="AB36">
        <v>1.805E-2</v>
      </c>
      <c r="AC36">
        <v>7.1999999999999995E-2</v>
      </c>
      <c r="AD36">
        <v>0.189</v>
      </c>
      <c r="AE36">
        <v>8.5999999999999993E-2</v>
      </c>
      <c r="AF36">
        <v>1.805E-2</v>
      </c>
      <c r="AG36">
        <v>1.805E-2</v>
      </c>
      <c r="AH36">
        <v>5.0500000000000003E-2</v>
      </c>
      <c r="AI36">
        <v>1.805E-2</v>
      </c>
      <c r="AJ36">
        <v>0.18049999999999999</v>
      </c>
      <c r="AK36">
        <v>0.18049999999999999</v>
      </c>
      <c r="AL36">
        <v>7.1999999999999995E-2</v>
      </c>
      <c r="AM36">
        <v>7.1999999999999995E-2</v>
      </c>
      <c r="AN36">
        <v>1.805E-2</v>
      </c>
      <c r="AO36">
        <v>3.61E-2</v>
      </c>
      <c r="AP36">
        <v>7.2499999999999995E-2</v>
      </c>
      <c r="AQ36">
        <v>7.2499999999999995E-2</v>
      </c>
      <c r="AR36">
        <v>1.805E-2</v>
      </c>
      <c r="AS36">
        <v>7.1999999999999995E-2</v>
      </c>
      <c r="AT36">
        <v>0.45150000000000001</v>
      </c>
      <c r="AU36">
        <v>0.45150000000000001</v>
      </c>
      <c r="AV36">
        <v>7.1999999999999995E-2</v>
      </c>
      <c r="AW36">
        <v>3.61E-2</v>
      </c>
      <c r="AX36">
        <f>SUM(Table1_15[[#This Row],[PFBA]:[PFMPA]])</f>
        <v>14.725099999999996</v>
      </c>
      <c r="AY36">
        <v>-1.1426675035687315</v>
      </c>
      <c r="AZ36">
        <v>-0.77211329538632645</v>
      </c>
      <c r="BA36">
        <v>-1.7435227937583233</v>
      </c>
      <c r="BB36">
        <v>-0.88272870434423567</v>
      </c>
      <c r="BC36">
        <v>-1.1870866433571443</v>
      </c>
      <c r="BD36">
        <v>-1.0757207139381184</v>
      </c>
      <c r="BE36">
        <v>-0.14266750356873156</v>
      </c>
      <c r="BF36">
        <v>-0.74232142513081545</v>
      </c>
      <c r="BG36">
        <v>-0.78781239559604221</v>
      </c>
      <c r="BH36">
        <v>-1.3010299956639813</v>
      </c>
      <c r="BI36">
        <v>-0.76195389687120463</v>
      </c>
      <c r="BJ36">
        <v>1.0086001717619175</v>
      </c>
      <c r="BK36">
        <v>-1.080921907623926</v>
      </c>
      <c r="BL36">
        <v>-0.89962945488243706</v>
      </c>
      <c r="BM36">
        <v>-1.2518119729937995</v>
      </c>
      <c r="BN36">
        <v>-1.3467874862246563</v>
      </c>
      <c r="BO36">
        <v>-1.7435227937583233</v>
      </c>
      <c r="BP36">
        <v>-1.0177287669604316</v>
      </c>
      <c r="BQ36">
        <v>-1.7435227937583233</v>
      </c>
      <c r="BR36">
        <v>-1.1426675035687315</v>
      </c>
      <c r="BS36">
        <v>-0.72353819582675583</v>
      </c>
      <c r="BT36">
        <v>-1.0655015487564323</v>
      </c>
      <c r="BU36">
        <v>-1.7435227937583233</v>
      </c>
      <c r="BV36">
        <v>-1.7435227937583233</v>
      </c>
      <c r="BW36">
        <v>-1.2967086218813386</v>
      </c>
      <c r="BX36">
        <v>-1.7435227937583233</v>
      </c>
      <c r="BY36">
        <v>-0.74352279375832331</v>
      </c>
      <c r="BZ36">
        <v>-0.74352279375832331</v>
      </c>
      <c r="CA36">
        <v>-1.1426675035687315</v>
      </c>
      <c r="CB36">
        <v>-1.1426675035687315</v>
      </c>
      <c r="CC36">
        <v>-1.7435227937583233</v>
      </c>
      <c r="CD36">
        <v>-1.4424927980943421</v>
      </c>
      <c r="CE36">
        <v>-1.1396619934290064</v>
      </c>
      <c r="CF36">
        <v>-1.1396619934290064</v>
      </c>
      <c r="CG36">
        <v>-1.7435227937583233</v>
      </c>
      <c r="CH36">
        <v>-1.1426675035687315</v>
      </c>
      <c r="CI36">
        <v>-0.34534224535047536</v>
      </c>
      <c r="CJ36">
        <v>-0.34534224535047536</v>
      </c>
      <c r="CK36">
        <v>-1.1426675035687315</v>
      </c>
      <c r="CL36">
        <v>-1.4424927980943421</v>
      </c>
    </row>
    <row r="37" spans="1:90" x14ac:dyDescent="0.3">
      <c r="A37" s="2" t="s">
        <v>199</v>
      </c>
      <c r="B37" s="2" t="s">
        <v>126</v>
      </c>
      <c r="C37" s="1">
        <v>44244</v>
      </c>
      <c r="J37">
        <v>0.20300000000000001</v>
      </c>
      <c r="K37">
        <v>0.36899999999999999</v>
      </c>
      <c r="L37">
        <v>5.0999999999999997E-2</v>
      </c>
      <c r="M37">
        <v>0.26200000000000001</v>
      </c>
      <c r="N37">
        <v>0.08</v>
      </c>
      <c r="O37">
        <v>0.14299999999999999</v>
      </c>
      <c r="P37">
        <v>1.29</v>
      </c>
      <c r="Q37">
        <v>0.53200000000000003</v>
      </c>
      <c r="R37">
        <v>7.48</v>
      </c>
      <c r="S37">
        <v>0.14099999999999999</v>
      </c>
      <c r="T37">
        <v>0.33300000000000002</v>
      </c>
      <c r="U37">
        <v>25</v>
      </c>
      <c r="V37">
        <v>0.36699999999999999</v>
      </c>
      <c r="W37">
        <v>0.97899999999999998</v>
      </c>
      <c r="X37">
        <v>1.03</v>
      </c>
      <c r="Y37">
        <v>0.93300000000000005</v>
      </c>
      <c r="Z37">
        <v>0.52400000000000002</v>
      </c>
      <c r="AA37">
        <v>0.11799999999999999</v>
      </c>
      <c r="AB37">
        <v>0.39400000000000002</v>
      </c>
      <c r="AC37">
        <v>7.2999999999999995E-2</v>
      </c>
      <c r="AD37">
        <v>0.94599999999999995</v>
      </c>
      <c r="AE37">
        <v>0.28699999999999998</v>
      </c>
      <c r="AF37">
        <v>1.83E-2</v>
      </c>
      <c r="AG37">
        <v>1.83E-2</v>
      </c>
      <c r="AH37">
        <v>5.0999999999999997E-2</v>
      </c>
      <c r="AI37">
        <v>1.83E-2</v>
      </c>
      <c r="AJ37">
        <v>0.183</v>
      </c>
      <c r="AK37">
        <v>0.183</v>
      </c>
      <c r="AL37">
        <v>7.2999999999999995E-2</v>
      </c>
      <c r="AM37">
        <v>7.2999999999999995E-2</v>
      </c>
      <c r="AN37">
        <v>1.83E-2</v>
      </c>
      <c r="AO37">
        <v>3.6600000000000001E-2</v>
      </c>
      <c r="AP37">
        <v>7.3499999999999996E-2</v>
      </c>
      <c r="AQ37">
        <v>7.3499999999999996E-2</v>
      </c>
      <c r="AR37">
        <v>1.83E-2</v>
      </c>
      <c r="AS37">
        <v>7.2999999999999995E-2</v>
      </c>
      <c r="AT37">
        <v>0.45750000000000002</v>
      </c>
      <c r="AU37">
        <v>0.94499999999999995</v>
      </c>
      <c r="AV37">
        <v>0.56399999999999995</v>
      </c>
      <c r="AW37">
        <v>3.6600000000000001E-2</v>
      </c>
      <c r="AX37">
        <f>SUM(Table1_15[[#This Row],[PFBA]:[PFMPA]])</f>
        <v>44.449200000000026</v>
      </c>
      <c r="AY37">
        <v>-0.69250396208678711</v>
      </c>
      <c r="AZ37">
        <v>-0.43297363384093962</v>
      </c>
      <c r="BA37">
        <v>-1.2924298239020637</v>
      </c>
      <c r="BB37">
        <v>-0.58169870868025453</v>
      </c>
      <c r="BC37">
        <v>-1.0969100130080565</v>
      </c>
      <c r="BD37">
        <v>-0.84466396253493825</v>
      </c>
      <c r="BE37">
        <v>0.11058971029924898</v>
      </c>
      <c r="BF37">
        <v>-0.27408836770495182</v>
      </c>
      <c r="BG37">
        <v>0.87390159786446142</v>
      </c>
      <c r="BH37">
        <v>-0.8507808873446201</v>
      </c>
      <c r="BI37">
        <v>-0.47755576649368009</v>
      </c>
      <c r="BJ37">
        <v>1.3979400086720377</v>
      </c>
      <c r="BK37">
        <v>-0.43533393574791068</v>
      </c>
      <c r="BL37">
        <v>-9.2173081968621833E-3</v>
      </c>
      <c r="BM37">
        <v>1.2837224705172217E-2</v>
      </c>
      <c r="BN37">
        <v>-3.0118356253500032E-2</v>
      </c>
      <c r="BO37">
        <v>-0.28066871301627333</v>
      </c>
      <c r="BP37">
        <v>-0.92811799269387463</v>
      </c>
      <c r="BQ37">
        <v>-0.40450377817442584</v>
      </c>
      <c r="BR37">
        <v>-1.1366771398795441</v>
      </c>
      <c r="BS37">
        <v>-2.4108863598207259E-2</v>
      </c>
      <c r="BT37">
        <v>-0.54211810326600773</v>
      </c>
      <c r="BU37">
        <v>-1.7375489102695705</v>
      </c>
      <c r="BV37">
        <v>-1.7375489102695705</v>
      </c>
      <c r="BW37">
        <v>-1.2924298239020637</v>
      </c>
      <c r="BX37">
        <v>-1.7375489102695705</v>
      </c>
      <c r="BY37">
        <v>-0.73754891026957059</v>
      </c>
      <c r="BZ37">
        <v>-0.73754891026957059</v>
      </c>
      <c r="CA37">
        <v>-1.1366771398795441</v>
      </c>
      <c r="CB37">
        <v>-1.1366771398795441</v>
      </c>
      <c r="CC37">
        <v>-1.7375489102695705</v>
      </c>
      <c r="CD37">
        <v>-1.4365189146055892</v>
      </c>
      <c r="CE37">
        <v>-1.133712660915805</v>
      </c>
      <c r="CF37">
        <v>-1.133712660915805</v>
      </c>
      <c r="CG37">
        <v>-1.7375489102695705</v>
      </c>
      <c r="CH37">
        <v>-1.1366771398795441</v>
      </c>
      <c r="CI37">
        <v>-0.33960890159753288</v>
      </c>
      <c r="CJ37">
        <v>-2.4568191490737076E-2</v>
      </c>
      <c r="CK37">
        <v>-0.24872089601665776</v>
      </c>
      <c r="CL37">
        <v>-1.4365189146055892</v>
      </c>
    </row>
    <row r="38" spans="1:90" x14ac:dyDescent="0.3">
      <c r="A38" s="2" t="s">
        <v>201</v>
      </c>
      <c r="B38" s="2" t="s">
        <v>127</v>
      </c>
      <c r="C38" s="1">
        <v>44244</v>
      </c>
      <c r="J38">
        <v>0.24299999999999999</v>
      </c>
      <c r="K38">
        <v>0.46</v>
      </c>
      <c r="L38">
        <v>1.8100000000000002E-2</v>
      </c>
      <c r="M38">
        <v>0.39300000000000002</v>
      </c>
      <c r="N38">
        <v>1.8200000000000001E-2</v>
      </c>
      <c r="O38">
        <v>0.13200000000000001</v>
      </c>
      <c r="P38">
        <v>0.33700000000000002</v>
      </c>
      <c r="Q38">
        <v>0.33300000000000002</v>
      </c>
      <c r="R38">
        <v>1.27</v>
      </c>
      <c r="S38">
        <v>4.4999999999999998E-2</v>
      </c>
      <c r="T38">
        <v>0.19400000000000001</v>
      </c>
      <c r="U38">
        <v>8.91</v>
      </c>
      <c r="V38">
        <v>0.13500000000000001</v>
      </c>
      <c r="W38">
        <v>0.32800000000000001</v>
      </c>
      <c r="X38">
        <v>0.18099999999999999</v>
      </c>
      <c r="Y38">
        <v>8.2000000000000003E-2</v>
      </c>
      <c r="Z38">
        <v>4.1000000000000002E-2</v>
      </c>
      <c r="AA38">
        <v>6.9000000000000006E-2</v>
      </c>
      <c r="AB38">
        <v>4.4999999999999998E-2</v>
      </c>
      <c r="AC38">
        <v>7.2499999999999995E-2</v>
      </c>
      <c r="AD38">
        <v>1.04</v>
      </c>
      <c r="AE38">
        <v>0.58699999999999997</v>
      </c>
      <c r="AF38">
        <v>1.8100000000000002E-2</v>
      </c>
      <c r="AG38">
        <v>1.8100000000000002E-2</v>
      </c>
      <c r="AH38">
        <v>5.0500000000000003E-2</v>
      </c>
      <c r="AI38">
        <v>1.8100000000000002E-2</v>
      </c>
      <c r="AJ38">
        <v>0.18099999999999999</v>
      </c>
      <c r="AK38">
        <v>0.18099999999999999</v>
      </c>
      <c r="AL38">
        <v>7.2499999999999995E-2</v>
      </c>
      <c r="AM38">
        <v>7.2499999999999995E-2</v>
      </c>
      <c r="AN38">
        <v>1.8100000000000002E-2</v>
      </c>
      <c r="AO38">
        <v>3.6249999999999998E-2</v>
      </c>
      <c r="AP38">
        <v>7.2499999999999995E-2</v>
      </c>
      <c r="AQ38">
        <v>7.2499999999999995E-2</v>
      </c>
      <c r="AR38">
        <v>1.8100000000000002E-2</v>
      </c>
      <c r="AS38">
        <v>7.2499999999999995E-2</v>
      </c>
      <c r="AT38">
        <v>0.45300000000000001</v>
      </c>
      <c r="AU38">
        <v>0.45300000000000001</v>
      </c>
      <c r="AV38">
        <v>0.70699999999999996</v>
      </c>
      <c r="AW38">
        <v>3.6249999999999998E-2</v>
      </c>
      <c r="AX38">
        <f>SUM(Table1_15[[#This Row],[PFBA]:[PFMPA]])</f>
        <v>17.4848</v>
      </c>
      <c r="AY38">
        <v>-0.61439372640168788</v>
      </c>
      <c r="AZ38">
        <v>-0.33724216831842591</v>
      </c>
      <c r="BA38">
        <v>-1.7423214251308154</v>
      </c>
      <c r="BB38">
        <v>-0.40560744962457329</v>
      </c>
      <c r="BC38">
        <v>-1.7399286120149251</v>
      </c>
      <c r="BD38">
        <v>-0.87942606879415008</v>
      </c>
      <c r="BE38">
        <v>-0.47237009912866135</v>
      </c>
      <c r="BF38">
        <v>-0.47755576649368009</v>
      </c>
      <c r="BG38">
        <v>0.10380372095595687</v>
      </c>
      <c r="BH38">
        <v>-1.3467874862246563</v>
      </c>
      <c r="BI38">
        <v>-0.71219827006977399</v>
      </c>
      <c r="BJ38">
        <v>0.94987770403687477</v>
      </c>
      <c r="BK38">
        <v>-0.86966623150499389</v>
      </c>
      <c r="BL38">
        <v>-0.4841261562883209</v>
      </c>
      <c r="BM38">
        <v>-0.74232142513081545</v>
      </c>
      <c r="BN38">
        <v>-1.0861861476162833</v>
      </c>
      <c r="BO38">
        <v>-1.3872161432802645</v>
      </c>
      <c r="BP38">
        <v>-1.1611509092627446</v>
      </c>
      <c r="BQ38">
        <v>-1.3467874862246563</v>
      </c>
      <c r="BR38">
        <v>-1.1396619934290064</v>
      </c>
      <c r="BS38">
        <v>1.703333929878037E-2</v>
      </c>
      <c r="BT38">
        <v>-0.23136189875238555</v>
      </c>
      <c r="BU38">
        <v>-1.7423214251308154</v>
      </c>
      <c r="BV38">
        <v>-1.7423214251308154</v>
      </c>
      <c r="BW38">
        <v>-1.2967086218813386</v>
      </c>
      <c r="BX38">
        <v>-1.7423214251308154</v>
      </c>
      <c r="BY38">
        <v>-0.74232142513081545</v>
      </c>
      <c r="BZ38">
        <v>-0.74232142513081545</v>
      </c>
      <c r="CA38">
        <v>-1.1396619934290064</v>
      </c>
      <c r="CB38">
        <v>-1.1396619934290064</v>
      </c>
      <c r="CC38">
        <v>-1.7423214251308154</v>
      </c>
      <c r="CD38">
        <v>-1.4406919890929875</v>
      </c>
      <c r="CE38">
        <v>-1.1396619934290064</v>
      </c>
      <c r="CF38">
        <v>-1.1396619934290064</v>
      </c>
      <c r="CG38">
        <v>-1.7423214251308154</v>
      </c>
      <c r="CH38">
        <v>-1.1396619934290064</v>
      </c>
      <c r="CI38">
        <v>-0.34390179798716813</v>
      </c>
      <c r="CJ38">
        <v>-0.34390179798716813</v>
      </c>
      <c r="CK38">
        <v>-0.15058058620310061</v>
      </c>
      <c r="CL38">
        <v>-1.4406919890929875</v>
      </c>
    </row>
    <row r="39" spans="1:90" x14ac:dyDescent="0.3">
      <c r="A39" s="2" t="s">
        <v>198</v>
      </c>
      <c r="B39" s="2" t="s">
        <v>125</v>
      </c>
      <c r="C39" s="1">
        <v>44244</v>
      </c>
      <c r="J39">
        <v>0.37</v>
      </c>
      <c r="K39">
        <v>0.65100000000000002</v>
      </c>
      <c r="L39">
        <v>1.8100000000000002E-2</v>
      </c>
      <c r="M39">
        <v>0.32800000000000001</v>
      </c>
      <c r="N39">
        <v>5.7000000000000002E-2</v>
      </c>
      <c r="O39">
        <v>0.223</v>
      </c>
      <c r="P39">
        <v>0.88500000000000001</v>
      </c>
      <c r="Q39">
        <v>0.501</v>
      </c>
      <c r="R39">
        <v>6.5500000000000003E-2</v>
      </c>
      <c r="S39">
        <v>7.0000000000000007E-2</v>
      </c>
      <c r="T39">
        <v>0.35799999999999998</v>
      </c>
      <c r="U39">
        <v>14.7</v>
      </c>
      <c r="V39">
        <v>0.16400000000000001</v>
      </c>
      <c r="W39">
        <v>0.47499999999999998</v>
      </c>
      <c r="X39">
        <v>0.26100000000000001</v>
      </c>
      <c r="Y39">
        <v>0.191</v>
      </c>
      <c r="Z39">
        <v>7.9000000000000001E-2</v>
      </c>
      <c r="AA39">
        <v>0.122</v>
      </c>
      <c r="AB39">
        <v>7.6999999999999999E-2</v>
      </c>
      <c r="AC39">
        <v>7.2499999999999995E-2</v>
      </c>
      <c r="AD39">
        <v>0.29199999999999998</v>
      </c>
      <c r="AE39">
        <v>0.41</v>
      </c>
      <c r="AF39">
        <v>1.8100000000000002E-2</v>
      </c>
      <c r="AG39">
        <v>1.8100000000000002E-2</v>
      </c>
      <c r="AH39">
        <v>5.0500000000000003E-2</v>
      </c>
      <c r="AI39">
        <v>1.8100000000000002E-2</v>
      </c>
      <c r="AJ39">
        <v>0.18099999999999999</v>
      </c>
      <c r="AK39">
        <v>0.18099999999999999</v>
      </c>
      <c r="AL39">
        <v>7.2499999999999995E-2</v>
      </c>
      <c r="AM39">
        <v>7.2499999999999995E-2</v>
      </c>
      <c r="AN39">
        <v>1.8100000000000002E-2</v>
      </c>
      <c r="AO39">
        <v>3.6249999999999998E-2</v>
      </c>
      <c r="AP39">
        <v>7.2499999999999995E-2</v>
      </c>
      <c r="AQ39">
        <v>7.2499999999999995E-2</v>
      </c>
      <c r="AR39">
        <v>1.8100000000000002E-2</v>
      </c>
      <c r="AS39">
        <v>7.2499999999999995E-2</v>
      </c>
      <c r="AT39">
        <v>0.45300000000000001</v>
      </c>
      <c r="AU39">
        <v>0.45300000000000001</v>
      </c>
      <c r="AV39">
        <v>0.49099999999999999</v>
      </c>
      <c r="AW39">
        <v>3.6249999999999998E-2</v>
      </c>
      <c r="AX39">
        <f>SUM(Table1_15[[#This Row],[PFBA]:[PFMPA]])</f>
        <v>22.705100000000012</v>
      </c>
      <c r="AY39">
        <v>-0.43179827593300502</v>
      </c>
      <c r="AZ39">
        <v>-0.18641901143180803</v>
      </c>
      <c r="BA39">
        <v>-1.7423214251308154</v>
      </c>
      <c r="BB39">
        <v>-0.4841261562883209</v>
      </c>
      <c r="BC39">
        <v>-1.2441251443275085</v>
      </c>
      <c r="BD39">
        <v>-0.65169513695183934</v>
      </c>
      <c r="BE39">
        <v>-5.305672930217456E-2</v>
      </c>
      <c r="BF39">
        <v>-0.30016227413275426</v>
      </c>
      <c r="BG39">
        <v>-1.1837587000082168</v>
      </c>
      <c r="BH39">
        <v>-1.1549019599857431</v>
      </c>
      <c r="BI39">
        <v>-0.44611697335612566</v>
      </c>
      <c r="BJ39">
        <v>1.167317334748176</v>
      </c>
      <c r="BK39">
        <v>-0.78515615195230215</v>
      </c>
      <c r="BL39">
        <v>-0.32330639037513342</v>
      </c>
      <c r="BM39">
        <v>-0.58335949266171905</v>
      </c>
      <c r="BN39">
        <v>-0.71896663275227246</v>
      </c>
      <c r="BO39">
        <v>-1.1023729087095586</v>
      </c>
      <c r="BP39">
        <v>-0.91364016932525183</v>
      </c>
      <c r="BQ39">
        <v>-1.1135092748275182</v>
      </c>
      <c r="BR39">
        <v>-1.1396619934290064</v>
      </c>
      <c r="BS39">
        <v>-0.53461714855158171</v>
      </c>
      <c r="BT39">
        <v>-0.38721614328026455</v>
      </c>
      <c r="BU39">
        <v>-1.7423214251308154</v>
      </c>
      <c r="BV39">
        <v>-1.7423214251308154</v>
      </c>
      <c r="BW39">
        <v>-1.2967086218813386</v>
      </c>
      <c r="BX39">
        <v>-1.7423214251308154</v>
      </c>
      <c r="BY39">
        <v>-0.74232142513081545</v>
      </c>
      <c r="BZ39">
        <v>-0.74232142513081545</v>
      </c>
      <c r="CA39">
        <v>-1.1396619934290064</v>
      </c>
      <c r="CB39">
        <v>-1.1396619934290064</v>
      </c>
      <c r="CC39">
        <v>-1.7423214251308154</v>
      </c>
      <c r="CD39">
        <v>-1.4406919890929875</v>
      </c>
      <c r="CE39">
        <v>-1.1396619934290064</v>
      </c>
      <c r="CF39">
        <v>-1.1396619934290064</v>
      </c>
      <c r="CG39">
        <v>-1.7423214251308154</v>
      </c>
      <c r="CH39">
        <v>-1.1396619934290064</v>
      </c>
      <c r="CI39">
        <v>-0.34390179798716813</v>
      </c>
      <c r="CJ39">
        <v>-0.34390179798716813</v>
      </c>
      <c r="CK39">
        <v>-0.30891850787703151</v>
      </c>
      <c r="CL39">
        <v>-1.4406919890929875</v>
      </c>
    </row>
    <row r="40" spans="1:90" x14ac:dyDescent="0.3">
      <c r="A40" s="2" t="s">
        <v>204</v>
      </c>
      <c r="B40" s="2" t="s">
        <v>128</v>
      </c>
      <c r="C40" s="1">
        <v>44278</v>
      </c>
      <c r="J40">
        <v>0.14699999999999999</v>
      </c>
      <c r="K40">
        <v>0.2</v>
      </c>
      <c r="L40">
        <v>1.805E-2</v>
      </c>
      <c r="M40">
        <v>0.17399999999999999</v>
      </c>
      <c r="N40">
        <v>4.8000000000000001E-2</v>
      </c>
      <c r="O40">
        <v>8.5000000000000006E-2</v>
      </c>
      <c r="P40">
        <v>0.60899999999999999</v>
      </c>
      <c r="Q40">
        <v>0.161</v>
      </c>
      <c r="R40">
        <v>0.22800000000000001</v>
      </c>
      <c r="S40">
        <v>1.805E-2</v>
      </c>
      <c r="T40">
        <v>0.16500000000000001</v>
      </c>
      <c r="U40">
        <v>7.52</v>
      </c>
      <c r="V40">
        <v>7.1999999999999995E-2</v>
      </c>
      <c r="W40">
        <v>8.4000000000000005E-2</v>
      </c>
      <c r="X40">
        <v>3.3000000000000002E-2</v>
      </c>
      <c r="Y40">
        <v>4.1000000000000002E-2</v>
      </c>
      <c r="Z40">
        <v>1.805E-2</v>
      </c>
      <c r="AA40">
        <v>7.1999999999999995E-2</v>
      </c>
      <c r="AB40">
        <v>1.805E-2</v>
      </c>
      <c r="AC40">
        <v>7.1999999999999995E-2</v>
      </c>
      <c r="AD40">
        <v>6.1499999999999999E-2</v>
      </c>
      <c r="AE40">
        <v>0.129</v>
      </c>
      <c r="AF40">
        <v>1.805E-2</v>
      </c>
      <c r="AG40">
        <v>1.805E-2</v>
      </c>
      <c r="AH40">
        <v>5.0500000000000003E-2</v>
      </c>
      <c r="AI40">
        <v>1.805E-2</v>
      </c>
      <c r="AJ40">
        <v>0.18049999999999999</v>
      </c>
      <c r="AK40">
        <v>0.18049999999999999</v>
      </c>
      <c r="AL40">
        <v>7.1999999999999995E-2</v>
      </c>
      <c r="AM40">
        <v>7.1999999999999995E-2</v>
      </c>
      <c r="AN40">
        <v>1.805E-2</v>
      </c>
      <c r="AO40">
        <v>3.61E-2</v>
      </c>
      <c r="AP40">
        <v>7.2499999999999995E-2</v>
      </c>
      <c r="AQ40">
        <v>7.2499999999999995E-2</v>
      </c>
      <c r="AR40">
        <v>1.805E-2</v>
      </c>
      <c r="AS40">
        <v>7.1999999999999995E-2</v>
      </c>
      <c r="AT40">
        <v>0.45150000000000001</v>
      </c>
      <c r="AU40">
        <v>0.45150000000000001</v>
      </c>
      <c r="AV40">
        <v>4.4999999999999998E-2</v>
      </c>
      <c r="AW40">
        <v>3.61E-2</v>
      </c>
      <c r="AX40">
        <f>SUM(Table1_15[[#This Row],[PFBA]:[PFMPA]])</f>
        <v>11.856649999999995</v>
      </c>
      <c r="AY40">
        <v>-0.83268266525182388</v>
      </c>
      <c r="AZ40">
        <v>-0.69897000433601875</v>
      </c>
      <c r="BA40">
        <v>-1.7435227937583233</v>
      </c>
      <c r="BB40">
        <v>-0.75945075171740029</v>
      </c>
      <c r="BC40">
        <v>-1.3187587626244128</v>
      </c>
      <c r="BD40">
        <v>-1.0705810742857071</v>
      </c>
      <c r="BE40">
        <v>-0.21538270736712464</v>
      </c>
      <c r="BF40">
        <v>-0.79317412396815024</v>
      </c>
      <c r="BG40">
        <v>-0.64206515299954614</v>
      </c>
      <c r="BH40">
        <v>-1.7435227937583233</v>
      </c>
      <c r="BI40">
        <v>-0.78251605578609373</v>
      </c>
      <c r="BJ40">
        <v>0.87621784059164221</v>
      </c>
      <c r="BK40">
        <v>-1.1426675035687315</v>
      </c>
      <c r="BL40">
        <v>-1.0757207139381184</v>
      </c>
      <c r="BM40">
        <v>-1.4814860601221125</v>
      </c>
      <c r="BN40">
        <v>-1.3872161432802645</v>
      </c>
      <c r="BO40">
        <v>-1.7435227937583233</v>
      </c>
      <c r="BP40">
        <v>-1.1426675035687315</v>
      </c>
      <c r="BQ40">
        <v>-1.7435227937583233</v>
      </c>
      <c r="BR40">
        <v>-1.1426675035687315</v>
      </c>
      <c r="BS40">
        <v>-1.2111248842245832</v>
      </c>
      <c r="BT40">
        <v>-0.88941028970075098</v>
      </c>
      <c r="BU40">
        <v>-1.7435227937583233</v>
      </c>
      <c r="BV40">
        <v>-1.7435227937583233</v>
      </c>
      <c r="BW40">
        <v>-1.2967086218813386</v>
      </c>
      <c r="BX40">
        <v>-1.7435227937583233</v>
      </c>
      <c r="BY40">
        <v>-0.74352279375832331</v>
      </c>
      <c r="BZ40">
        <v>-0.74352279375832331</v>
      </c>
      <c r="CA40">
        <v>-1.1426675035687315</v>
      </c>
      <c r="CB40">
        <v>-1.1426675035687315</v>
      </c>
      <c r="CC40">
        <v>-1.7435227937583233</v>
      </c>
      <c r="CD40">
        <v>-1.4424927980943421</v>
      </c>
      <c r="CE40">
        <v>-1.1396619934290064</v>
      </c>
      <c r="CF40">
        <v>-1.1396619934290064</v>
      </c>
      <c r="CG40">
        <v>-1.7435227937583233</v>
      </c>
      <c r="CH40">
        <v>-1.1426675035687315</v>
      </c>
      <c r="CI40">
        <v>-0.34534224535047536</v>
      </c>
      <c r="CJ40">
        <v>-0.34534224535047536</v>
      </c>
      <c r="CK40">
        <v>-1.3467874862246563</v>
      </c>
      <c r="CL40">
        <v>-1.4424927980943421</v>
      </c>
    </row>
    <row r="41" spans="1:90" x14ac:dyDescent="0.3">
      <c r="A41" s="2" t="s">
        <v>203</v>
      </c>
      <c r="B41" s="2" t="s">
        <v>126</v>
      </c>
      <c r="C41" s="1">
        <v>44278</v>
      </c>
      <c r="J41">
        <v>7.2999999999999995E-2</v>
      </c>
      <c r="K41">
        <v>0.16300000000000001</v>
      </c>
      <c r="L41">
        <v>6.5000000000000002E-2</v>
      </c>
      <c r="M41">
        <v>0.20300000000000001</v>
      </c>
      <c r="N41">
        <v>0.10100000000000001</v>
      </c>
      <c r="O41">
        <v>8.5999999999999993E-2</v>
      </c>
      <c r="P41">
        <v>0.96699999999999997</v>
      </c>
      <c r="Q41">
        <v>0.307</v>
      </c>
      <c r="R41">
        <v>0.39900000000000002</v>
      </c>
      <c r="S41">
        <v>0.11600000000000001</v>
      </c>
      <c r="T41">
        <v>0.13700000000000001</v>
      </c>
      <c r="U41">
        <v>17.5</v>
      </c>
      <c r="V41">
        <v>9.9000000000000005E-2</v>
      </c>
      <c r="W41">
        <v>0.22900000000000001</v>
      </c>
      <c r="X41">
        <v>0.48399999999999999</v>
      </c>
      <c r="Y41">
        <v>0.59099999999999997</v>
      </c>
      <c r="Z41">
        <v>0.35799999999999998</v>
      </c>
      <c r="AA41">
        <v>6.4000000000000001E-2</v>
      </c>
      <c r="AB41">
        <v>0.25</v>
      </c>
      <c r="AC41">
        <v>7.2999999999999995E-2</v>
      </c>
      <c r="AD41">
        <v>0.64</v>
      </c>
      <c r="AE41">
        <v>0.22500000000000001</v>
      </c>
      <c r="AF41">
        <v>1.83E-2</v>
      </c>
      <c r="AG41">
        <v>1.83E-2</v>
      </c>
      <c r="AH41">
        <v>5.0999999999999997E-2</v>
      </c>
      <c r="AI41">
        <v>1.83E-2</v>
      </c>
      <c r="AJ41">
        <v>0.183</v>
      </c>
      <c r="AK41">
        <v>0.183</v>
      </c>
      <c r="AL41">
        <v>7.2999999999999995E-2</v>
      </c>
      <c r="AM41">
        <v>7.2999999999999995E-2</v>
      </c>
      <c r="AN41">
        <v>1.83E-2</v>
      </c>
      <c r="AO41">
        <v>3.6549999999999999E-2</v>
      </c>
      <c r="AP41">
        <v>7.3499999999999996E-2</v>
      </c>
      <c r="AQ41">
        <v>7.2999999999999995E-2</v>
      </c>
      <c r="AR41">
        <v>1.83E-2</v>
      </c>
      <c r="AS41">
        <v>7.2999999999999995E-2</v>
      </c>
      <c r="AT41">
        <v>0.45700000000000002</v>
      </c>
      <c r="AU41">
        <v>0.45700000000000002</v>
      </c>
      <c r="AV41">
        <v>0.25800000000000001</v>
      </c>
      <c r="AW41">
        <v>3.6549999999999999E-2</v>
      </c>
      <c r="AX41">
        <f>SUM(Table1_15[[#This Row],[PFBA]:[PFMPA]])</f>
        <v>25.249100000000002</v>
      </c>
      <c r="AY41">
        <v>-1.1366771398795441</v>
      </c>
      <c r="AZ41">
        <v>-0.78781239559604221</v>
      </c>
      <c r="BA41">
        <v>-1.1870866433571443</v>
      </c>
      <c r="BB41">
        <v>-0.69250396208678711</v>
      </c>
      <c r="BC41">
        <v>-0.99567862621735737</v>
      </c>
      <c r="BD41">
        <v>-1.0655015487564323</v>
      </c>
      <c r="BE41">
        <v>-1.4573525916998339E-2</v>
      </c>
      <c r="BF41">
        <v>-0.51286162452281348</v>
      </c>
      <c r="BG41">
        <v>-0.39902710431325172</v>
      </c>
      <c r="BH41">
        <v>-0.93554201077308152</v>
      </c>
      <c r="BI41">
        <v>-0.86327943284359321</v>
      </c>
      <c r="BJ41">
        <v>1.2430380486862944</v>
      </c>
      <c r="BK41">
        <v>-1.0043648054024501</v>
      </c>
      <c r="BL41">
        <v>-0.64016451766011195</v>
      </c>
      <c r="BM41">
        <v>-0.31515463835558755</v>
      </c>
      <c r="BN41">
        <v>-0.22841251911874466</v>
      </c>
      <c r="BO41">
        <v>-0.44611697335612566</v>
      </c>
      <c r="BP41">
        <v>-1.1938200260161129</v>
      </c>
      <c r="BQ41">
        <v>-0.6020599913279624</v>
      </c>
      <c r="BR41">
        <v>-1.1366771398795441</v>
      </c>
      <c r="BS41">
        <v>-0.19382002601611281</v>
      </c>
      <c r="BT41">
        <v>-0.64781748188863753</v>
      </c>
      <c r="BU41">
        <v>-1.7375489102695705</v>
      </c>
      <c r="BV41">
        <v>-1.7375489102695705</v>
      </c>
      <c r="BW41">
        <v>-1.2924298239020637</v>
      </c>
      <c r="BX41">
        <v>-1.7375489102695705</v>
      </c>
      <c r="BY41">
        <v>-0.73754891026957059</v>
      </c>
      <c r="BZ41">
        <v>-0.73754891026957059</v>
      </c>
      <c r="CA41">
        <v>-1.1366771398795441</v>
      </c>
      <c r="CB41">
        <v>-1.1366771398795441</v>
      </c>
      <c r="CC41">
        <v>-1.7375489102695705</v>
      </c>
      <c r="CD41">
        <v>-1.4371126187061207</v>
      </c>
      <c r="CE41">
        <v>-1.133712660915805</v>
      </c>
      <c r="CF41">
        <v>-1.1366771398795441</v>
      </c>
      <c r="CG41">
        <v>-1.7375489102695705</v>
      </c>
      <c r="CH41">
        <v>-1.1366771398795441</v>
      </c>
      <c r="CI41">
        <v>-0.34008379993014975</v>
      </c>
      <c r="CJ41">
        <v>-0.34008379993014975</v>
      </c>
      <c r="CK41">
        <v>-0.58838029403676984</v>
      </c>
      <c r="CL41">
        <v>-1.4371126187061207</v>
      </c>
    </row>
    <row r="42" spans="1:90" x14ac:dyDescent="0.3">
      <c r="A42" s="2" t="s">
        <v>205</v>
      </c>
      <c r="B42" s="2" t="s">
        <v>127</v>
      </c>
      <c r="C42" s="1">
        <v>44278</v>
      </c>
      <c r="J42">
        <v>0.26300000000000001</v>
      </c>
      <c r="K42">
        <v>0.44900000000000001</v>
      </c>
      <c r="L42">
        <v>1.7999999999999999E-2</v>
      </c>
      <c r="M42">
        <v>0.441</v>
      </c>
      <c r="N42">
        <v>6.2E-2</v>
      </c>
      <c r="O42">
        <v>0.214</v>
      </c>
      <c r="P42">
        <v>0.873</v>
      </c>
      <c r="Q42">
        <v>0.45900000000000002</v>
      </c>
      <c r="R42">
        <v>1.87</v>
      </c>
      <c r="S42">
        <v>9.0999999999999998E-2</v>
      </c>
      <c r="T42">
        <v>0.28199999999999997</v>
      </c>
      <c r="U42">
        <v>15.1</v>
      </c>
      <c r="V42">
        <v>0.38600000000000001</v>
      </c>
      <c r="W42">
        <v>0.46600000000000003</v>
      </c>
      <c r="X42">
        <v>0.127</v>
      </c>
      <c r="Y42">
        <v>6.0999999999999999E-2</v>
      </c>
      <c r="Z42">
        <v>1.7999999999999999E-2</v>
      </c>
      <c r="AA42">
        <v>0.35099999999999998</v>
      </c>
      <c r="AB42">
        <v>4.1000000000000002E-2</v>
      </c>
      <c r="AC42">
        <v>7.1999999999999995E-2</v>
      </c>
      <c r="AD42">
        <v>1.5</v>
      </c>
      <c r="AE42">
        <v>1.68</v>
      </c>
      <c r="AF42">
        <v>0.04</v>
      </c>
      <c r="AG42">
        <v>1.7999999999999999E-2</v>
      </c>
      <c r="AH42">
        <v>5.0500000000000003E-2</v>
      </c>
      <c r="AI42">
        <v>1.7999999999999999E-2</v>
      </c>
      <c r="AJ42">
        <v>0.18</v>
      </c>
      <c r="AK42">
        <v>0.18</v>
      </c>
      <c r="AL42">
        <v>7.1999999999999995E-2</v>
      </c>
      <c r="AM42">
        <v>7.1999999999999995E-2</v>
      </c>
      <c r="AN42">
        <v>1.7999999999999999E-2</v>
      </c>
      <c r="AO42">
        <v>3.5950000000000003E-2</v>
      </c>
      <c r="AP42">
        <v>7.1999999999999995E-2</v>
      </c>
      <c r="AQ42">
        <v>7.1999999999999995E-2</v>
      </c>
      <c r="AR42">
        <v>1.7999999999999999E-2</v>
      </c>
      <c r="AS42">
        <v>7.1999999999999995E-2</v>
      </c>
      <c r="AT42">
        <v>1.04</v>
      </c>
      <c r="AU42">
        <v>0.44950000000000001</v>
      </c>
      <c r="AV42">
        <v>0.51700000000000002</v>
      </c>
      <c r="AW42">
        <v>3.5950000000000003E-2</v>
      </c>
      <c r="AX42">
        <f>SUM(Table1_15[[#This Row],[PFBA]:[PFMPA]])</f>
        <v>27.784899999999993</v>
      </c>
      <c r="AY42">
        <v>-0.58004425151024208</v>
      </c>
      <c r="AZ42">
        <v>-0.34775365899667682</v>
      </c>
      <c r="BA42">
        <v>-1.744727494896694</v>
      </c>
      <c r="BB42">
        <v>-0.35556141053216145</v>
      </c>
      <c r="BC42">
        <v>-1.2076083105017461</v>
      </c>
      <c r="BD42">
        <v>-0.66958622665080914</v>
      </c>
      <c r="BE42">
        <v>-5.8985756294430272E-2</v>
      </c>
      <c r="BF42">
        <v>-0.33818731446273875</v>
      </c>
      <c r="BG42">
        <v>0.27184160653649897</v>
      </c>
      <c r="BH42">
        <v>-1.0409586076789064</v>
      </c>
      <c r="BI42">
        <v>-0.54975089168063895</v>
      </c>
      <c r="BJ42">
        <v>1.1789769472931695</v>
      </c>
      <c r="BK42">
        <v>-0.41341269532824504</v>
      </c>
      <c r="BL42">
        <v>-0.33161408330999981</v>
      </c>
      <c r="BM42">
        <v>-0.89619627904404309</v>
      </c>
      <c r="BN42">
        <v>-1.2146701649892331</v>
      </c>
      <c r="BO42">
        <v>-1.744727494896694</v>
      </c>
      <c r="BP42">
        <v>-0.45469288353417592</v>
      </c>
      <c r="BQ42">
        <v>-1.3872161432802645</v>
      </c>
      <c r="BR42">
        <v>-1.1426675035687315</v>
      </c>
      <c r="BS42">
        <v>0.17609125905568124</v>
      </c>
      <c r="BT42">
        <v>0.22530928172586284</v>
      </c>
      <c r="BU42">
        <v>-1.3979400086720375</v>
      </c>
      <c r="BV42">
        <v>-1.744727494896694</v>
      </c>
      <c r="BW42">
        <v>-1.2967086218813386</v>
      </c>
      <c r="BX42">
        <v>-1.744727494896694</v>
      </c>
      <c r="BY42">
        <v>-0.74472749489669399</v>
      </c>
      <c r="BZ42">
        <v>-0.74472749489669399</v>
      </c>
      <c r="CA42">
        <v>-1.1426675035687315</v>
      </c>
      <c r="CB42">
        <v>-1.1426675035687315</v>
      </c>
      <c r="CC42">
        <v>-1.744727494896694</v>
      </c>
      <c r="CD42">
        <v>-1.4443011052810986</v>
      </c>
      <c r="CE42">
        <v>-1.1426675035687315</v>
      </c>
      <c r="CF42">
        <v>-1.1426675035687315</v>
      </c>
      <c r="CG42">
        <v>-1.744727494896694</v>
      </c>
      <c r="CH42">
        <v>-1.1426675035687315</v>
      </c>
      <c r="CI42">
        <v>1.703333929878037E-2</v>
      </c>
      <c r="CJ42">
        <v>-0.34727030393075242</v>
      </c>
      <c r="CK42">
        <v>-0.2865094569060575</v>
      </c>
      <c r="CL42">
        <v>-1.4443011052810986</v>
      </c>
    </row>
    <row r="43" spans="1:90" x14ac:dyDescent="0.3">
      <c r="A43" s="2" t="s">
        <v>202</v>
      </c>
      <c r="B43" s="2" t="s">
        <v>125</v>
      </c>
      <c r="C43" s="1">
        <v>44278</v>
      </c>
      <c r="J43">
        <v>7.3999999999999996E-2</v>
      </c>
      <c r="K43">
        <v>0.152</v>
      </c>
      <c r="L43">
        <v>4.1000000000000002E-2</v>
      </c>
      <c r="M43">
        <v>0.126</v>
      </c>
      <c r="N43">
        <v>5.2999999999999999E-2</v>
      </c>
      <c r="O43">
        <v>0.1</v>
      </c>
      <c r="P43">
        <v>1.07</v>
      </c>
      <c r="Q43">
        <v>0.33300000000000002</v>
      </c>
      <c r="R43">
        <v>0.14099999999999999</v>
      </c>
      <c r="S43">
        <v>0.11700000000000001</v>
      </c>
      <c r="T43">
        <v>0.252</v>
      </c>
      <c r="U43">
        <v>25.4</v>
      </c>
      <c r="V43">
        <v>0.247</v>
      </c>
      <c r="W43">
        <v>0.53300000000000003</v>
      </c>
      <c r="X43">
        <v>0.47699999999999998</v>
      </c>
      <c r="Y43">
        <v>0.438</v>
      </c>
      <c r="Z43">
        <v>0.20300000000000001</v>
      </c>
      <c r="AA43">
        <v>0.16200000000000001</v>
      </c>
      <c r="AB43">
        <v>0.13300000000000001</v>
      </c>
      <c r="AC43">
        <v>7.3999999999999996E-2</v>
      </c>
      <c r="AD43">
        <v>0.83199999999999996</v>
      </c>
      <c r="AE43">
        <v>0.33200000000000002</v>
      </c>
      <c r="AF43">
        <v>1.8550000000000001E-2</v>
      </c>
      <c r="AG43">
        <v>1.8550000000000001E-2</v>
      </c>
      <c r="AH43">
        <v>5.1999999999999998E-2</v>
      </c>
      <c r="AI43">
        <v>1.8550000000000001E-2</v>
      </c>
      <c r="AJ43">
        <v>0.1855</v>
      </c>
      <c r="AK43">
        <v>0.1855</v>
      </c>
      <c r="AL43">
        <v>7.3999999999999996E-2</v>
      </c>
      <c r="AM43">
        <v>7.3999999999999996E-2</v>
      </c>
      <c r="AN43">
        <v>1.8550000000000001E-2</v>
      </c>
      <c r="AO43">
        <v>3.705E-2</v>
      </c>
      <c r="AP43">
        <v>7.4499999999999997E-2</v>
      </c>
      <c r="AQ43">
        <v>7.3999999999999996E-2</v>
      </c>
      <c r="AR43">
        <v>1.8550000000000001E-2</v>
      </c>
      <c r="AS43">
        <v>7.3999999999999996E-2</v>
      </c>
      <c r="AT43">
        <v>0.46300000000000002</v>
      </c>
      <c r="AU43">
        <v>0.46300000000000002</v>
      </c>
      <c r="AV43">
        <v>0.54</v>
      </c>
      <c r="AW43">
        <v>3.705E-2</v>
      </c>
      <c r="AX43">
        <f>SUM(Table1_15[[#This Row],[PFBA]:[PFMPA]])</f>
        <v>33.716350000000006</v>
      </c>
      <c r="AY43">
        <v>-1.1307682802690238</v>
      </c>
      <c r="AZ43">
        <v>-0.81815641205522749</v>
      </c>
      <c r="BA43">
        <v>-1.3872161432802645</v>
      </c>
      <c r="BB43">
        <v>-0.89962945488243706</v>
      </c>
      <c r="BC43">
        <v>-1.2757241303992111</v>
      </c>
      <c r="BD43">
        <v>-1</v>
      </c>
      <c r="BE43">
        <v>2.9383777685209667E-2</v>
      </c>
      <c r="BF43">
        <v>-0.47755576649368009</v>
      </c>
      <c r="BG43">
        <v>-0.8507808873446201</v>
      </c>
      <c r="BH43">
        <v>-0.9318141382538383</v>
      </c>
      <c r="BI43">
        <v>-0.59859945921845592</v>
      </c>
      <c r="BJ43">
        <v>1.4048337166199381</v>
      </c>
      <c r="BK43">
        <v>-0.60730304674033431</v>
      </c>
      <c r="BL43">
        <v>-0.27327279097342771</v>
      </c>
      <c r="BM43">
        <v>-0.32148162095988608</v>
      </c>
      <c r="BN43">
        <v>-0.35852588949590047</v>
      </c>
      <c r="BO43">
        <v>-0.69250396208678711</v>
      </c>
      <c r="BP43">
        <v>-0.790484985457369</v>
      </c>
      <c r="BQ43">
        <v>-0.87614835903291421</v>
      </c>
      <c r="BR43">
        <v>-1.1307682802690238</v>
      </c>
      <c r="BS43">
        <v>-7.9876673709276078E-2</v>
      </c>
      <c r="BT43">
        <v>-0.4788619162959637</v>
      </c>
      <c r="BU43">
        <v>-1.7316560860489354</v>
      </c>
      <c r="BV43">
        <v>-1.7316560860489354</v>
      </c>
      <c r="BW43">
        <v>-1.2839966563652008</v>
      </c>
      <c r="BX43">
        <v>-1.7316560860489354</v>
      </c>
      <c r="BY43">
        <v>-0.73165608604893528</v>
      </c>
      <c r="BZ43">
        <v>-0.73165608604893528</v>
      </c>
      <c r="CA43">
        <v>-1.1307682802690238</v>
      </c>
      <c r="CB43">
        <v>-1.1307682802690238</v>
      </c>
      <c r="CC43">
        <v>-1.7316560860489354</v>
      </c>
      <c r="CD43">
        <v>-1.4312117876846531</v>
      </c>
      <c r="CE43">
        <v>-1.1278437272517072</v>
      </c>
      <c r="CF43">
        <v>-1.1307682802690238</v>
      </c>
      <c r="CG43">
        <v>-1.7316560860489354</v>
      </c>
      <c r="CH43">
        <v>-1.1307682802690238</v>
      </c>
      <c r="CI43">
        <v>-0.33441900898204685</v>
      </c>
      <c r="CJ43">
        <v>-0.33441900898204685</v>
      </c>
      <c r="CK43">
        <v>-0.26760624017703144</v>
      </c>
      <c r="CL43">
        <v>-1.4312117876846531</v>
      </c>
    </row>
    <row r="44" spans="1:90" x14ac:dyDescent="0.3">
      <c r="A44" s="2" t="s">
        <v>63</v>
      </c>
      <c r="B44" s="2" t="s">
        <v>128</v>
      </c>
      <c r="C44" s="1">
        <v>44362.5</v>
      </c>
      <c r="J44">
        <v>0.2</v>
      </c>
      <c r="K44">
        <v>0.1</v>
      </c>
      <c r="L44">
        <v>4.9500000000000002E-2</v>
      </c>
      <c r="M44">
        <v>0.12</v>
      </c>
      <c r="N44">
        <v>4.9500000000000002E-2</v>
      </c>
      <c r="O44">
        <v>0.09</v>
      </c>
      <c r="P44">
        <v>0.36</v>
      </c>
      <c r="Q44">
        <v>0.21</v>
      </c>
      <c r="R44">
        <v>0.39500000000000002</v>
      </c>
      <c r="S44">
        <v>4.9500000000000002E-2</v>
      </c>
      <c r="T44">
        <v>0.26</v>
      </c>
      <c r="U44">
        <v>7.3</v>
      </c>
      <c r="V44">
        <v>0.13</v>
      </c>
      <c r="W44">
        <v>0.1</v>
      </c>
      <c r="X44">
        <v>4.9500000000000002E-2</v>
      </c>
      <c r="Y44">
        <v>4.9500000000000002E-2</v>
      </c>
      <c r="Z44">
        <v>4.9500000000000002E-2</v>
      </c>
      <c r="AA44">
        <v>6.3E-2</v>
      </c>
      <c r="AB44">
        <v>4.9500000000000002E-2</v>
      </c>
      <c r="AC44">
        <v>0.2</v>
      </c>
      <c r="AD44">
        <v>0.39500000000000002</v>
      </c>
      <c r="AE44">
        <v>0.09</v>
      </c>
      <c r="AF44">
        <v>4.9500000000000002E-2</v>
      </c>
      <c r="AG44">
        <v>4.9500000000000002E-2</v>
      </c>
      <c r="AH44">
        <v>4.9500000000000002E-2</v>
      </c>
      <c r="AI44">
        <v>4.9500000000000002E-2</v>
      </c>
      <c r="AJ44">
        <v>0.495</v>
      </c>
      <c r="AK44">
        <v>0.495</v>
      </c>
      <c r="AL44">
        <v>0.3</v>
      </c>
      <c r="AM44">
        <v>0.2</v>
      </c>
      <c r="AN44">
        <v>0.1</v>
      </c>
      <c r="AO44">
        <v>0.1</v>
      </c>
      <c r="AP44">
        <v>0.2</v>
      </c>
      <c r="AQ44">
        <v>0.2</v>
      </c>
      <c r="AR44">
        <v>0.1</v>
      </c>
      <c r="AS44">
        <v>0.25</v>
      </c>
      <c r="AT44">
        <v>1.25</v>
      </c>
      <c r="AU44">
        <v>1.25</v>
      </c>
      <c r="AV44">
        <v>5.8999999999999997E-2</v>
      </c>
      <c r="AW44">
        <v>0.1</v>
      </c>
      <c r="AX44">
        <f>SUM(Table1_15[[#This Row],[PFBA]:[PFMPA]])</f>
        <v>15.656499999999996</v>
      </c>
      <c r="AY44">
        <v>-0.69897000433601875</v>
      </c>
      <c r="AZ44">
        <v>-1</v>
      </c>
      <c r="BA44">
        <v>-1.3053948010664314</v>
      </c>
      <c r="BB44">
        <v>-0.92081875395237522</v>
      </c>
      <c r="BC44">
        <v>-1.3053948010664314</v>
      </c>
      <c r="BD44">
        <v>-1.0457574905606752</v>
      </c>
      <c r="BE44">
        <v>-0.44369749923271273</v>
      </c>
      <c r="BF44">
        <v>-0.6777807052660807</v>
      </c>
      <c r="BG44">
        <v>-0.40340290437353976</v>
      </c>
      <c r="BH44">
        <v>-1.3053948010664314</v>
      </c>
      <c r="BI44">
        <v>-0.58502665202918203</v>
      </c>
      <c r="BJ44">
        <v>0.86332286012045589</v>
      </c>
      <c r="BK44">
        <v>-0.88605664769316317</v>
      </c>
      <c r="BL44">
        <v>-1</v>
      </c>
      <c r="BM44">
        <v>-1.3053948010664314</v>
      </c>
      <c r="BN44">
        <v>-1.3053948010664314</v>
      </c>
      <c r="BO44">
        <v>-1.3053948010664314</v>
      </c>
      <c r="BP44">
        <v>-1.2006594505464183</v>
      </c>
      <c r="BQ44">
        <v>-1.3053948010664314</v>
      </c>
      <c r="BR44">
        <v>-0.69897000433601875</v>
      </c>
      <c r="BS44">
        <v>-0.40340290437353976</v>
      </c>
      <c r="BT44">
        <v>-1.0457574905606752</v>
      </c>
      <c r="BU44">
        <v>-1.3053948010664314</v>
      </c>
      <c r="BV44">
        <v>-1.3053948010664314</v>
      </c>
      <c r="BW44">
        <v>-1.3053948010664314</v>
      </c>
      <c r="BX44">
        <v>-1.3053948010664314</v>
      </c>
      <c r="BY44">
        <v>-0.3053948010664313</v>
      </c>
      <c r="BZ44">
        <v>-0.3053948010664313</v>
      </c>
      <c r="CA44">
        <v>-0.52287874528033762</v>
      </c>
      <c r="CB44">
        <v>-0.69897000433601875</v>
      </c>
      <c r="CC44">
        <v>-1</v>
      </c>
      <c r="CD44">
        <v>-1</v>
      </c>
      <c r="CE44">
        <v>-0.69897000433601875</v>
      </c>
      <c r="CF44">
        <v>-0.69897000433601875</v>
      </c>
      <c r="CG44">
        <v>-1</v>
      </c>
      <c r="CH44">
        <v>-0.6020599913279624</v>
      </c>
      <c r="CI44">
        <v>9.691001300805642E-2</v>
      </c>
      <c r="CJ44">
        <v>9.691001300805642E-2</v>
      </c>
      <c r="CK44">
        <v>-1.2291479883578558</v>
      </c>
      <c r="CL44">
        <v>-1</v>
      </c>
    </row>
    <row r="45" spans="1:90" x14ac:dyDescent="0.3">
      <c r="A45" s="2" t="s">
        <v>64</v>
      </c>
      <c r="B45" s="2" t="s">
        <v>126</v>
      </c>
      <c r="C45" s="1">
        <v>44362.5</v>
      </c>
      <c r="J45">
        <v>0.2</v>
      </c>
      <c r="K45">
        <v>0.1</v>
      </c>
      <c r="L45">
        <v>4.9500000000000002E-2</v>
      </c>
      <c r="M45">
        <v>0.28999999999999998</v>
      </c>
      <c r="N45">
        <v>0.1</v>
      </c>
      <c r="O45">
        <v>0.09</v>
      </c>
      <c r="P45">
        <v>0.86</v>
      </c>
      <c r="Q45">
        <v>0.33</v>
      </c>
      <c r="R45">
        <v>0.55000000000000004</v>
      </c>
      <c r="S45">
        <v>0.09</v>
      </c>
      <c r="T45">
        <v>9.4E-2</v>
      </c>
      <c r="U45">
        <v>13</v>
      </c>
      <c r="V45">
        <v>9.6000000000000002E-2</v>
      </c>
      <c r="W45">
        <v>0.2</v>
      </c>
      <c r="X45">
        <v>0.66</v>
      </c>
      <c r="Y45">
        <v>0.64</v>
      </c>
      <c r="Z45">
        <v>0.42</v>
      </c>
      <c r="AA45">
        <v>5.1999999999999998E-2</v>
      </c>
      <c r="AB45">
        <v>0.4</v>
      </c>
      <c r="AC45">
        <v>0.2</v>
      </c>
      <c r="AD45">
        <v>0.38</v>
      </c>
      <c r="AE45">
        <v>0.3</v>
      </c>
      <c r="AF45">
        <v>4.9500000000000002E-2</v>
      </c>
      <c r="AG45">
        <v>4.9500000000000002E-2</v>
      </c>
      <c r="AH45">
        <v>4.9500000000000002E-2</v>
      </c>
      <c r="AI45">
        <v>4.9500000000000002E-2</v>
      </c>
      <c r="AJ45">
        <v>0.495</v>
      </c>
      <c r="AK45">
        <v>0.495</v>
      </c>
      <c r="AL45">
        <v>0.3</v>
      </c>
      <c r="AM45">
        <v>0.2</v>
      </c>
      <c r="AN45">
        <v>0.1</v>
      </c>
      <c r="AO45">
        <v>0.1</v>
      </c>
      <c r="AP45">
        <v>0.2</v>
      </c>
      <c r="AQ45">
        <v>0.2</v>
      </c>
      <c r="AR45">
        <v>0.1</v>
      </c>
      <c r="AS45">
        <v>0.25</v>
      </c>
      <c r="AT45">
        <v>1.25</v>
      </c>
      <c r="AU45">
        <v>1.5</v>
      </c>
      <c r="AV45">
        <v>0.25</v>
      </c>
      <c r="AW45">
        <v>0.1</v>
      </c>
      <c r="AX45">
        <f>SUM(Table1_15[[#This Row],[PFBA]:[PFMPA]])</f>
        <v>24.839499999999997</v>
      </c>
      <c r="AY45">
        <v>-0.69897000433601875</v>
      </c>
      <c r="AZ45">
        <v>-1</v>
      </c>
      <c r="BA45">
        <v>-1.3053948010664314</v>
      </c>
      <c r="BB45">
        <v>-0.53760200210104392</v>
      </c>
      <c r="BC45">
        <v>-1</v>
      </c>
      <c r="BD45">
        <v>-1.0457574905606752</v>
      </c>
      <c r="BE45">
        <v>-6.5501548756432285E-2</v>
      </c>
      <c r="BF45">
        <v>-0.48148606012211248</v>
      </c>
      <c r="BG45">
        <v>-0.25963731050575611</v>
      </c>
      <c r="BH45">
        <v>-1.0457574905606752</v>
      </c>
      <c r="BI45">
        <v>-1.0268721464003014</v>
      </c>
      <c r="BJ45">
        <v>1.1139433523068367</v>
      </c>
      <c r="BK45">
        <v>-1.0177287669604316</v>
      </c>
      <c r="BL45">
        <v>-0.69897000433601875</v>
      </c>
      <c r="BM45">
        <v>-0.18045606445813131</v>
      </c>
      <c r="BN45">
        <v>-0.19382002601611281</v>
      </c>
      <c r="BO45">
        <v>-0.37675070960209955</v>
      </c>
      <c r="BP45">
        <v>-1.2839966563652008</v>
      </c>
      <c r="BQ45">
        <v>-0.3979400086720376</v>
      </c>
      <c r="BR45">
        <v>-0.69897000433601875</v>
      </c>
      <c r="BS45">
        <v>-0.42021640338318983</v>
      </c>
      <c r="BT45">
        <v>-0.52287874528033762</v>
      </c>
      <c r="BU45">
        <v>-1.3053948010664314</v>
      </c>
      <c r="BV45">
        <v>-1.3053948010664314</v>
      </c>
      <c r="BW45">
        <v>-1.3053948010664314</v>
      </c>
      <c r="BX45">
        <v>-1.3053948010664314</v>
      </c>
      <c r="BY45">
        <v>-0.3053948010664313</v>
      </c>
      <c r="BZ45">
        <v>-0.3053948010664313</v>
      </c>
      <c r="CA45">
        <v>-0.52287874528033762</v>
      </c>
      <c r="CB45">
        <v>-0.69897000433601875</v>
      </c>
      <c r="CC45">
        <v>-1</v>
      </c>
      <c r="CD45">
        <v>-1</v>
      </c>
      <c r="CE45">
        <v>-0.69897000433601875</v>
      </c>
      <c r="CF45">
        <v>-0.69897000433601875</v>
      </c>
      <c r="CG45">
        <v>-1</v>
      </c>
      <c r="CH45">
        <v>-0.6020599913279624</v>
      </c>
      <c r="CI45">
        <v>9.691001300805642E-2</v>
      </c>
      <c r="CJ45">
        <v>0.17609125905568124</v>
      </c>
      <c r="CK45">
        <v>-0.6020599913279624</v>
      </c>
      <c r="CL45">
        <v>-1</v>
      </c>
    </row>
    <row r="46" spans="1:90" x14ac:dyDescent="0.3">
      <c r="A46" s="2" t="s">
        <v>65</v>
      </c>
      <c r="B46" s="2" t="s">
        <v>127</v>
      </c>
      <c r="C46" s="1">
        <v>44362.5</v>
      </c>
      <c r="J46">
        <v>0.2</v>
      </c>
      <c r="K46">
        <v>0.1</v>
      </c>
      <c r="L46">
        <v>4.9500000000000002E-2</v>
      </c>
      <c r="M46">
        <v>0.09</v>
      </c>
      <c r="N46">
        <v>4.9500000000000002E-2</v>
      </c>
      <c r="O46">
        <v>0.09</v>
      </c>
      <c r="P46">
        <v>0.47</v>
      </c>
      <c r="Q46">
        <v>0.15</v>
      </c>
      <c r="R46">
        <v>0.39500000000000002</v>
      </c>
      <c r="S46">
        <v>4.9500000000000002E-2</v>
      </c>
      <c r="T46">
        <v>4.9500000000000002E-2</v>
      </c>
      <c r="U46">
        <v>7.1</v>
      </c>
      <c r="V46">
        <v>0.11</v>
      </c>
      <c r="W46">
        <v>0.39</v>
      </c>
      <c r="X46">
        <v>0.12</v>
      </c>
      <c r="Y46">
        <v>4.9500000000000002E-2</v>
      </c>
      <c r="Z46">
        <v>4.9500000000000002E-2</v>
      </c>
      <c r="AA46">
        <v>0.17</v>
      </c>
      <c r="AB46">
        <v>4.9500000000000002E-2</v>
      </c>
      <c r="AC46">
        <v>0.2</v>
      </c>
      <c r="AD46">
        <v>0.61</v>
      </c>
      <c r="AE46">
        <v>0.95</v>
      </c>
      <c r="AF46">
        <v>4.9500000000000002E-2</v>
      </c>
      <c r="AG46">
        <v>4.9500000000000002E-2</v>
      </c>
      <c r="AH46">
        <v>4.9500000000000002E-2</v>
      </c>
      <c r="AI46">
        <v>4.9500000000000002E-2</v>
      </c>
      <c r="AJ46">
        <v>0.495</v>
      </c>
      <c r="AK46">
        <v>0.495</v>
      </c>
      <c r="AL46">
        <v>0.3</v>
      </c>
      <c r="AM46">
        <v>0.2</v>
      </c>
      <c r="AN46">
        <v>0.1</v>
      </c>
      <c r="AO46">
        <v>0.1</v>
      </c>
      <c r="AP46">
        <v>0.2</v>
      </c>
      <c r="AQ46">
        <v>0.2</v>
      </c>
      <c r="AR46">
        <v>0.1</v>
      </c>
      <c r="AS46">
        <v>0.25</v>
      </c>
      <c r="AT46">
        <v>1.25</v>
      </c>
      <c r="AU46">
        <v>1.25</v>
      </c>
      <c r="AV46">
        <v>0.38</v>
      </c>
      <c r="AW46">
        <v>0.1</v>
      </c>
      <c r="AX46">
        <f>SUM(Table1_15[[#This Row],[PFBA]:[PFMPA]])</f>
        <v>17.109499999999993</v>
      </c>
      <c r="AY46">
        <v>-0.69897000433601875</v>
      </c>
      <c r="AZ46">
        <v>-1</v>
      </c>
      <c r="BA46">
        <v>-1.3053948010664314</v>
      </c>
      <c r="BB46">
        <v>-1.0457574905606752</v>
      </c>
      <c r="BC46">
        <v>-1.3053948010664314</v>
      </c>
      <c r="BD46">
        <v>-1.0457574905606752</v>
      </c>
      <c r="BE46">
        <v>-0.32790214206428259</v>
      </c>
      <c r="BF46">
        <v>-0.82390874094431876</v>
      </c>
      <c r="BG46">
        <v>-0.40340290437353976</v>
      </c>
      <c r="BH46">
        <v>-1.3053948010664314</v>
      </c>
      <c r="BI46">
        <v>-1.3053948010664314</v>
      </c>
      <c r="BJ46">
        <v>0.85125834871907524</v>
      </c>
      <c r="BK46">
        <v>-0.95860731484177497</v>
      </c>
      <c r="BL46">
        <v>-0.40893539297350079</v>
      </c>
      <c r="BM46">
        <v>-0.92081875395237522</v>
      </c>
      <c r="BN46">
        <v>-1.3053948010664314</v>
      </c>
      <c r="BO46">
        <v>-1.3053948010664314</v>
      </c>
      <c r="BP46">
        <v>-0.769551078621726</v>
      </c>
      <c r="BQ46">
        <v>-1.3053948010664314</v>
      </c>
      <c r="BR46">
        <v>-0.69897000433601875</v>
      </c>
      <c r="BS46">
        <v>-0.21467016498923297</v>
      </c>
      <c r="BT46">
        <v>-2.2276394711152253E-2</v>
      </c>
      <c r="BU46">
        <v>-1.3053948010664314</v>
      </c>
      <c r="BV46">
        <v>-1.3053948010664314</v>
      </c>
      <c r="BW46">
        <v>-1.3053948010664314</v>
      </c>
      <c r="BX46">
        <v>-1.3053948010664314</v>
      </c>
      <c r="BY46">
        <v>-0.3053948010664313</v>
      </c>
      <c r="BZ46">
        <v>-0.3053948010664313</v>
      </c>
      <c r="CA46">
        <v>-0.52287874528033762</v>
      </c>
      <c r="CB46">
        <v>-0.69897000433601875</v>
      </c>
      <c r="CC46">
        <v>-1</v>
      </c>
      <c r="CD46">
        <v>-1</v>
      </c>
      <c r="CE46">
        <v>-0.69897000433601875</v>
      </c>
      <c r="CF46">
        <v>-0.69897000433601875</v>
      </c>
      <c r="CG46">
        <v>-1</v>
      </c>
      <c r="CH46">
        <v>-0.6020599913279624</v>
      </c>
      <c r="CI46">
        <v>9.691001300805642E-2</v>
      </c>
      <c r="CJ46">
        <v>9.691001300805642E-2</v>
      </c>
      <c r="CK46">
        <v>-0.42021640338318983</v>
      </c>
      <c r="CL46">
        <v>-1</v>
      </c>
    </row>
    <row r="47" spans="1:90" x14ac:dyDescent="0.3">
      <c r="A47" s="2" t="s">
        <v>66</v>
      </c>
      <c r="B47" s="2" t="s">
        <v>125</v>
      </c>
      <c r="C47" s="1">
        <v>44362.5</v>
      </c>
      <c r="J47">
        <v>0.215</v>
      </c>
      <c r="K47">
        <v>0.15</v>
      </c>
      <c r="L47">
        <v>0.1</v>
      </c>
      <c r="M47">
        <v>0.2</v>
      </c>
      <c r="N47">
        <v>0.17</v>
      </c>
      <c r="O47">
        <v>0.1</v>
      </c>
      <c r="P47">
        <v>2.2000000000000002</v>
      </c>
      <c r="Q47">
        <v>0.61</v>
      </c>
      <c r="R47">
        <v>0.57999999999999996</v>
      </c>
      <c r="S47">
        <v>0.32</v>
      </c>
      <c r="T47">
        <v>0.34</v>
      </c>
      <c r="U47">
        <v>55</v>
      </c>
      <c r="V47">
        <v>0.28999999999999998</v>
      </c>
      <c r="W47">
        <v>0.84</v>
      </c>
      <c r="X47">
        <v>1.3</v>
      </c>
      <c r="Y47">
        <v>1.1000000000000001</v>
      </c>
      <c r="Z47">
        <v>0.91</v>
      </c>
      <c r="AA47">
        <v>0.31</v>
      </c>
      <c r="AB47">
        <v>0.55000000000000004</v>
      </c>
      <c r="AC47">
        <v>0.215</v>
      </c>
      <c r="AD47">
        <v>0.95</v>
      </c>
      <c r="AE47">
        <v>0.68</v>
      </c>
      <c r="AF47">
        <v>5.5E-2</v>
      </c>
      <c r="AG47">
        <v>5.5E-2</v>
      </c>
      <c r="AH47">
        <v>5.5E-2</v>
      </c>
      <c r="AI47">
        <v>5.5E-2</v>
      </c>
      <c r="AJ47">
        <v>1.8</v>
      </c>
      <c r="AK47">
        <v>0.55000000000000004</v>
      </c>
      <c r="AL47">
        <v>0.32</v>
      </c>
      <c r="AM47">
        <v>0.215</v>
      </c>
      <c r="AN47">
        <v>0.105</v>
      </c>
      <c r="AO47">
        <v>0.105</v>
      </c>
      <c r="AP47">
        <v>0.215</v>
      </c>
      <c r="AQ47">
        <v>0.215</v>
      </c>
      <c r="AR47">
        <v>0.105</v>
      </c>
      <c r="AS47">
        <v>0.26500000000000001</v>
      </c>
      <c r="AT47">
        <v>1.35</v>
      </c>
      <c r="AU47">
        <v>1.9</v>
      </c>
      <c r="AV47">
        <v>0.81</v>
      </c>
      <c r="AW47">
        <v>0.11</v>
      </c>
      <c r="AX47">
        <f>SUM(Table1_15[[#This Row],[PFBA]:[PFMPA]])</f>
        <v>75.415000000000049</v>
      </c>
      <c r="AY47">
        <v>-0.66756154008439472</v>
      </c>
      <c r="AZ47">
        <v>-0.82390874094431876</v>
      </c>
      <c r="BA47">
        <v>-1</v>
      </c>
      <c r="BB47">
        <v>-0.69897000433601875</v>
      </c>
      <c r="BC47">
        <v>-0.769551078621726</v>
      </c>
      <c r="BD47">
        <v>-1</v>
      </c>
      <c r="BE47">
        <v>0.34242268082220628</v>
      </c>
      <c r="BF47">
        <v>-0.21467016498923297</v>
      </c>
      <c r="BG47">
        <v>-0.23657200643706275</v>
      </c>
      <c r="BH47">
        <v>-0.49485002168009401</v>
      </c>
      <c r="BI47">
        <v>-0.46852108295774486</v>
      </c>
      <c r="BJ47">
        <v>1.7403626894942439</v>
      </c>
      <c r="BK47">
        <v>-0.53760200210104392</v>
      </c>
      <c r="BL47">
        <v>-7.5720713938118356E-2</v>
      </c>
      <c r="BM47">
        <v>0.11394335230683679</v>
      </c>
      <c r="BN47">
        <v>4.1392685158225077E-2</v>
      </c>
      <c r="BO47">
        <v>-4.0958607678906384E-2</v>
      </c>
      <c r="BP47">
        <v>-0.50863830616572736</v>
      </c>
      <c r="BQ47">
        <v>-0.25963731050575611</v>
      </c>
      <c r="BR47">
        <v>-0.66756154008439472</v>
      </c>
      <c r="BS47">
        <v>-2.2276394711152253E-2</v>
      </c>
      <c r="BT47">
        <v>-0.16749108729376366</v>
      </c>
      <c r="BU47">
        <v>-1.2596373105057561</v>
      </c>
      <c r="BV47">
        <v>-1.2596373105057561</v>
      </c>
      <c r="BW47">
        <v>-1.2596373105057561</v>
      </c>
      <c r="BX47">
        <v>-1.2596373105057561</v>
      </c>
      <c r="BY47">
        <v>0.25527250510330607</v>
      </c>
      <c r="BZ47">
        <v>-0.25963731050575611</v>
      </c>
      <c r="CA47">
        <v>-0.49485002168009401</v>
      </c>
      <c r="CB47">
        <v>-0.66756154008439472</v>
      </c>
      <c r="CC47">
        <v>-0.97881070093006195</v>
      </c>
      <c r="CD47">
        <v>-0.97881070093006195</v>
      </c>
      <c r="CE47">
        <v>-0.66756154008439472</v>
      </c>
      <c r="CF47">
        <v>-0.66756154008439472</v>
      </c>
      <c r="CG47">
        <v>-0.97881070093006195</v>
      </c>
      <c r="CH47">
        <v>-0.5767541260631921</v>
      </c>
      <c r="CI47">
        <v>0.13033376849500614</v>
      </c>
      <c r="CJ47">
        <v>0.27875360095282892</v>
      </c>
      <c r="CK47">
        <v>-9.1514981121350217E-2</v>
      </c>
      <c r="CL47">
        <v>-0.95860731484177497</v>
      </c>
    </row>
    <row r="48" spans="1:90" x14ac:dyDescent="0.3">
      <c r="A48" s="2" t="s">
        <v>67</v>
      </c>
      <c r="B48" s="2" t="s">
        <v>128</v>
      </c>
      <c r="C48" s="1">
        <v>44377.5</v>
      </c>
      <c r="J48">
        <v>0.2</v>
      </c>
      <c r="K48">
        <v>0.1</v>
      </c>
      <c r="L48">
        <v>0.05</v>
      </c>
      <c r="M48">
        <v>0.09</v>
      </c>
      <c r="N48">
        <v>0.05</v>
      </c>
      <c r="O48">
        <v>0.09</v>
      </c>
      <c r="P48">
        <v>0.3</v>
      </c>
      <c r="Q48">
        <v>0.1</v>
      </c>
      <c r="R48">
        <v>0.4</v>
      </c>
      <c r="S48">
        <v>0.05</v>
      </c>
      <c r="T48">
        <v>0.05</v>
      </c>
      <c r="U48">
        <v>4</v>
      </c>
      <c r="V48">
        <v>0.05</v>
      </c>
      <c r="W48">
        <v>7.2999999999999995E-2</v>
      </c>
      <c r="X48">
        <v>5.5E-2</v>
      </c>
      <c r="Y48">
        <v>0.05</v>
      </c>
      <c r="Z48">
        <v>0.05</v>
      </c>
      <c r="AA48">
        <v>0.05</v>
      </c>
      <c r="AB48">
        <v>0.05</v>
      </c>
      <c r="AC48">
        <v>0.2</v>
      </c>
      <c r="AD48">
        <v>0.4</v>
      </c>
      <c r="AE48">
        <v>0.09</v>
      </c>
      <c r="AF48">
        <v>0.05</v>
      </c>
      <c r="AG48">
        <v>0.05</v>
      </c>
      <c r="AH48">
        <v>0.05</v>
      </c>
      <c r="AI48">
        <v>0.05</v>
      </c>
      <c r="AJ48">
        <v>0.5</v>
      </c>
      <c r="AK48">
        <v>0.5</v>
      </c>
      <c r="AL48">
        <v>0.3</v>
      </c>
      <c r="AM48">
        <v>0.2</v>
      </c>
      <c r="AN48">
        <v>0.1</v>
      </c>
      <c r="AO48">
        <v>0.1</v>
      </c>
      <c r="AP48">
        <v>0.2</v>
      </c>
      <c r="AQ48">
        <v>0.2</v>
      </c>
      <c r="AR48">
        <v>0.1</v>
      </c>
      <c r="AS48">
        <v>0.25</v>
      </c>
      <c r="AT48">
        <v>1.25</v>
      </c>
      <c r="AU48">
        <v>1.25</v>
      </c>
      <c r="AV48">
        <v>0.05</v>
      </c>
      <c r="AW48">
        <v>0.1</v>
      </c>
      <c r="AX48">
        <f>SUM(Table1_15[[#This Row],[PFBA]:[PFMPA]])</f>
        <v>11.847999999999997</v>
      </c>
      <c r="AY48">
        <v>-0.69897000433601875</v>
      </c>
      <c r="AZ48">
        <v>-1</v>
      </c>
      <c r="BA48">
        <v>-1.3010299956639813</v>
      </c>
      <c r="BB48">
        <v>-1.0457574905606752</v>
      </c>
      <c r="BC48">
        <v>-1.3010299956639813</v>
      </c>
      <c r="BD48">
        <v>-1.0457574905606752</v>
      </c>
      <c r="BE48">
        <v>-0.52287874528033762</v>
      </c>
      <c r="BF48">
        <v>-1</v>
      </c>
      <c r="BG48">
        <v>-0.3979400086720376</v>
      </c>
      <c r="BH48">
        <v>-1.3010299956639813</v>
      </c>
      <c r="BI48">
        <v>-1.3010299956639813</v>
      </c>
      <c r="BJ48">
        <v>0.6020599913279624</v>
      </c>
      <c r="BK48">
        <v>-1.3010299956639813</v>
      </c>
      <c r="BL48">
        <v>-1.1366771398795441</v>
      </c>
      <c r="BM48">
        <v>-1.2596373105057561</v>
      </c>
      <c r="BN48">
        <v>-1.3010299956639813</v>
      </c>
      <c r="BO48">
        <v>-1.3010299956639813</v>
      </c>
      <c r="BP48">
        <v>-1.3010299956639813</v>
      </c>
      <c r="BQ48">
        <v>-1.3010299956639813</v>
      </c>
      <c r="BR48">
        <v>-0.69897000433601875</v>
      </c>
      <c r="BS48">
        <v>-0.3979400086720376</v>
      </c>
      <c r="BT48">
        <v>-1.0457574905606752</v>
      </c>
      <c r="BU48">
        <v>-1.3010299956639813</v>
      </c>
      <c r="BV48">
        <v>-1.3010299956639813</v>
      </c>
      <c r="BW48">
        <v>-1.3010299956639813</v>
      </c>
      <c r="BX48">
        <v>-1.3010299956639813</v>
      </c>
      <c r="BY48">
        <v>-0.3010299956639812</v>
      </c>
      <c r="BZ48">
        <v>-0.3010299956639812</v>
      </c>
      <c r="CA48">
        <v>-0.52287874528033762</v>
      </c>
      <c r="CB48">
        <v>-0.69897000433601875</v>
      </c>
      <c r="CC48">
        <v>-1</v>
      </c>
      <c r="CD48">
        <v>-1</v>
      </c>
      <c r="CE48">
        <v>-0.69897000433601875</v>
      </c>
      <c r="CF48">
        <v>-0.69897000433601875</v>
      </c>
      <c r="CG48">
        <v>-1</v>
      </c>
      <c r="CH48">
        <v>-0.6020599913279624</v>
      </c>
      <c r="CI48">
        <v>9.691001300805642E-2</v>
      </c>
      <c r="CJ48">
        <v>9.691001300805642E-2</v>
      </c>
      <c r="CK48">
        <v>-1.3010299956639813</v>
      </c>
      <c r="CL48">
        <v>-1</v>
      </c>
    </row>
    <row r="49" spans="1:90" x14ac:dyDescent="0.3">
      <c r="A49" s="2" t="s">
        <v>68</v>
      </c>
      <c r="B49" s="2" t="s">
        <v>126</v>
      </c>
      <c r="C49" s="1">
        <v>44377.5</v>
      </c>
      <c r="J49">
        <v>0.2</v>
      </c>
      <c r="K49">
        <v>0.1</v>
      </c>
      <c r="L49">
        <v>6.9000000000000006E-2</v>
      </c>
      <c r="M49">
        <v>0.28000000000000003</v>
      </c>
      <c r="N49">
        <v>7.9000000000000001E-2</v>
      </c>
      <c r="O49">
        <v>0.09</v>
      </c>
      <c r="P49">
        <v>1</v>
      </c>
      <c r="Q49">
        <v>0.39</v>
      </c>
      <c r="R49">
        <v>0.87</v>
      </c>
      <c r="S49">
        <v>0.12</v>
      </c>
      <c r="T49">
        <v>0.14000000000000001</v>
      </c>
      <c r="U49">
        <v>20</v>
      </c>
      <c r="V49">
        <v>9.9000000000000005E-2</v>
      </c>
      <c r="W49">
        <v>0.19</v>
      </c>
      <c r="X49">
        <v>0.57999999999999996</v>
      </c>
      <c r="Y49">
        <v>0.68</v>
      </c>
      <c r="Z49">
        <v>0.48</v>
      </c>
      <c r="AA49">
        <v>8.5000000000000006E-2</v>
      </c>
      <c r="AB49">
        <v>0.47</v>
      </c>
      <c r="AC49">
        <v>0.2</v>
      </c>
      <c r="AD49">
        <v>0.62</v>
      </c>
      <c r="AE49">
        <v>0.43</v>
      </c>
      <c r="AF49">
        <v>0.05</v>
      </c>
      <c r="AG49">
        <v>0.05</v>
      </c>
      <c r="AH49">
        <v>0.05</v>
      </c>
      <c r="AI49">
        <v>0.05</v>
      </c>
      <c r="AJ49">
        <v>0.5</v>
      </c>
      <c r="AK49">
        <v>0.5</v>
      </c>
      <c r="AL49">
        <v>0.3</v>
      </c>
      <c r="AM49">
        <v>0.2</v>
      </c>
      <c r="AN49">
        <v>0.1</v>
      </c>
      <c r="AO49">
        <v>0.1</v>
      </c>
      <c r="AP49">
        <v>0.2</v>
      </c>
      <c r="AQ49">
        <v>0.2</v>
      </c>
      <c r="AR49">
        <v>0.1</v>
      </c>
      <c r="AS49">
        <v>0.25</v>
      </c>
      <c r="AT49">
        <v>1.1000000000000001</v>
      </c>
      <c r="AU49">
        <v>1.3</v>
      </c>
      <c r="AV49">
        <v>0.37</v>
      </c>
      <c r="AW49">
        <v>0.1</v>
      </c>
      <c r="AX49">
        <f>SUM(Table1_15[[#This Row],[PFBA]:[PFMPA]])</f>
        <v>32.692000000000007</v>
      </c>
      <c r="AY49">
        <v>-0.69897000433601875</v>
      </c>
      <c r="AZ49">
        <v>-1</v>
      </c>
      <c r="BA49">
        <v>-1.1611509092627446</v>
      </c>
      <c r="BB49">
        <v>-0.55284196865778079</v>
      </c>
      <c r="BC49">
        <v>-1.1023729087095586</v>
      </c>
      <c r="BD49">
        <v>-1.0457574905606752</v>
      </c>
      <c r="BE49">
        <v>0</v>
      </c>
      <c r="BF49">
        <v>-0.40893539297350079</v>
      </c>
      <c r="BG49">
        <v>-6.0480747381381476E-2</v>
      </c>
      <c r="BH49">
        <v>-0.92081875395237522</v>
      </c>
      <c r="BI49">
        <v>-0.85387196432176193</v>
      </c>
      <c r="BJ49">
        <v>1.3010299956639813</v>
      </c>
      <c r="BK49">
        <v>-1.0043648054024501</v>
      </c>
      <c r="BL49">
        <v>-0.72124639904717103</v>
      </c>
      <c r="BM49">
        <v>-0.23657200643706275</v>
      </c>
      <c r="BN49">
        <v>-0.16749108729376366</v>
      </c>
      <c r="BO49">
        <v>-0.31875876262441277</v>
      </c>
      <c r="BP49">
        <v>-1.0705810742857071</v>
      </c>
      <c r="BQ49">
        <v>-0.32790214206428259</v>
      </c>
      <c r="BR49">
        <v>-0.69897000433601875</v>
      </c>
      <c r="BS49">
        <v>-0.20760831050174613</v>
      </c>
      <c r="BT49">
        <v>-0.36653154442041347</v>
      </c>
      <c r="BU49">
        <v>-1.3010299956639813</v>
      </c>
      <c r="BV49">
        <v>-1.3010299956639813</v>
      </c>
      <c r="BW49">
        <v>-1.3010299956639813</v>
      </c>
      <c r="BX49">
        <v>-1.3010299956639813</v>
      </c>
      <c r="BY49">
        <v>-0.3010299956639812</v>
      </c>
      <c r="BZ49">
        <v>-0.3010299956639812</v>
      </c>
      <c r="CA49">
        <v>-0.52287874528033762</v>
      </c>
      <c r="CB49">
        <v>-0.69897000433601875</v>
      </c>
      <c r="CC49">
        <v>-1</v>
      </c>
      <c r="CD49">
        <v>-1</v>
      </c>
      <c r="CE49">
        <v>-0.69897000433601875</v>
      </c>
      <c r="CF49">
        <v>-0.69897000433601875</v>
      </c>
      <c r="CG49">
        <v>-1</v>
      </c>
      <c r="CH49">
        <v>-0.6020599913279624</v>
      </c>
      <c r="CI49">
        <v>4.1392685158225077E-2</v>
      </c>
      <c r="CJ49">
        <v>0.11394335230683679</v>
      </c>
      <c r="CK49">
        <v>-0.43179827593300502</v>
      </c>
      <c r="CL49">
        <v>-1</v>
      </c>
    </row>
    <row r="50" spans="1:90" x14ac:dyDescent="0.3">
      <c r="A50" s="2" t="s">
        <v>69</v>
      </c>
      <c r="B50" s="2" t="s">
        <v>127</v>
      </c>
      <c r="C50" s="1">
        <v>44377.5</v>
      </c>
      <c r="J50">
        <v>0.2</v>
      </c>
      <c r="K50">
        <v>0.1</v>
      </c>
      <c r="L50">
        <v>0.05</v>
      </c>
      <c r="M50">
        <v>0.09</v>
      </c>
      <c r="N50">
        <v>0.05</v>
      </c>
      <c r="O50">
        <v>0.09</v>
      </c>
      <c r="P50">
        <v>0.41</v>
      </c>
      <c r="Q50">
        <v>0.2</v>
      </c>
      <c r="R50">
        <v>0.4</v>
      </c>
      <c r="S50">
        <v>0.05</v>
      </c>
      <c r="T50">
        <v>5.8000000000000003E-2</v>
      </c>
      <c r="U50">
        <v>6.8</v>
      </c>
      <c r="V50">
        <v>9.0999999999999998E-2</v>
      </c>
      <c r="W50">
        <v>0.38</v>
      </c>
      <c r="X50">
        <v>0.11</v>
      </c>
      <c r="Y50">
        <v>0.05</v>
      </c>
      <c r="Z50">
        <v>0.05</v>
      </c>
      <c r="AA50">
        <v>0.18</v>
      </c>
      <c r="AB50">
        <v>0.05</v>
      </c>
      <c r="AC50">
        <v>0.2</v>
      </c>
      <c r="AD50">
        <v>0.49</v>
      </c>
      <c r="AE50">
        <v>0.92</v>
      </c>
      <c r="AF50">
        <v>5.8999999999999997E-2</v>
      </c>
      <c r="AG50">
        <v>0.05</v>
      </c>
      <c r="AH50">
        <v>0.05</v>
      </c>
      <c r="AI50">
        <v>0.05</v>
      </c>
      <c r="AJ50">
        <v>0.5</v>
      </c>
      <c r="AK50">
        <v>0.5</v>
      </c>
      <c r="AL50">
        <v>0.3</v>
      </c>
      <c r="AM50">
        <v>0.2</v>
      </c>
      <c r="AN50">
        <v>0.1</v>
      </c>
      <c r="AO50">
        <v>0.1</v>
      </c>
      <c r="AP50">
        <v>0.2</v>
      </c>
      <c r="AQ50">
        <v>0.2</v>
      </c>
      <c r="AR50">
        <v>0.1</v>
      </c>
      <c r="AS50">
        <v>0.25</v>
      </c>
      <c r="AT50">
        <v>1.25</v>
      </c>
      <c r="AU50">
        <v>1.25</v>
      </c>
      <c r="AV50">
        <v>0.47</v>
      </c>
      <c r="AW50">
        <v>0.1</v>
      </c>
      <c r="AX50">
        <f>SUM(Table1_15[[#This Row],[PFBA]:[PFMPA]])</f>
        <v>16.747999999999998</v>
      </c>
      <c r="AY50">
        <v>-0.69897000433601875</v>
      </c>
      <c r="AZ50">
        <v>-1</v>
      </c>
      <c r="BA50">
        <v>-1.3010299956639813</v>
      </c>
      <c r="BB50">
        <v>-1.0457574905606752</v>
      </c>
      <c r="BC50">
        <v>-1.3010299956639813</v>
      </c>
      <c r="BD50">
        <v>-1.0457574905606752</v>
      </c>
      <c r="BE50">
        <v>-0.38721614328026455</v>
      </c>
      <c r="BF50">
        <v>-0.69897000433601875</v>
      </c>
      <c r="BG50">
        <v>-0.3979400086720376</v>
      </c>
      <c r="BH50">
        <v>-1.3010299956639813</v>
      </c>
      <c r="BI50">
        <v>-1.2365720064370627</v>
      </c>
      <c r="BJ50">
        <v>0.83250891270623628</v>
      </c>
      <c r="BK50">
        <v>-1.0409586076789064</v>
      </c>
      <c r="BL50">
        <v>-0.42021640338318983</v>
      </c>
      <c r="BM50">
        <v>-0.95860731484177497</v>
      </c>
      <c r="BN50">
        <v>-1.3010299956639813</v>
      </c>
      <c r="BO50">
        <v>-1.3010299956639813</v>
      </c>
      <c r="BP50">
        <v>-0.74472749489669399</v>
      </c>
      <c r="BQ50">
        <v>-1.3010299956639813</v>
      </c>
      <c r="BR50">
        <v>-0.69897000433601875</v>
      </c>
      <c r="BS50">
        <v>-0.30980391997148632</v>
      </c>
      <c r="BT50">
        <v>-3.6212172654444715E-2</v>
      </c>
      <c r="BU50">
        <v>-1.2291479883578558</v>
      </c>
      <c r="BV50">
        <v>-1.3010299956639813</v>
      </c>
      <c r="BW50">
        <v>-1.3010299956639813</v>
      </c>
      <c r="BX50">
        <v>-1.3010299956639813</v>
      </c>
      <c r="BY50">
        <v>-0.3010299956639812</v>
      </c>
      <c r="BZ50">
        <v>-0.3010299956639812</v>
      </c>
      <c r="CA50">
        <v>-0.52287874528033762</v>
      </c>
      <c r="CB50">
        <v>-0.69897000433601875</v>
      </c>
      <c r="CC50">
        <v>-1</v>
      </c>
      <c r="CD50">
        <v>-1</v>
      </c>
      <c r="CE50">
        <v>-0.69897000433601875</v>
      </c>
      <c r="CF50">
        <v>-0.69897000433601875</v>
      </c>
      <c r="CG50">
        <v>-1</v>
      </c>
      <c r="CH50">
        <v>-0.6020599913279624</v>
      </c>
      <c r="CI50">
        <v>9.691001300805642E-2</v>
      </c>
      <c r="CJ50">
        <v>9.691001300805642E-2</v>
      </c>
      <c r="CK50">
        <v>-0.32790214206428259</v>
      </c>
      <c r="CL50">
        <v>-1</v>
      </c>
    </row>
    <row r="51" spans="1:90" x14ac:dyDescent="0.3">
      <c r="A51" s="2" t="s">
        <v>70</v>
      </c>
      <c r="B51" s="2" t="s">
        <v>125</v>
      </c>
      <c r="C51" s="1">
        <v>44377.5</v>
      </c>
      <c r="J51">
        <v>0.2</v>
      </c>
      <c r="K51">
        <v>0.1</v>
      </c>
      <c r="L51">
        <v>4.9000000000000002E-2</v>
      </c>
      <c r="M51">
        <v>0.14000000000000001</v>
      </c>
      <c r="N51">
        <v>6.9000000000000006E-2</v>
      </c>
      <c r="O51">
        <v>9.0999999999999998E-2</v>
      </c>
      <c r="P51">
        <v>1.2</v>
      </c>
      <c r="Q51">
        <v>0.48</v>
      </c>
      <c r="R51">
        <v>0.36</v>
      </c>
      <c r="S51">
        <v>0.16</v>
      </c>
      <c r="T51">
        <v>0.19</v>
      </c>
      <c r="U51">
        <v>30</v>
      </c>
      <c r="V51">
        <v>0.23</v>
      </c>
      <c r="W51">
        <v>0.64</v>
      </c>
      <c r="X51">
        <v>0.78</v>
      </c>
      <c r="Y51">
        <v>0.63</v>
      </c>
      <c r="Z51">
        <v>0.51</v>
      </c>
      <c r="AA51">
        <v>0.19</v>
      </c>
      <c r="AB51">
        <v>0.32</v>
      </c>
      <c r="AC51">
        <v>0.2</v>
      </c>
      <c r="AD51">
        <v>0.5</v>
      </c>
      <c r="AE51">
        <v>0.4</v>
      </c>
      <c r="AF51">
        <v>4.9500000000000002E-2</v>
      </c>
      <c r="AG51">
        <v>4.9500000000000002E-2</v>
      </c>
      <c r="AH51">
        <v>4.9500000000000002E-2</v>
      </c>
      <c r="AI51">
        <v>4.9500000000000002E-2</v>
      </c>
      <c r="AJ51">
        <v>1.1000000000000001</v>
      </c>
      <c r="AK51">
        <v>0.495</v>
      </c>
      <c r="AL51">
        <v>0.29499999999999998</v>
      </c>
      <c r="AM51">
        <v>0.2</v>
      </c>
      <c r="AN51">
        <v>0.1</v>
      </c>
      <c r="AO51">
        <v>0.1</v>
      </c>
      <c r="AP51">
        <v>0.2</v>
      </c>
      <c r="AQ51">
        <v>0.2</v>
      </c>
      <c r="AR51">
        <v>0.1</v>
      </c>
      <c r="AS51">
        <v>0.245</v>
      </c>
      <c r="AT51">
        <v>1.25</v>
      </c>
      <c r="AU51">
        <v>1.2</v>
      </c>
      <c r="AV51">
        <v>0.47</v>
      </c>
      <c r="AW51">
        <v>0.1</v>
      </c>
      <c r="AX51">
        <f>SUM(Table1_15[[#This Row],[PFBA]:[PFMPA]])</f>
        <v>43.692000000000021</v>
      </c>
      <c r="AY51">
        <v>-0.69897000433601875</v>
      </c>
      <c r="AZ51">
        <v>-1</v>
      </c>
      <c r="BA51">
        <v>-1.3098039199714864</v>
      </c>
      <c r="BB51">
        <v>-0.85387196432176193</v>
      </c>
      <c r="BC51">
        <v>-1.1611509092627446</v>
      </c>
      <c r="BD51">
        <v>-1.0409586076789064</v>
      </c>
      <c r="BE51">
        <v>7.9181246047624818E-2</v>
      </c>
      <c r="BF51">
        <v>-0.31875876262441277</v>
      </c>
      <c r="BG51">
        <v>-0.44369749923271273</v>
      </c>
      <c r="BH51">
        <v>-0.79588001734407521</v>
      </c>
      <c r="BI51">
        <v>-0.72124639904717103</v>
      </c>
      <c r="BJ51">
        <v>1.4771212547196624</v>
      </c>
      <c r="BK51">
        <v>-0.63827216398240705</v>
      </c>
      <c r="BL51">
        <v>-0.19382002601611281</v>
      </c>
      <c r="BM51">
        <v>-0.10790539730951958</v>
      </c>
      <c r="BN51">
        <v>-0.20065945054641829</v>
      </c>
      <c r="BO51">
        <v>-0.29242982390206362</v>
      </c>
      <c r="BP51">
        <v>-0.72124639904717103</v>
      </c>
      <c r="BQ51">
        <v>-0.49485002168009401</v>
      </c>
      <c r="BR51">
        <v>-0.69897000433601875</v>
      </c>
      <c r="BS51">
        <v>-0.3010299956639812</v>
      </c>
      <c r="BT51">
        <v>-0.3979400086720376</v>
      </c>
      <c r="BU51">
        <v>-1.3053948010664314</v>
      </c>
      <c r="BV51">
        <v>-1.3053948010664314</v>
      </c>
      <c r="BW51">
        <v>-1.3053948010664314</v>
      </c>
      <c r="BX51">
        <v>-1.3053948010664314</v>
      </c>
      <c r="BY51">
        <v>4.1392685158225077E-2</v>
      </c>
      <c r="BZ51">
        <v>-0.3053948010664313</v>
      </c>
      <c r="CA51">
        <v>-0.53017798402183702</v>
      </c>
      <c r="CB51">
        <v>-0.69897000433601875</v>
      </c>
      <c r="CC51">
        <v>-1</v>
      </c>
      <c r="CD51">
        <v>-1</v>
      </c>
      <c r="CE51">
        <v>-0.69897000433601875</v>
      </c>
      <c r="CF51">
        <v>-0.69897000433601875</v>
      </c>
      <c r="CG51">
        <v>-1</v>
      </c>
      <c r="CH51">
        <v>-0.61083391563546752</v>
      </c>
      <c r="CI51">
        <v>9.691001300805642E-2</v>
      </c>
      <c r="CJ51">
        <v>7.9181246047624818E-2</v>
      </c>
      <c r="CK51">
        <v>-0.32790214206428259</v>
      </c>
      <c r="CL51">
        <v>-1</v>
      </c>
    </row>
    <row r="52" spans="1:90" x14ac:dyDescent="0.3">
      <c r="A52" s="2" t="s">
        <v>71</v>
      </c>
      <c r="B52" s="2" t="s">
        <v>128</v>
      </c>
      <c r="C52" s="1">
        <v>44379.5</v>
      </c>
      <c r="J52">
        <v>0.19500000000000001</v>
      </c>
      <c r="K52">
        <v>0.1</v>
      </c>
      <c r="L52">
        <v>4.9500000000000002E-2</v>
      </c>
      <c r="M52">
        <v>0.09</v>
      </c>
      <c r="N52">
        <v>4.9500000000000002E-2</v>
      </c>
      <c r="O52">
        <v>0.09</v>
      </c>
      <c r="P52">
        <v>0.28000000000000003</v>
      </c>
      <c r="Q52">
        <v>0.12</v>
      </c>
      <c r="R52">
        <v>0.39500000000000002</v>
      </c>
      <c r="S52">
        <v>4.9500000000000002E-2</v>
      </c>
      <c r="T52">
        <v>0.08</v>
      </c>
      <c r="U52">
        <v>7.6</v>
      </c>
      <c r="V52">
        <v>7.8E-2</v>
      </c>
      <c r="W52">
        <v>0.14000000000000001</v>
      </c>
      <c r="X52">
        <v>5.8000000000000003E-2</v>
      </c>
      <c r="Y52">
        <v>4.9500000000000002E-2</v>
      </c>
      <c r="Z52">
        <v>4.9500000000000002E-2</v>
      </c>
      <c r="AA52">
        <v>5.7000000000000002E-2</v>
      </c>
      <c r="AB52">
        <v>4.9500000000000002E-2</v>
      </c>
      <c r="AC52">
        <v>0.19500000000000001</v>
      </c>
      <c r="AD52">
        <v>0.39500000000000002</v>
      </c>
      <c r="AE52">
        <v>0.09</v>
      </c>
      <c r="AF52">
        <v>4.9500000000000002E-2</v>
      </c>
      <c r="AG52">
        <v>4.9500000000000002E-2</v>
      </c>
      <c r="AH52">
        <v>4.9500000000000002E-2</v>
      </c>
      <c r="AI52">
        <v>4.9500000000000002E-2</v>
      </c>
      <c r="AJ52">
        <v>0.495</v>
      </c>
      <c r="AK52">
        <v>0.495</v>
      </c>
      <c r="AL52">
        <v>0.29499999999999998</v>
      </c>
      <c r="AM52">
        <v>0.19500000000000001</v>
      </c>
      <c r="AN52">
        <v>0.1</v>
      </c>
      <c r="AO52">
        <v>0.1</v>
      </c>
      <c r="AP52">
        <v>0.19500000000000001</v>
      </c>
      <c r="AQ52">
        <v>0.19500000000000001</v>
      </c>
      <c r="AR52">
        <v>0.1</v>
      </c>
      <c r="AS52">
        <v>0.245</v>
      </c>
      <c r="AT52">
        <v>1.25</v>
      </c>
      <c r="AU52">
        <v>1.25</v>
      </c>
      <c r="AV52">
        <v>7.3999999999999996E-2</v>
      </c>
      <c r="AW52">
        <v>0.1</v>
      </c>
      <c r="AX52">
        <f>SUM(Table1_15[[#This Row],[PFBA]:[PFMPA]])</f>
        <v>15.546999999999997</v>
      </c>
      <c r="AY52">
        <v>-0.70996538863748193</v>
      </c>
      <c r="AZ52">
        <v>-1</v>
      </c>
      <c r="BA52">
        <v>-1.3053948010664314</v>
      </c>
      <c r="BB52">
        <v>-1.0457574905606752</v>
      </c>
      <c r="BC52">
        <v>-1.3053948010664314</v>
      </c>
      <c r="BD52">
        <v>-1.0457574905606752</v>
      </c>
      <c r="BE52">
        <v>-0.55284196865778079</v>
      </c>
      <c r="BF52">
        <v>-0.92081875395237522</v>
      </c>
      <c r="BG52">
        <v>-0.40340290437353976</v>
      </c>
      <c r="BH52">
        <v>-1.3053948010664314</v>
      </c>
      <c r="BI52">
        <v>-1.0969100130080565</v>
      </c>
      <c r="BJ52">
        <v>0.88081359228079137</v>
      </c>
      <c r="BK52">
        <v>-1.1079053973095196</v>
      </c>
      <c r="BL52">
        <v>-0.85387196432176193</v>
      </c>
      <c r="BM52">
        <v>-1.2365720064370627</v>
      </c>
      <c r="BN52">
        <v>-1.3053948010664314</v>
      </c>
      <c r="BO52">
        <v>-1.3053948010664314</v>
      </c>
      <c r="BP52">
        <v>-1.2441251443275085</v>
      </c>
      <c r="BQ52">
        <v>-1.3053948010664314</v>
      </c>
      <c r="BR52">
        <v>-0.70996538863748193</v>
      </c>
      <c r="BS52">
        <v>-0.40340290437353976</v>
      </c>
      <c r="BT52">
        <v>-1.0457574905606752</v>
      </c>
      <c r="BU52">
        <v>-1.3053948010664314</v>
      </c>
      <c r="BV52">
        <v>-1.3053948010664314</v>
      </c>
      <c r="BW52">
        <v>-1.3053948010664314</v>
      </c>
      <c r="BX52">
        <v>-1.3053948010664314</v>
      </c>
      <c r="BY52">
        <v>-0.3053948010664313</v>
      </c>
      <c r="BZ52">
        <v>-0.3053948010664313</v>
      </c>
      <c r="CA52">
        <v>-0.53017798402183702</v>
      </c>
      <c r="CB52">
        <v>-0.70996538863748193</v>
      </c>
      <c r="CC52">
        <v>-1</v>
      </c>
      <c r="CD52">
        <v>-1</v>
      </c>
      <c r="CE52">
        <v>-0.70996538863748193</v>
      </c>
      <c r="CF52">
        <v>-0.70996538863748193</v>
      </c>
      <c r="CG52">
        <v>-1</v>
      </c>
      <c r="CH52">
        <v>-0.61083391563546752</v>
      </c>
      <c r="CI52">
        <v>9.691001300805642E-2</v>
      </c>
      <c r="CJ52">
        <v>9.691001300805642E-2</v>
      </c>
      <c r="CK52">
        <v>-1.1307682802690238</v>
      </c>
      <c r="CL52">
        <v>-1</v>
      </c>
    </row>
    <row r="53" spans="1:90" x14ac:dyDescent="0.3">
      <c r="A53" s="2" t="s">
        <v>72</v>
      </c>
      <c r="B53" s="2" t="s">
        <v>126</v>
      </c>
      <c r="C53" s="1">
        <v>44379.5</v>
      </c>
      <c r="J53">
        <v>0.2</v>
      </c>
      <c r="K53">
        <v>0.1</v>
      </c>
      <c r="L53">
        <v>4.9500000000000002E-2</v>
      </c>
      <c r="M53">
        <v>0.21</v>
      </c>
      <c r="N53">
        <v>7.8E-2</v>
      </c>
      <c r="O53">
        <v>0.09</v>
      </c>
      <c r="P53">
        <v>0.93</v>
      </c>
      <c r="Q53">
        <v>0.28000000000000003</v>
      </c>
      <c r="R53">
        <v>0.54</v>
      </c>
      <c r="S53">
        <v>7.0999999999999994E-2</v>
      </c>
      <c r="T53">
        <v>0.1</v>
      </c>
      <c r="U53">
        <v>11</v>
      </c>
      <c r="V53">
        <v>6.2E-2</v>
      </c>
      <c r="W53">
        <v>0.16</v>
      </c>
      <c r="X53">
        <v>0.54</v>
      </c>
      <c r="Y53">
        <v>0.56999999999999995</v>
      </c>
      <c r="Z53">
        <v>0.35</v>
      </c>
      <c r="AA53">
        <v>5.3999999999999999E-2</v>
      </c>
      <c r="AB53">
        <v>0.31</v>
      </c>
      <c r="AC53">
        <v>0.2</v>
      </c>
      <c r="AD53">
        <v>0.36</v>
      </c>
      <c r="AE53">
        <v>0.27</v>
      </c>
      <c r="AF53">
        <v>4.9500000000000002E-2</v>
      </c>
      <c r="AG53">
        <v>4.9500000000000002E-2</v>
      </c>
      <c r="AH53">
        <v>4.9500000000000002E-2</v>
      </c>
      <c r="AI53">
        <v>4.9500000000000002E-2</v>
      </c>
      <c r="AJ53">
        <v>0.54</v>
      </c>
      <c r="AK53">
        <v>1.1000000000000001</v>
      </c>
      <c r="AL53">
        <v>0.29499999999999998</v>
      </c>
      <c r="AM53">
        <v>0.2</v>
      </c>
      <c r="AN53">
        <v>0.1</v>
      </c>
      <c r="AO53">
        <v>0.1</v>
      </c>
      <c r="AP53">
        <v>0.2</v>
      </c>
      <c r="AQ53">
        <v>0.2</v>
      </c>
      <c r="AR53">
        <v>0.1</v>
      </c>
      <c r="AS53">
        <v>0.25</v>
      </c>
      <c r="AT53">
        <v>1.25</v>
      </c>
      <c r="AU53">
        <v>1</v>
      </c>
      <c r="AV53">
        <v>0.28000000000000003</v>
      </c>
      <c r="AW53">
        <v>0.1</v>
      </c>
      <c r="AX53">
        <f>SUM(Table1_15[[#This Row],[PFBA]:[PFMPA]])</f>
        <v>22.4375</v>
      </c>
      <c r="AY53">
        <v>-0.69897000433601875</v>
      </c>
      <c r="AZ53">
        <v>-1</v>
      </c>
      <c r="BA53">
        <v>-1.3053948010664314</v>
      </c>
      <c r="BB53">
        <v>-0.6777807052660807</v>
      </c>
      <c r="BC53">
        <v>-1.1079053973095196</v>
      </c>
      <c r="BD53">
        <v>-1.0457574905606752</v>
      </c>
      <c r="BE53">
        <v>-3.1517051446064863E-2</v>
      </c>
      <c r="BF53">
        <v>-0.55284196865778079</v>
      </c>
      <c r="BG53">
        <v>-0.26760624017703144</v>
      </c>
      <c r="BH53">
        <v>-1.1487416512809248</v>
      </c>
      <c r="BI53">
        <v>-1</v>
      </c>
      <c r="BJ53">
        <v>1.0413926851582251</v>
      </c>
      <c r="BK53">
        <v>-1.2076083105017461</v>
      </c>
      <c r="BL53">
        <v>-0.79588001734407521</v>
      </c>
      <c r="BM53">
        <v>-0.26760624017703144</v>
      </c>
      <c r="BN53">
        <v>-0.24412514432750865</v>
      </c>
      <c r="BO53">
        <v>-0.45593195564972439</v>
      </c>
      <c r="BP53">
        <v>-1.2676062401770316</v>
      </c>
      <c r="BQ53">
        <v>-0.50863830616572736</v>
      </c>
      <c r="BR53">
        <v>-0.69897000433601875</v>
      </c>
      <c r="BS53">
        <v>-0.44369749923271273</v>
      </c>
      <c r="BT53">
        <v>-0.56863623584101264</v>
      </c>
      <c r="BU53">
        <v>-1.3053948010664314</v>
      </c>
      <c r="BV53">
        <v>-1.3053948010664314</v>
      </c>
      <c r="BW53">
        <v>-1.3053948010664314</v>
      </c>
      <c r="BX53">
        <v>-1.3053948010664314</v>
      </c>
      <c r="BY53">
        <v>-0.26760624017703144</v>
      </c>
      <c r="BZ53">
        <v>4.1392685158225077E-2</v>
      </c>
      <c r="CA53">
        <v>-0.53017798402183702</v>
      </c>
      <c r="CB53">
        <v>-0.69897000433601875</v>
      </c>
      <c r="CC53">
        <v>-1</v>
      </c>
      <c r="CD53">
        <v>-1</v>
      </c>
      <c r="CE53">
        <v>-0.69897000433601875</v>
      </c>
      <c r="CF53">
        <v>-0.69897000433601875</v>
      </c>
      <c r="CG53">
        <v>-1</v>
      </c>
      <c r="CH53">
        <v>-0.6020599913279624</v>
      </c>
      <c r="CI53">
        <v>9.691001300805642E-2</v>
      </c>
      <c r="CJ53">
        <v>0</v>
      </c>
      <c r="CK53">
        <v>-0.55284196865778079</v>
      </c>
      <c r="CL53">
        <v>-1</v>
      </c>
    </row>
    <row r="54" spans="1:90" x14ac:dyDescent="0.3">
      <c r="A54" s="2" t="s">
        <v>73</v>
      </c>
      <c r="B54" s="2" t="s">
        <v>127</v>
      </c>
      <c r="C54" s="1">
        <v>44379.5</v>
      </c>
      <c r="J54">
        <v>0.2</v>
      </c>
      <c r="K54">
        <v>0.1</v>
      </c>
      <c r="L54">
        <v>0.05</v>
      </c>
      <c r="M54">
        <v>9.1999999999999998E-2</v>
      </c>
      <c r="N54">
        <v>0.05</v>
      </c>
      <c r="O54">
        <v>0.09</v>
      </c>
      <c r="P54">
        <v>0.67</v>
      </c>
      <c r="Q54">
        <v>0.21</v>
      </c>
      <c r="R54">
        <v>0.4</v>
      </c>
      <c r="S54">
        <v>5.1999999999999998E-2</v>
      </c>
      <c r="T54">
        <v>0.14000000000000001</v>
      </c>
      <c r="U54">
        <v>9.8000000000000007</v>
      </c>
      <c r="V54">
        <v>0.27</v>
      </c>
      <c r="W54">
        <v>0.38</v>
      </c>
      <c r="X54">
        <v>0.1</v>
      </c>
      <c r="Y54">
        <v>0.05</v>
      </c>
      <c r="Z54">
        <v>0.05</v>
      </c>
      <c r="AA54">
        <v>0.28000000000000003</v>
      </c>
      <c r="AB54">
        <v>0.05</v>
      </c>
      <c r="AC54">
        <v>0.2</v>
      </c>
      <c r="AD54">
        <v>0.82</v>
      </c>
      <c r="AE54">
        <v>1.7</v>
      </c>
      <c r="AF54">
        <v>0.05</v>
      </c>
      <c r="AG54">
        <v>0.05</v>
      </c>
      <c r="AH54">
        <v>0.05</v>
      </c>
      <c r="AI54">
        <v>0.05</v>
      </c>
      <c r="AJ54">
        <v>0.5</v>
      </c>
      <c r="AK54">
        <v>0.5</v>
      </c>
      <c r="AL54">
        <v>0.3</v>
      </c>
      <c r="AM54">
        <v>0.2</v>
      </c>
      <c r="AN54">
        <v>0.1</v>
      </c>
      <c r="AO54">
        <v>0.1</v>
      </c>
      <c r="AP54">
        <v>0.2</v>
      </c>
      <c r="AQ54">
        <v>0.2</v>
      </c>
      <c r="AR54">
        <v>0.1</v>
      </c>
      <c r="AS54">
        <v>0.25</v>
      </c>
      <c r="AT54">
        <v>1.25</v>
      </c>
      <c r="AU54">
        <v>1.25</v>
      </c>
      <c r="AV54">
        <v>0.47</v>
      </c>
      <c r="AW54">
        <v>0.1</v>
      </c>
      <c r="AX54">
        <f>SUM(Table1_15[[#This Row],[PFBA]:[PFMPA]])</f>
        <v>21.474000000000007</v>
      </c>
      <c r="AY54">
        <v>-0.69897000433601875</v>
      </c>
      <c r="AZ54">
        <v>-1</v>
      </c>
      <c r="BA54">
        <v>-1.3010299956639813</v>
      </c>
      <c r="BB54">
        <v>-1.0362121726544447</v>
      </c>
      <c r="BC54">
        <v>-1.3010299956639813</v>
      </c>
      <c r="BD54">
        <v>-1.0457574905606752</v>
      </c>
      <c r="BE54">
        <v>-0.17392519729917355</v>
      </c>
      <c r="BF54">
        <v>-0.6777807052660807</v>
      </c>
      <c r="BG54">
        <v>-0.3979400086720376</v>
      </c>
      <c r="BH54">
        <v>-1.2839966563652008</v>
      </c>
      <c r="BI54">
        <v>-0.85387196432176193</v>
      </c>
      <c r="BJ54">
        <v>0.99122607569249488</v>
      </c>
      <c r="BK54">
        <v>-0.56863623584101264</v>
      </c>
      <c r="BL54">
        <v>-0.42021640338318983</v>
      </c>
      <c r="BM54">
        <v>-1</v>
      </c>
      <c r="BN54">
        <v>-1.3010299956639813</v>
      </c>
      <c r="BO54">
        <v>-1.3010299956639813</v>
      </c>
      <c r="BP54">
        <v>-0.55284196865778079</v>
      </c>
      <c r="BQ54">
        <v>-1.3010299956639813</v>
      </c>
      <c r="BR54">
        <v>-0.69897000433601875</v>
      </c>
      <c r="BS54">
        <v>-8.6186147616283335E-2</v>
      </c>
      <c r="BT54">
        <v>0.23044892137827391</v>
      </c>
      <c r="BU54">
        <v>-1.3010299956639813</v>
      </c>
      <c r="BV54">
        <v>-1.3010299956639813</v>
      </c>
      <c r="BW54">
        <v>-1.3010299956639813</v>
      </c>
      <c r="BX54">
        <v>-1.3010299956639813</v>
      </c>
      <c r="BY54">
        <v>-0.3010299956639812</v>
      </c>
      <c r="BZ54">
        <v>-0.3010299956639812</v>
      </c>
      <c r="CA54">
        <v>-0.52287874528033762</v>
      </c>
      <c r="CB54">
        <v>-0.69897000433601875</v>
      </c>
      <c r="CC54">
        <v>-1</v>
      </c>
      <c r="CD54">
        <v>-1</v>
      </c>
      <c r="CE54">
        <v>-0.69897000433601875</v>
      </c>
      <c r="CF54">
        <v>-0.69897000433601875</v>
      </c>
      <c r="CG54">
        <v>-1</v>
      </c>
      <c r="CH54">
        <v>-0.6020599913279624</v>
      </c>
      <c r="CI54">
        <v>9.691001300805642E-2</v>
      </c>
      <c r="CJ54">
        <v>9.691001300805642E-2</v>
      </c>
      <c r="CK54">
        <v>-0.32790214206428259</v>
      </c>
      <c r="CL54">
        <v>-1</v>
      </c>
    </row>
    <row r="55" spans="1:90" x14ac:dyDescent="0.3">
      <c r="A55" s="2" t="s">
        <v>74</v>
      </c>
      <c r="B55" s="2" t="s">
        <v>125</v>
      </c>
      <c r="C55" s="1">
        <v>44379.5</v>
      </c>
      <c r="J55">
        <v>0.26500000000000001</v>
      </c>
      <c r="K55">
        <v>0.13500000000000001</v>
      </c>
      <c r="L55">
        <v>7.0000000000000007E-2</v>
      </c>
      <c r="M55">
        <v>0.24</v>
      </c>
      <c r="N55">
        <v>0.16</v>
      </c>
      <c r="O55">
        <v>0.12</v>
      </c>
      <c r="P55">
        <v>1.5</v>
      </c>
      <c r="Q55">
        <v>0.61</v>
      </c>
      <c r="R55">
        <v>0.55000000000000004</v>
      </c>
      <c r="S55">
        <v>0.19</v>
      </c>
      <c r="T55">
        <v>0.28000000000000003</v>
      </c>
      <c r="U55">
        <v>40</v>
      </c>
      <c r="V55">
        <v>0.36</v>
      </c>
      <c r="W55">
        <v>0.83</v>
      </c>
      <c r="X55">
        <v>1.1000000000000001</v>
      </c>
      <c r="Y55">
        <v>0.95</v>
      </c>
      <c r="Z55">
        <v>0.68</v>
      </c>
      <c r="AA55">
        <v>0.26</v>
      </c>
      <c r="AB55">
        <v>0.43</v>
      </c>
      <c r="AC55">
        <v>0.26500000000000001</v>
      </c>
      <c r="AD55">
        <v>0.89</v>
      </c>
      <c r="AE55">
        <v>0.62</v>
      </c>
      <c r="AF55">
        <v>6.5000000000000002E-2</v>
      </c>
      <c r="AG55">
        <v>6.5000000000000002E-2</v>
      </c>
      <c r="AH55">
        <v>6.5000000000000002E-2</v>
      </c>
      <c r="AI55">
        <v>6.5000000000000002E-2</v>
      </c>
      <c r="AJ55">
        <v>0.97</v>
      </c>
      <c r="AK55">
        <v>0.65</v>
      </c>
      <c r="AL55">
        <v>0.4</v>
      </c>
      <c r="AM55">
        <v>0.26500000000000001</v>
      </c>
      <c r="AN55">
        <v>0.13500000000000001</v>
      </c>
      <c r="AO55">
        <v>0.13500000000000001</v>
      </c>
      <c r="AP55">
        <v>0.26500000000000001</v>
      </c>
      <c r="AQ55">
        <v>0.26500000000000001</v>
      </c>
      <c r="AR55">
        <v>0.13500000000000001</v>
      </c>
      <c r="AS55">
        <v>0.33</v>
      </c>
      <c r="AT55">
        <v>1.65</v>
      </c>
      <c r="AU55">
        <v>1.65</v>
      </c>
      <c r="AV55">
        <v>0.78</v>
      </c>
      <c r="AW55">
        <v>0.15</v>
      </c>
      <c r="AX55">
        <f>SUM(Table1_15[[#This Row],[PFBA]:[PFMPA]])</f>
        <v>58.544999999999973</v>
      </c>
      <c r="AY55">
        <v>-0.5767541260631921</v>
      </c>
      <c r="AZ55">
        <v>-0.86966623150499389</v>
      </c>
      <c r="BA55">
        <v>-1.1549019599857431</v>
      </c>
      <c r="BB55">
        <v>-0.61978875828839397</v>
      </c>
      <c r="BC55">
        <v>-0.79588001734407521</v>
      </c>
      <c r="BD55">
        <v>-0.92081875395237522</v>
      </c>
      <c r="BE55">
        <v>0.17609125905568124</v>
      </c>
      <c r="BF55">
        <v>-0.21467016498923297</v>
      </c>
      <c r="BG55">
        <v>-0.25963731050575611</v>
      </c>
      <c r="BH55">
        <v>-0.72124639904717103</v>
      </c>
      <c r="BI55">
        <v>-0.55284196865778079</v>
      </c>
      <c r="BJ55">
        <v>1.6020599913279623</v>
      </c>
      <c r="BK55">
        <v>-0.44369749923271273</v>
      </c>
      <c r="BL55">
        <v>-8.092190762392612E-2</v>
      </c>
      <c r="BM55">
        <v>4.1392685158225077E-2</v>
      </c>
      <c r="BN55">
        <v>-2.2276394711152253E-2</v>
      </c>
      <c r="BO55">
        <v>-0.16749108729376366</v>
      </c>
      <c r="BP55">
        <v>-0.58502665202918203</v>
      </c>
      <c r="BQ55">
        <v>-0.36653154442041347</v>
      </c>
      <c r="BR55">
        <v>-0.5767541260631921</v>
      </c>
      <c r="BS55">
        <v>-5.0609993355087209E-2</v>
      </c>
      <c r="BT55">
        <v>-0.20760831050174613</v>
      </c>
      <c r="BU55">
        <v>-1.1870866433571443</v>
      </c>
      <c r="BV55">
        <v>-1.1870866433571443</v>
      </c>
      <c r="BW55">
        <v>-1.1870866433571443</v>
      </c>
      <c r="BX55">
        <v>-1.1870866433571443</v>
      </c>
      <c r="BY55">
        <v>-1.322826573375516E-2</v>
      </c>
      <c r="BZ55">
        <v>-0.18708664335714442</v>
      </c>
      <c r="CA55">
        <v>-0.3979400086720376</v>
      </c>
      <c r="CB55">
        <v>-0.5767541260631921</v>
      </c>
      <c r="CC55">
        <v>-0.86966623150499389</v>
      </c>
      <c r="CD55">
        <v>-0.86966623150499389</v>
      </c>
      <c r="CE55">
        <v>-0.5767541260631921</v>
      </c>
      <c r="CF55">
        <v>-0.5767541260631921</v>
      </c>
      <c r="CG55">
        <v>-0.86966623150499389</v>
      </c>
      <c r="CH55">
        <v>-0.48148606012211248</v>
      </c>
      <c r="CI55">
        <v>0.21748394421390627</v>
      </c>
      <c r="CJ55">
        <v>0.21748394421390627</v>
      </c>
      <c r="CK55">
        <v>-0.10790539730951958</v>
      </c>
      <c r="CL55">
        <v>-0.82390874094431876</v>
      </c>
    </row>
    <row r="56" spans="1:90" x14ac:dyDescent="0.3">
      <c r="A56" s="2" t="s">
        <v>75</v>
      </c>
      <c r="B56" s="2" t="s">
        <v>128</v>
      </c>
      <c r="C56" s="1">
        <v>44385.5</v>
      </c>
      <c r="J56">
        <v>0.2</v>
      </c>
      <c r="K56">
        <v>0.1</v>
      </c>
      <c r="L56">
        <v>0.05</v>
      </c>
      <c r="M56">
        <v>0.09</v>
      </c>
      <c r="N56">
        <v>0.05</v>
      </c>
      <c r="O56">
        <v>0.09</v>
      </c>
      <c r="P56">
        <v>0.33</v>
      </c>
      <c r="Q56">
        <v>9.9000000000000005E-2</v>
      </c>
      <c r="R56">
        <v>0.4</v>
      </c>
      <c r="S56">
        <v>0.05</v>
      </c>
      <c r="T56">
        <v>7.6999999999999999E-2</v>
      </c>
      <c r="U56">
        <v>8.1</v>
      </c>
      <c r="V56">
        <v>9.2999999999999999E-2</v>
      </c>
      <c r="W56">
        <v>9.9000000000000005E-2</v>
      </c>
      <c r="X56">
        <v>8.1000000000000003E-2</v>
      </c>
      <c r="Y56">
        <v>0.05</v>
      </c>
      <c r="Z56">
        <v>0.05</v>
      </c>
      <c r="AA56">
        <v>0.05</v>
      </c>
      <c r="AB56">
        <v>0.05</v>
      </c>
      <c r="AC56">
        <v>0.2</v>
      </c>
      <c r="AD56">
        <v>0.4</v>
      </c>
      <c r="AE56">
        <v>0.09</v>
      </c>
      <c r="AF56">
        <v>0.05</v>
      </c>
      <c r="AG56">
        <v>0.05</v>
      </c>
      <c r="AH56">
        <v>0.05</v>
      </c>
      <c r="AI56">
        <v>0.05</v>
      </c>
      <c r="AJ56">
        <v>0.5</v>
      </c>
      <c r="AK56">
        <v>0.5</v>
      </c>
      <c r="AL56">
        <v>0.3</v>
      </c>
      <c r="AM56">
        <v>0.2</v>
      </c>
      <c r="AN56">
        <v>0.1</v>
      </c>
      <c r="AO56">
        <v>0.1</v>
      </c>
      <c r="AP56">
        <v>0.2</v>
      </c>
      <c r="AQ56">
        <v>0.2</v>
      </c>
      <c r="AR56">
        <v>0.1</v>
      </c>
      <c r="AS56">
        <v>0.25</v>
      </c>
      <c r="AT56">
        <v>1.25</v>
      </c>
      <c r="AU56">
        <v>1.25</v>
      </c>
      <c r="AV56">
        <v>6.0999999999999999E-2</v>
      </c>
      <c r="AW56">
        <v>0.1</v>
      </c>
      <c r="AX56">
        <f>SUM(Table1_15[[#This Row],[PFBA]:[PFMPA]])</f>
        <v>16.110000000000003</v>
      </c>
      <c r="AY56">
        <v>-0.69897000433601875</v>
      </c>
      <c r="AZ56">
        <v>-1</v>
      </c>
      <c r="BA56">
        <v>-1.3010299956639813</v>
      </c>
      <c r="BB56">
        <v>-1.0457574905606752</v>
      </c>
      <c r="BC56">
        <v>-1.3010299956639813</v>
      </c>
      <c r="BD56">
        <v>-1.0457574905606752</v>
      </c>
      <c r="BE56">
        <v>-0.48148606012211248</v>
      </c>
      <c r="BF56">
        <v>-1.0043648054024501</v>
      </c>
      <c r="BG56">
        <v>-0.3979400086720376</v>
      </c>
      <c r="BH56">
        <v>-1.3010299956639813</v>
      </c>
      <c r="BI56">
        <v>-1.1135092748275182</v>
      </c>
      <c r="BJ56">
        <v>0.90848501887864974</v>
      </c>
      <c r="BK56">
        <v>-1.031517051446065</v>
      </c>
      <c r="BL56">
        <v>-1.0043648054024501</v>
      </c>
      <c r="BM56">
        <v>-1.0915149811213503</v>
      </c>
      <c r="BN56">
        <v>-1.3010299956639813</v>
      </c>
      <c r="BO56">
        <v>-1.3010299956639813</v>
      </c>
      <c r="BP56">
        <v>-1.3010299956639813</v>
      </c>
      <c r="BQ56">
        <v>-1.3010299956639813</v>
      </c>
      <c r="BR56">
        <v>-0.69897000433601875</v>
      </c>
      <c r="BS56">
        <v>-0.3979400086720376</v>
      </c>
      <c r="BT56">
        <v>-1.0457574905606752</v>
      </c>
      <c r="BU56">
        <v>-1.3010299956639813</v>
      </c>
      <c r="BV56">
        <v>-1.3010299956639813</v>
      </c>
      <c r="BW56">
        <v>-1.3010299956639813</v>
      </c>
      <c r="BX56">
        <v>-1.3010299956639813</v>
      </c>
      <c r="BY56">
        <v>-0.3010299956639812</v>
      </c>
      <c r="BZ56">
        <v>-0.3010299956639812</v>
      </c>
      <c r="CA56">
        <v>-0.52287874528033762</v>
      </c>
      <c r="CB56">
        <v>-0.69897000433601875</v>
      </c>
      <c r="CC56">
        <v>-1</v>
      </c>
      <c r="CD56">
        <v>-1</v>
      </c>
      <c r="CE56">
        <v>-0.69897000433601875</v>
      </c>
      <c r="CF56">
        <v>-0.69897000433601875</v>
      </c>
      <c r="CG56">
        <v>-1</v>
      </c>
      <c r="CH56">
        <v>-0.6020599913279624</v>
      </c>
      <c r="CI56">
        <v>9.691001300805642E-2</v>
      </c>
      <c r="CJ56">
        <v>9.691001300805642E-2</v>
      </c>
      <c r="CK56">
        <v>-1.2146701649892331</v>
      </c>
      <c r="CL56">
        <v>-1</v>
      </c>
    </row>
    <row r="57" spans="1:90" x14ac:dyDescent="0.3">
      <c r="A57" s="2" t="s">
        <v>76</v>
      </c>
      <c r="B57" s="2" t="s">
        <v>126</v>
      </c>
      <c r="C57" s="1">
        <v>44385.5</v>
      </c>
      <c r="J57">
        <v>0.2</v>
      </c>
      <c r="K57">
        <v>0.1</v>
      </c>
      <c r="L57">
        <v>5.0999999999999997E-2</v>
      </c>
      <c r="M57">
        <v>0.27</v>
      </c>
      <c r="N57">
        <v>8.4000000000000005E-2</v>
      </c>
      <c r="O57">
        <v>0.09</v>
      </c>
      <c r="P57">
        <v>0.93</v>
      </c>
      <c r="Q57">
        <v>0.34</v>
      </c>
      <c r="R57">
        <v>0.62</v>
      </c>
      <c r="S57">
        <v>9.9000000000000005E-2</v>
      </c>
      <c r="T57">
        <v>9.4E-2</v>
      </c>
      <c r="U57">
        <v>15</v>
      </c>
      <c r="V57">
        <v>0.06</v>
      </c>
      <c r="W57">
        <v>0.22</v>
      </c>
      <c r="X57">
        <v>0.67</v>
      </c>
      <c r="Y57">
        <v>0.55000000000000004</v>
      </c>
      <c r="Z57">
        <v>0.39</v>
      </c>
      <c r="AA57">
        <v>6.3E-2</v>
      </c>
      <c r="AB57">
        <v>0.38</v>
      </c>
      <c r="AC57">
        <v>0.2</v>
      </c>
      <c r="AD57">
        <v>0.4</v>
      </c>
      <c r="AE57">
        <v>0.23</v>
      </c>
      <c r="AF57">
        <v>0.05</v>
      </c>
      <c r="AG57">
        <v>0.05</v>
      </c>
      <c r="AH57">
        <v>0.05</v>
      </c>
      <c r="AI57">
        <v>0.05</v>
      </c>
      <c r="AJ57">
        <v>0.5</v>
      </c>
      <c r="AK57">
        <v>0.5</v>
      </c>
      <c r="AL57">
        <v>0.3</v>
      </c>
      <c r="AM57">
        <v>0.2</v>
      </c>
      <c r="AN57">
        <v>0.1</v>
      </c>
      <c r="AO57">
        <v>0.1</v>
      </c>
      <c r="AP57">
        <v>0.2</v>
      </c>
      <c r="AQ57">
        <v>0.2</v>
      </c>
      <c r="AR57">
        <v>0.1</v>
      </c>
      <c r="AS57">
        <v>0.25</v>
      </c>
      <c r="AT57">
        <v>1.25</v>
      </c>
      <c r="AU57">
        <v>1.25</v>
      </c>
      <c r="AV57">
        <v>0.4</v>
      </c>
      <c r="AW57">
        <v>0.1</v>
      </c>
      <c r="AX57">
        <f>SUM(Table1_15[[#This Row],[PFBA]:[PFMPA]])</f>
        <v>26.691000000000003</v>
      </c>
      <c r="AY57">
        <v>-0.69897000433601875</v>
      </c>
      <c r="AZ57">
        <v>-1</v>
      </c>
      <c r="BA57">
        <v>-1.2924298239020637</v>
      </c>
      <c r="BB57">
        <v>-0.56863623584101264</v>
      </c>
      <c r="BC57">
        <v>-1.0757207139381184</v>
      </c>
      <c r="BD57">
        <v>-1.0457574905606752</v>
      </c>
      <c r="BE57">
        <v>-3.1517051446064863E-2</v>
      </c>
      <c r="BF57">
        <v>-0.46852108295774486</v>
      </c>
      <c r="BG57">
        <v>-0.20760831050174613</v>
      </c>
      <c r="BH57">
        <v>-1.0043648054024501</v>
      </c>
      <c r="BI57">
        <v>-1.0268721464003014</v>
      </c>
      <c r="BJ57">
        <v>1.1760912590556813</v>
      </c>
      <c r="BK57">
        <v>-1.2218487496163564</v>
      </c>
      <c r="BL57">
        <v>-0.65757731917779372</v>
      </c>
      <c r="BM57">
        <v>-0.17392519729917355</v>
      </c>
      <c r="BN57">
        <v>-0.25963731050575611</v>
      </c>
      <c r="BO57">
        <v>-0.40893539297350079</v>
      </c>
      <c r="BP57">
        <v>-1.2006594505464183</v>
      </c>
      <c r="BQ57">
        <v>-0.42021640338318983</v>
      </c>
      <c r="BR57">
        <v>-0.69897000433601875</v>
      </c>
      <c r="BS57">
        <v>-0.3979400086720376</v>
      </c>
      <c r="BT57">
        <v>-0.63827216398240705</v>
      </c>
      <c r="BU57">
        <v>-1.3010299956639813</v>
      </c>
      <c r="BV57">
        <v>-1.3010299956639813</v>
      </c>
      <c r="BW57">
        <v>-1.3010299956639813</v>
      </c>
      <c r="BX57">
        <v>-1.3010299956639813</v>
      </c>
      <c r="BY57">
        <v>-0.3010299956639812</v>
      </c>
      <c r="BZ57">
        <v>-0.3010299956639812</v>
      </c>
      <c r="CA57">
        <v>-0.52287874528033762</v>
      </c>
      <c r="CB57">
        <v>-0.69897000433601875</v>
      </c>
      <c r="CC57">
        <v>-1</v>
      </c>
      <c r="CD57">
        <v>-1</v>
      </c>
      <c r="CE57">
        <v>-0.69897000433601875</v>
      </c>
      <c r="CF57">
        <v>-0.69897000433601875</v>
      </c>
      <c r="CG57">
        <v>-1</v>
      </c>
      <c r="CH57">
        <v>-0.6020599913279624</v>
      </c>
      <c r="CI57">
        <v>9.691001300805642E-2</v>
      </c>
      <c r="CJ57">
        <v>9.691001300805642E-2</v>
      </c>
      <c r="CK57">
        <v>-0.3979400086720376</v>
      </c>
      <c r="CL57">
        <v>-1</v>
      </c>
    </row>
    <row r="58" spans="1:90" x14ac:dyDescent="0.3">
      <c r="A58" s="2" t="s">
        <v>77</v>
      </c>
      <c r="B58" s="2" t="s">
        <v>127</v>
      </c>
      <c r="C58" s="1">
        <v>44385.5</v>
      </c>
      <c r="J58">
        <v>0.2</v>
      </c>
      <c r="K58">
        <v>0.1</v>
      </c>
      <c r="L58">
        <v>0.05</v>
      </c>
      <c r="M58">
        <v>0.09</v>
      </c>
      <c r="N58">
        <v>0.05</v>
      </c>
      <c r="O58">
        <v>0.09</v>
      </c>
      <c r="P58">
        <v>0.24</v>
      </c>
      <c r="Q58">
        <v>0.13</v>
      </c>
      <c r="R58">
        <v>0.4</v>
      </c>
      <c r="S58">
        <v>0.05</v>
      </c>
      <c r="T58">
        <v>0.05</v>
      </c>
      <c r="U58">
        <v>6.2</v>
      </c>
      <c r="V58">
        <v>0.05</v>
      </c>
      <c r="W58">
        <v>0.26</v>
      </c>
      <c r="X58">
        <v>0.23</v>
      </c>
      <c r="Y58">
        <v>7.5999999999999998E-2</v>
      </c>
      <c r="Z58">
        <v>0.05</v>
      </c>
      <c r="AA58">
        <v>7.4999999999999997E-2</v>
      </c>
      <c r="AB58">
        <v>0.05</v>
      </c>
      <c r="AC58">
        <v>0.2</v>
      </c>
      <c r="AD58">
        <v>0.4</v>
      </c>
      <c r="AE58">
        <v>0.14000000000000001</v>
      </c>
      <c r="AF58">
        <v>0.05</v>
      </c>
      <c r="AG58">
        <v>0.05</v>
      </c>
      <c r="AH58">
        <v>0.05</v>
      </c>
      <c r="AI58">
        <v>0.05</v>
      </c>
      <c r="AJ58">
        <v>0.5</v>
      </c>
      <c r="AK58">
        <v>0.5</v>
      </c>
      <c r="AL58">
        <v>0.3</v>
      </c>
      <c r="AM58">
        <v>0.2</v>
      </c>
      <c r="AN58">
        <v>0.1</v>
      </c>
      <c r="AO58">
        <v>0.1</v>
      </c>
      <c r="AP58">
        <v>0.2</v>
      </c>
      <c r="AQ58">
        <v>0.2</v>
      </c>
      <c r="AR58">
        <v>0.1</v>
      </c>
      <c r="AS58">
        <v>0.25</v>
      </c>
      <c r="AT58">
        <v>1.25</v>
      </c>
      <c r="AU58">
        <v>1.25</v>
      </c>
      <c r="AV58">
        <v>0.51</v>
      </c>
      <c r="AW58">
        <v>0.1</v>
      </c>
      <c r="AX58">
        <f>SUM(Table1_15[[#This Row],[PFBA]:[PFMPA]])</f>
        <v>14.941000000000001</v>
      </c>
      <c r="AY58">
        <v>-0.69897000433601875</v>
      </c>
      <c r="AZ58">
        <v>-1</v>
      </c>
      <c r="BA58">
        <v>-1.3010299956639813</v>
      </c>
      <c r="BB58">
        <v>-1.0457574905606752</v>
      </c>
      <c r="BC58">
        <v>-1.3010299956639813</v>
      </c>
      <c r="BD58">
        <v>-1.0457574905606752</v>
      </c>
      <c r="BE58">
        <v>-0.61978875828839397</v>
      </c>
      <c r="BF58">
        <v>-0.88605664769316317</v>
      </c>
      <c r="BG58">
        <v>-0.3979400086720376</v>
      </c>
      <c r="BH58">
        <v>-1.3010299956639813</v>
      </c>
      <c r="BI58">
        <v>-1.3010299956639813</v>
      </c>
      <c r="BJ58">
        <v>0.79239168949825389</v>
      </c>
      <c r="BK58">
        <v>-1.3010299956639813</v>
      </c>
      <c r="BL58">
        <v>-0.58502665202918203</v>
      </c>
      <c r="BM58">
        <v>-0.63827216398240705</v>
      </c>
      <c r="BN58">
        <v>-1.1191864077192086</v>
      </c>
      <c r="BO58">
        <v>-1.3010299956639813</v>
      </c>
      <c r="BP58">
        <v>-1.1249387366082999</v>
      </c>
      <c r="BQ58">
        <v>-1.3010299956639813</v>
      </c>
      <c r="BR58">
        <v>-0.69897000433601875</v>
      </c>
      <c r="BS58">
        <v>-0.3979400086720376</v>
      </c>
      <c r="BT58">
        <v>-0.85387196432176193</v>
      </c>
      <c r="BU58">
        <v>-1.3010299956639813</v>
      </c>
      <c r="BV58">
        <v>-1.3010299956639813</v>
      </c>
      <c r="BW58">
        <v>-1.3010299956639813</v>
      </c>
      <c r="BX58">
        <v>-1.3010299956639813</v>
      </c>
      <c r="BY58">
        <v>-0.3010299956639812</v>
      </c>
      <c r="BZ58">
        <v>-0.3010299956639812</v>
      </c>
      <c r="CA58">
        <v>-0.52287874528033762</v>
      </c>
      <c r="CB58">
        <v>-0.69897000433601875</v>
      </c>
      <c r="CC58">
        <v>-1</v>
      </c>
      <c r="CD58">
        <v>-1</v>
      </c>
      <c r="CE58">
        <v>-0.69897000433601875</v>
      </c>
      <c r="CF58">
        <v>-0.69897000433601875</v>
      </c>
      <c r="CG58">
        <v>-1</v>
      </c>
      <c r="CH58">
        <v>-0.6020599913279624</v>
      </c>
      <c r="CI58">
        <v>9.691001300805642E-2</v>
      </c>
      <c r="CJ58">
        <v>9.691001300805642E-2</v>
      </c>
      <c r="CK58">
        <v>-0.29242982390206362</v>
      </c>
      <c r="CL58">
        <v>-1</v>
      </c>
    </row>
    <row r="59" spans="1:90" x14ac:dyDescent="0.3">
      <c r="A59" s="2" t="s">
        <v>78</v>
      </c>
      <c r="B59" s="2" t="s">
        <v>125</v>
      </c>
      <c r="C59" s="1">
        <v>44385.5</v>
      </c>
      <c r="J59">
        <v>0.315</v>
      </c>
      <c r="K59">
        <v>0.155</v>
      </c>
      <c r="L59">
        <v>0.08</v>
      </c>
      <c r="M59">
        <v>0.24</v>
      </c>
      <c r="N59">
        <v>0.32</v>
      </c>
      <c r="O59">
        <v>0.14000000000000001</v>
      </c>
      <c r="P59">
        <v>3.7</v>
      </c>
      <c r="Q59">
        <v>0.77</v>
      </c>
      <c r="R59">
        <v>0.65</v>
      </c>
      <c r="S59">
        <v>0.67</v>
      </c>
      <c r="T59">
        <v>0.34</v>
      </c>
      <c r="U59">
        <v>77</v>
      </c>
      <c r="V59">
        <v>0.3</v>
      </c>
      <c r="W59">
        <v>0.67</v>
      </c>
      <c r="X59">
        <v>0.93</v>
      </c>
      <c r="Y59">
        <v>0.77</v>
      </c>
      <c r="Z59">
        <v>0.55000000000000004</v>
      </c>
      <c r="AA59">
        <v>0.27</v>
      </c>
      <c r="AB59">
        <v>0.33</v>
      </c>
      <c r="AC59">
        <v>0.315</v>
      </c>
      <c r="AD59">
        <v>0.56000000000000005</v>
      </c>
      <c r="AE59">
        <v>0.42</v>
      </c>
      <c r="AF59">
        <v>0.08</v>
      </c>
      <c r="AG59">
        <v>0.08</v>
      </c>
      <c r="AH59">
        <v>0.08</v>
      </c>
      <c r="AI59">
        <v>1.5</v>
      </c>
      <c r="AJ59">
        <v>1.1000000000000001</v>
      </c>
      <c r="AK59">
        <v>0.83</v>
      </c>
      <c r="AL59">
        <v>0.47</v>
      </c>
      <c r="AM59">
        <v>0.315</v>
      </c>
      <c r="AN59">
        <v>0.155</v>
      </c>
      <c r="AO59">
        <v>0.155</v>
      </c>
      <c r="AP59">
        <v>0.315</v>
      </c>
      <c r="AQ59">
        <v>0.315</v>
      </c>
      <c r="AR59">
        <v>0.155</v>
      </c>
      <c r="AS59">
        <v>0.39</v>
      </c>
      <c r="AT59">
        <v>1.95</v>
      </c>
      <c r="AU59">
        <v>1.95</v>
      </c>
      <c r="AV59">
        <v>0.67</v>
      </c>
      <c r="AW59">
        <v>0.155</v>
      </c>
      <c r="AX59">
        <f>SUM(Table1_15[[#This Row],[PFBA]:[PFMPA]])</f>
        <v>100.15999999999998</v>
      </c>
      <c r="AY59">
        <v>-0.50168944621039946</v>
      </c>
      <c r="AZ59">
        <v>-0.8096683018297085</v>
      </c>
      <c r="BA59">
        <v>-1.0969100130080565</v>
      </c>
      <c r="BB59">
        <v>-0.61978875828839397</v>
      </c>
      <c r="BC59">
        <v>-0.49485002168009401</v>
      </c>
      <c r="BD59">
        <v>-0.85387196432176193</v>
      </c>
      <c r="BE59">
        <v>0.56820172406699498</v>
      </c>
      <c r="BF59">
        <v>-0.11350927482751812</v>
      </c>
      <c r="BG59">
        <v>-0.18708664335714442</v>
      </c>
      <c r="BH59">
        <v>-0.17392519729917355</v>
      </c>
      <c r="BI59">
        <v>-0.46852108295774486</v>
      </c>
      <c r="BJ59">
        <v>1.8864907251724818</v>
      </c>
      <c r="BK59">
        <v>-0.52287874528033762</v>
      </c>
      <c r="BL59">
        <v>-0.17392519729917355</v>
      </c>
      <c r="BM59">
        <v>-3.1517051446064863E-2</v>
      </c>
      <c r="BN59">
        <v>-0.11350927482751812</v>
      </c>
      <c r="BO59">
        <v>-0.25963731050575611</v>
      </c>
      <c r="BP59">
        <v>-0.56863623584101264</v>
      </c>
      <c r="BQ59">
        <v>-0.48148606012211248</v>
      </c>
      <c r="BR59">
        <v>-0.50168944621039946</v>
      </c>
      <c r="BS59">
        <v>-0.25181197299379954</v>
      </c>
      <c r="BT59">
        <v>-0.37675070960209955</v>
      </c>
      <c r="BU59">
        <v>-1.0969100130080565</v>
      </c>
      <c r="BV59">
        <v>-1.0969100130080565</v>
      </c>
      <c r="BW59">
        <v>-1.0969100130080565</v>
      </c>
      <c r="BX59">
        <v>0.17609125905568124</v>
      </c>
      <c r="BY59">
        <v>4.1392685158225077E-2</v>
      </c>
      <c r="BZ59">
        <v>-8.092190762392612E-2</v>
      </c>
      <c r="CA59">
        <v>-0.32790214206428259</v>
      </c>
      <c r="CB59">
        <v>-0.50168944621039946</v>
      </c>
      <c r="CC59">
        <v>-0.8096683018297085</v>
      </c>
      <c r="CD59">
        <v>-0.8096683018297085</v>
      </c>
      <c r="CE59">
        <v>-0.50168944621039946</v>
      </c>
      <c r="CF59">
        <v>-0.50168944621039946</v>
      </c>
      <c r="CG59">
        <v>-0.8096683018297085</v>
      </c>
      <c r="CH59">
        <v>-0.40893539297350079</v>
      </c>
      <c r="CI59">
        <v>0.29003461136251801</v>
      </c>
      <c r="CJ59">
        <v>0.29003461136251801</v>
      </c>
      <c r="CK59">
        <v>-0.17392519729917355</v>
      </c>
      <c r="CL59">
        <v>-0.8096683018297085</v>
      </c>
    </row>
    <row r="60" spans="1:90" x14ac:dyDescent="0.3">
      <c r="A60" s="2" t="s">
        <v>79</v>
      </c>
      <c r="B60" s="2" t="s">
        <v>128</v>
      </c>
      <c r="C60" s="1">
        <v>44390.5</v>
      </c>
      <c r="J60">
        <v>0.19500000000000001</v>
      </c>
      <c r="K60">
        <v>0.1</v>
      </c>
      <c r="L60">
        <v>4.9000000000000002E-2</v>
      </c>
      <c r="M60">
        <v>0.09</v>
      </c>
      <c r="N60">
        <v>4.9000000000000002E-2</v>
      </c>
      <c r="O60">
        <v>0.09</v>
      </c>
      <c r="P60">
        <v>0.23</v>
      </c>
      <c r="Q60">
        <v>0.11</v>
      </c>
      <c r="R60">
        <v>0.39500000000000002</v>
      </c>
      <c r="S60">
        <v>4.9000000000000002E-2</v>
      </c>
      <c r="T60">
        <v>0.11</v>
      </c>
      <c r="U60">
        <v>6.3</v>
      </c>
      <c r="V60">
        <v>6.2E-2</v>
      </c>
      <c r="W60">
        <v>9.0999999999999998E-2</v>
      </c>
      <c r="X60">
        <v>4.9000000000000002E-2</v>
      </c>
      <c r="Y60">
        <v>4.9000000000000002E-2</v>
      </c>
      <c r="Z60">
        <v>4.9000000000000002E-2</v>
      </c>
      <c r="AA60">
        <v>4.9000000000000002E-2</v>
      </c>
      <c r="AB60">
        <v>4.9000000000000002E-2</v>
      </c>
      <c r="AC60">
        <v>0.19500000000000001</v>
      </c>
      <c r="AD60">
        <v>0.39500000000000002</v>
      </c>
      <c r="AE60">
        <v>0.09</v>
      </c>
      <c r="AF60">
        <v>4.9000000000000002E-2</v>
      </c>
      <c r="AG60">
        <v>4.9000000000000002E-2</v>
      </c>
      <c r="AH60">
        <v>4.9000000000000002E-2</v>
      </c>
      <c r="AI60">
        <v>4.9000000000000002E-2</v>
      </c>
      <c r="AJ60">
        <v>0.49</v>
      </c>
      <c r="AK60">
        <v>0.49</v>
      </c>
      <c r="AL60">
        <v>0.29499999999999998</v>
      </c>
      <c r="AM60">
        <v>0.19500000000000001</v>
      </c>
      <c r="AN60">
        <v>0.1</v>
      </c>
      <c r="AO60">
        <v>0.1</v>
      </c>
      <c r="AP60">
        <v>0.19500000000000001</v>
      </c>
      <c r="AQ60">
        <v>0.19500000000000001</v>
      </c>
      <c r="AR60">
        <v>0.1</v>
      </c>
      <c r="AS60">
        <v>0.245</v>
      </c>
      <c r="AT60">
        <v>1.25</v>
      </c>
      <c r="AU60">
        <v>1.25</v>
      </c>
      <c r="AV60">
        <v>4.9000000000000002E-2</v>
      </c>
      <c r="AW60">
        <v>0.1</v>
      </c>
      <c r="AX60">
        <f>SUM(Table1_15[[#This Row],[PFBA]:[PFMPA]])</f>
        <v>14.094999999999995</v>
      </c>
      <c r="AY60">
        <v>-0.70996538863748193</v>
      </c>
      <c r="AZ60">
        <v>-1</v>
      </c>
      <c r="BA60">
        <v>-1.3098039199714864</v>
      </c>
      <c r="BB60">
        <v>-1.0457574905606752</v>
      </c>
      <c r="BC60">
        <v>-1.3098039199714864</v>
      </c>
      <c r="BD60">
        <v>-1.0457574905606752</v>
      </c>
      <c r="BE60">
        <v>-0.63827216398240705</v>
      </c>
      <c r="BF60">
        <v>-0.95860731484177497</v>
      </c>
      <c r="BG60">
        <v>-0.40340290437353976</v>
      </c>
      <c r="BH60">
        <v>-1.3098039199714864</v>
      </c>
      <c r="BI60">
        <v>-0.95860731484177497</v>
      </c>
      <c r="BJ60">
        <v>0.79934054945358168</v>
      </c>
      <c r="BK60">
        <v>-1.2076083105017461</v>
      </c>
      <c r="BL60">
        <v>-1.0409586076789064</v>
      </c>
      <c r="BM60">
        <v>-1.3098039199714864</v>
      </c>
      <c r="BN60">
        <v>-1.3098039199714864</v>
      </c>
      <c r="BO60">
        <v>-1.3098039199714864</v>
      </c>
      <c r="BP60">
        <v>-1.3098039199714864</v>
      </c>
      <c r="BQ60">
        <v>-1.3098039199714864</v>
      </c>
      <c r="BR60">
        <v>-0.70996538863748193</v>
      </c>
      <c r="BS60">
        <v>-0.40340290437353976</v>
      </c>
      <c r="BT60">
        <v>-1.0457574905606752</v>
      </c>
      <c r="BU60">
        <v>-1.3098039199714864</v>
      </c>
      <c r="BV60">
        <v>-1.3098039199714864</v>
      </c>
      <c r="BW60">
        <v>-1.3098039199714864</v>
      </c>
      <c r="BX60">
        <v>-1.3098039199714864</v>
      </c>
      <c r="BY60">
        <v>-0.30980391997148632</v>
      </c>
      <c r="BZ60">
        <v>-0.30980391997148632</v>
      </c>
      <c r="CA60">
        <v>-0.53017798402183702</v>
      </c>
      <c r="CB60">
        <v>-0.70996538863748193</v>
      </c>
      <c r="CC60">
        <v>-1</v>
      </c>
      <c r="CD60">
        <v>-1</v>
      </c>
      <c r="CE60">
        <v>-0.70996538863748193</v>
      </c>
      <c r="CF60">
        <v>-0.70996538863748193</v>
      </c>
      <c r="CG60">
        <v>-1</v>
      </c>
      <c r="CH60">
        <v>-0.61083391563546752</v>
      </c>
      <c r="CI60">
        <v>9.691001300805642E-2</v>
      </c>
      <c r="CJ60">
        <v>9.691001300805642E-2</v>
      </c>
      <c r="CK60">
        <v>-1.3098039199714864</v>
      </c>
      <c r="CL60">
        <v>-1</v>
      </c>
    </row>
    <row r="61" spans="1:90" x14ac:dyDescent="0.3">
      <c r="A61" s="2" t="s">
        <v>80</v>
      </c>
      <c r="B61" s="2" t="s">
        <v>126</v>
      </c>
      <c r="C61" s="1">
        <v>44390.5</v>
      </c>
      <c r="J61">
        <v>0.2</v>
      </c>
      <c r="K61">
        <v>0.1</v>
      </c>
      <c r="L61">
        <v>4.9500000000000002E-2</v>
      </c>
      <c r="M61">
        <v>0.15</v>
      </c>
      <c r="N61">
        <v>4.9500000000000002E-2</v>
      </c>
      <c r="O61">
        <v>0.09</v>
      </c>
      <c r="P61">
        <v>0.56999999999999995</v>
      </c>
      <c r="Q61">
        <v>0.27</v>
      </c>
      <c r="R61">
        <v>0.43</v>
      </c>
      <c r="S61">
        <v>4.9500000000000002E-2</v>
      </c>
      <c r="T61">
        <v>8.8999999999999996E-2</v>
      </c>
      <c r="U61">
        <v>10</v>
      </c>
      <c r="V61">
        <v>6.3E-2</v>
      </c>
      <c r="W61">
        <v>0.19</v>
      </c>
      <c r="X61">
        <v>0.47</v>
      </c>
      <c r="Y61">
        <v>0.53</v>
      </c>
      <c r="Z61">
        <v>0.36</v>
      </c>
      <c r="AA61">
        <v>4.9500000000000002E-2</v>
      </c>
      <c r="AB61">
        <v>0.28000000000000003</v>
      </c>
      <c r="AC61">
        <v>0.2</v>
      </c>
      <c r="AD61">
        <v>0.4</v>
      </c>
      <c r="AE61">
        <v>0.28999999999999998</v>
      </c>
      <c r="AF61">
        <v>4.9500000000000002E-2</v>
      </c>
      <c r="AG61">
        <v>4.9500000000000002E-2</v>
      </c>
      <c r="AH61">
        <v>4.9500000000000002E-2</v>
      </c>
      <c r="AI61">
        <v>4.9500000000000002E-2</v>
      </c>
      <c r="AJ61">
        <v>0.495</v>
      </c>
      <c r="AK61">
        <v>0.495</v>
      </c>
      <c r="AL61">
        <v>0.3</v>
      </c>
      <c r="AM61">
        <v>0.2</v>
      </c>
      <c r="AN61">
        <v>0.1</v>
      </c>
      <c r="AO61">
        <v>0.1</v>
      </c>
      <c r="AP61">
        <v>0.2</v>
      </c>
      <c r="AQ61">
        <v>0.2</v>
      </c>
      <c r="AR61">
        <v>0.1</v>
      </c>
      <c r="AS61">
        <v>0.25</v>
      </c>
      <c r="AT61">
        <v>1.25</v>
      </c>
      <c r="AU61">
        <v>1.25</v>
      </c>
      <c r="AV61">
        <v>0.25</v>
      </c>
      <c r="AW61">
        <v>0.1</v>
      </c>
      <c r="AX61">
        <f>SUM(Table1_15[[#This Row],[PFBA]:[PFMPA]])</f>
        <v>20.368000000000002</v>
      </c>
      <c r="AY61">
        <v>-0.69897000433601875</v>
      </c>
      <c r="AZ61">
        <v>-1</v>
      </c>
      <c r="BA61">
        <v>-1.3053948010664314</v>
      </c>
      <c r="BB61">
        <v>-0.82390874094431876</v>
      </c>
      <c r="BC61">
        <v>-1.3053948010664314</v>
      </c>
      <c r="BD61">
        <v>-1.0457574905606752</v>
      </c>
      <c r="BE61">
        <v>-0.24412514432750865</v>
      </c>
      <c r="BF61">
        <v>-0.56863623584101264</v>
      </c>
      <c r="BG61">
        <v>-0.36653154442041347</v>
      </c>
      <c r="BH61">
        <v>-1.3053948010664314</v>
      </c>
      <c r="BI61">
        <v>-1.0506099933550872</v>
      </c>
      <c r="BJ61">
        <v>1</v>
      </c>
      <c r="BK61">
        <v>-1.2006594505464183</v>
      </c>
      <c r="BL61">
        <v>-0.72124639904717103</v>
      </c>
      <c r="BM61">
        <v>-0.32790214206428259</v>
      </c>
      <c r="BN61">
        <v>-0.27572413039921095</v>
      </c>
      <c r="BO61">
        <v>-0.44369749923271273</v>
      </c>
      <c r="BP61">
        <v>-1.3053948010664314</v>
      </c>
      <c r="BQ61">
        <v>-0.55284196865778079</v>
      </c>
      <c r="BR61">
        <v>-0.69897000433601875</v>
      </c>
      <c r="BS61">
        <v>-0.3979400086720376</v>
      </c>
      <c r="BT61">
        <v>-0.53760200210104392</v>
      </c>
      <c r="BU61">
        <v>-1.3053948010664314</v>
      </c>
      <c r="BV61">
        <v>-1.3053948010664314</v>
      </c>
      <c r="BW61">
        <v>-1.3053948010664314</v>
      </c>
      <c r="BX61">
        <v>-1.3053948010664314</v>
      </c>
      <c r="BY61">
        <v>-0.3053948010664313</v>
      </c>
      <c r="BZ61">
        <v>-0.3053948010664313</v>
      </c>
      <c r="CA61">
        <v>-0.52287874528033762</v>
      </c>
      <c r="CB61">
        <v>-0.69897000433601875</v>
      </c>
      <c r="CC61">
        <v>-1</v>
      </c>
      <c r="CD61">
        <v>-1</v>
      </c>
      <c r="CE61">
        <v>-0.69897000433601875</v>
      </c>
      <c r="CF61">
        <v>-0.69897000433601875</v>
      </c>
      <c r="CG61">
        <v>-1</v>
      </c>
      <c r="CH61">
        <v>-0.6020599913279624</v>
      </c>
      <c r="CI61">
        <v>9.691001300805642E-2</v>
      </c>
      <c r="CJ61">
        <v>9.691001300805642E-2</v>
      </c>
      <c r="CK61">
        <v>-0.6020599913279624</v>
      </c>
      <c r="CL61">
        <v>-1</v>
      </c>
    </row>
    <row r="62" spans="1:90" x14ac:dyDescent="0.3">
      <c r="A62" s="2" t="s">
        <v>81</v>
      </c>
      <c r="B62" s="2" t="s">
        <v>127</v>
      </c>
      <c r="C62" s="1">
        <v>44390.5</v>
      </c>
      <c r="J62">
        <v>0.2</v>
      </c>
      <c r="K62">
        <v>0.1</v>
      </c>
      <c r="L62">
        <v>4.9500000000000002E-2</v>
      </c>
      <c r="M62">
        <v>9.1999999999999998E-2</v>
      </c>
      <c r="N62">
        <v>5.2999999999999999E-2</v>
      </c>
      <c r="O62">
        <v>0.09</v>
      </c>
      <c r="P62">
        <v>0.8</v>
      </c>
      <c r="Q62">
        <v>0.21</v>
      </c>
      <c r="R62">
        <v>0.52</v>
      </c>
      <c r="S62">
        <v>5.8999999999999997E-2</v>
      </c>
      <c r="T62">
        <v>0.17</v>
      </c>
      <c r="U62">
        <v>9.6</v>
      </c>
      <c r="V62">
        <v>0.48</v>
      </c>
      <c r="W62">
        <v>0.47</v>
      </c>
      <c r="X62">
        <v>0.12</v>
      </c>
      <c r="Y62">
        <v>4.9500000000000002E-2</v>
      </c>
      <c r="Z62">
        <v>4.9500000000000002E-2</v>
      </c>
      <c r="AA62">
        <v>0.31</v>
      </c>
      <c r="AB62">
        <v>4.9500000000000002E-2</v>
      </c>
      <c r="AC62">
        <v>0.2</v>
      </c>
      <c r="AD62">
        <v>0.92</v>
      </c>
      <c r="AE62">
        <v>1.7</v>
      </c>
      <c r="AF62">
        <v>4.9500000000000002E-2</v>
      </c>
      <c r="AG62">
        <v>4.9500000000000002E-2</v>
      </c>
      <c r="AH62">
        <v>4.9500000000000002E-2</v>
      </c>
      <c r="AI62">
        <v>4.9500000000000002E-2</v>
      </c>
      <c r="AJ62">
        <v>0.495</v>
      </c>
      <c r="AK62">
        <v>0.495</v>
      </c>
      <c r="AL62">
        <v>0.3</v>
      </c>
      <c r="AM62">
        <v>0.2</v>
      </c>
      <c r="AN62">
        <v>0.1</v>
      </c>
      <c r="AO62">
        <v>0.1</v>
      </c>
      <c r="AP62">
        <v>0.2</v>
      </c>
      <c r="AQ62">
        <v>0.2</v>
      </c>
      <c r="AR62">
        <v>0.1</v>
      </c>
      <c r="AS62">
        <v>0.25</v>
      </c>
      <c r="AT62">
        <v>1.25</v>
      </c>
      <c r="AU62">
        <v>1</v>
      </c>
      <c r="AV62">
        <v>0.45</v>
      </c>
      <c r="AW62">
        <v>0.1</v>
      </c>
      <c r="AX62">
        <f>SUM(Table1_15[[#This Row],[PFBA]:[PFMPA]])</f>
        <v>21.73</v>
      </c>
      <c r="AY62">
        <v>-0.69897000433601875</v>
      </c>
      <c r="AZ62">
        <v>-1</v>
      </c>
      <c r="BA62">
        <v>-1.3053948010664314</v>
      </c>
      <c r="BB62">
        <v>-1.0362121726544447</v>
      </c>
      <c r="BC62">
        <v>-1.2757241303992111</v>
      </c>
      <c r="BD62">
        <v>-1.0457574905606752</v>
      </c>
      <c r="BE62">
        <v>-9.6910013008056392E-2</v>
      </c>
      <c r="BF62">
        <v>-0.6777807052660807</v>
      </c>
      <c r="BG62">
        <v>-0.28399665636520083</v>
      </c>
      <c r="BH62">
        <v>-1.2291479883578558</v>
      </c>
      <c r="BI62">
        <v>-0.769551078621726</v>
      </c>
      <c r="BJ62">
        <v>0.98227123303956843</v>
      </c>
      <c r="BK62">
        <v>-0.31875876262441277</v>
      </c>
      <c r="BL62">
        <v>-0.32790214206428259</v>
      </c>
      <c r="BM62">
        <v>-0.92081875395237522</v>
      </c>
      <c r="BN62">
        <v>-1.3053948010664314</v>
      </c>
      <c r="BO62">
        <v>-1.3053948010664314</v>
      </c>
      <c r="BP62">
        <v>-0.50863830616572736</v>
      </c>
      <c r="BQ62">
        <v>-1.3053948010664314</v>
      </c>
      <c r="BR62">
        <v>-0.69897000433601875</v>
      </c>
      <c r="BS62">
        <v>-3.6212172654444715E-2</v>
      </c>
      <c r="BT62">
        <v>0.23044892137827391</v>
      </c>
      <c r="BU62">
        <v>-1.3053948010664314</v>
      </c>
      <c r="BV62">
        <v>-1.3053948010664314</v>
      </c>
      <c r="BW62">
        <v>-1.3053948010664314</v>
      </c>
      <c r="BX62">
        <v>-1.3053948010664314</v>
      </c>
      <c r="BY62">
        <v>-0.3053948010664313</v>
      </c>
      <c r="BZ62">
        <v>-0.3053948010664313</v>
      </c>
      <c r="CA62">
        <v>-0.52287874528033762</v>
      </c>
      <c r="CB62">
        <v>-0.69897000433601875</v>
      </c>
      <c r="CC62">
        <v>-1</v>
      </c>
      <c r="CD62">
        <v>-1</v>
      </c>
      <c r="CE62">
        <v>-0.69897000433601875</v>
      </c>
      <c r="CF62">
        <v>-0.69897000433601875</v>
      </c>
      <c r="CG62">
        <v>-1</v>
      </c>
      <c r="CH62">
        <v>-0.6020599913279624</v>
      </c>
      <c r="CI62">
        <v>9.691001300805642E-2</v>
      </c>
      <c r="CJ62">
        <v>0</v>
      </c>
      <c r="CK62">
        <v>-0.34678748622465633</v>
      </c>
      <c r="CL62">
        <v>-1</v>
      </c>
    </row>
    <row r="63" spans="1:90" x14ac:dyDescent="0.3">
      <c r="A63" s="2" t="s">
        <v>82</v>
      </c>
      <c r="B63" s="2" t="s">
        <v>125</v>
      </c>
      <c r="C63" s="1">
        <v>44390.5</v>
      </c>
      <c r="J63">
        <v>0.2</v>
      </c>
      <c r="K63">
        <v>0.1</v>
      </c>
      <c r="L63">
        <v>4.9500000000000002E-2</v>
      </c>
      <c r="M63">
        <v>0.12</v>
      </c>
      <c r="N63">
        <v>8.2000000000000003E-2</v>
      </c>
      <c r="O63">
        <v>0.09</v>
      </c>
      <c r="P63">
        <v>1.1000000000000001</v>
      </c>
      <c r="Q63">
        <v>0.39</v>
      </c>
      <c r="R63">
        <v>0.4</v>
      </c>
      <c r="S63">
        <v>0.1</v>
      </c>
      <c r="T63">
        <v>0.21</v>
      </c>
      <c r="U63">
        <v>29</v>
      </c>
      <c r="V63">
        <v>0.28000000000000003</v>
      </c>
      <c r="W63">
        <v>0.6</v>
      </c>
      <c r="X63">
        <v>0.81</v>
      </c>
      <c r="Y63">
        <v>0.65</v>
      </c>
      <c r="Z63">
        <v>0.49</v>
      </c>
      <c r="AA63">
        <v>0.2</v>
      </c>
      <c r="AB63">
        <v>0.3</v>
      </c>
      <c r="AC63">
        <v>0.2</v>
      </c>
      <c r="AD63">
        <v>0.5</v>
      </c>
      <c r="AE63">
        <v>0.38</v>
      </c>
      <c r="AF63">
        <v>4.9500000000000002E-2</v>
      </c>
      <c r="AG63">
        <v>4.9500000000000002E-2</v>
      </c>
      <c r="AH63">
        <v>4.9500000000000002E-2</v>
      </c>
      <c r="AI63">
        <v>4.9500000000000002E-2</v>
      </c>
      <c r="AJ63">
        <v>2</v>
      </c>
      <c r="AK63">
        <v>0.495</v>
      </c>
      <c r="AL63">
        <v>0.3</v>
      </c>
      <c r="AM63">
        <v>0.2</v>
      </c>
      <c r="AN63">
        <v>0.1</v>
      </c>
      <c r="AO63">
        <v>0.1</v>
      </c>
      <c r="AP63">
        <v>0.2</v>
      </c>
      <c r="AQ63">
        <v>0.2</v>
      </c>
      <c r="AR63">
        <v>0.1</v>
      </c>
      <c r="AS63">
        <v>0.25</v>
      </c>
      <c r="AT63">
        <v>1.25</v>
      </c>
      <c r="AU63">
        <v>1</v>
      </c>
      <c r="AV63">
        <v>0.57999999999999996</v>
      </c>
      <c r="AW63">
        <v>0.1</v>
      </c>
      <c r="AX63">
        <f>SUM(Table1_15[[#This Row],[PFBA]:[PFMPA]])</f>
        <v>43.324500000000022</v>
      </c>
      <c r="AY63">
        <v>-0.69897000433601875</v>
      </c>
      <c r="AZ63">
        <v>-1</v>
      </c>
      <c r="BA63">
        <v>-1.3053948010664314</v>
      </c>
      <c r="BB63">
        <v>-0.92081875395237522</v>
      </c>
      <c r="BC63">
        <v>-1.0861861476162833</v>
      </c>
      <c r="BD63">
        <v>-1.0457574905606752</v>
      </c>
      <c r="BE63">
        <v>4.1392685158225077E-2</v>
      </c>
      <c r="BF63">
        <v>-0.40893539297350079</v>
      </c>
      <c r="BG63">
        <v>-0.3979400086720376</v>
      </c>
      <c r="BH63">
        <v>-1</v>
      </c>
      <c r="BI63">
        <v>-0.6777807052660807</v>
      </c>
      <c r="BJ63">
        <v>1.4623979978989561</v>
      </c>
      <c r="BK63">
        <v>-0.55284196865778079</v>
      </c>
      <c r="BL63">
        <v>-0.22184874961635639</v>
      </c>
      <c r="BM63">
        <v>-9.1514981121350217E-2</v>
      </c>
      <c r="BN63">
        <v>-0.18708664335714442</v>
      </c>
      <c r="BO63">
        <v>-0.30980391997148632</v>
      </c>
      <c r="BP63">
        <v>-0.69897000433601875</v>
      </c>
      <c r="BQ63">
        <v>-0.52287874528033762</v>
      </c>
      <c r="BR63">
        <v>-0.69897000433601875</v>
      </c>
      <c r="BS63">
        <v>-0.3010299956639812</v>
      </c>
      <c r="BT63">
        <v>-0.42021640338318983</v>
      </c>
      <c r="BU63">
        <v>-1.3053948010664314</v>
      </c>
      <c r="BV63">
        <v>-1.3053948010664314</v>
      </c>
      <c r="BW63">
        <v>-1.3053948010664314</v>
      </c>
      <c r="BX63">
        <v>-1.3053948010664314</v>
      </c>
      <c r="BY63">
        <v>0.3010299956639812</v>
      </c>
      <c r="BZ63">
        <v>-0.3053948010664313</v>
      </c>
      <c r="CA63">
        <v>-0.52287874528033762</v>
      </c>
      <c r="CB63">
        <v>-0.69897000433601875</v>
      </c>
      <c r="CC63">
        <v>-1</v>
      </c>
      <c r="CD63">
        <v>-1</v>
      </c>
      <c r="CE63">
        <v>-0.69897000433601875</v>
      </c>
      <c r="CF63">
        <v>-0.69897000433601875</v>
      </c>
      <c r="CG63">
        <v>-1</v>
      </c>
      <c r="CH63">
        <v>-0.6020599913279624</v>
      </c>
      <c r="CI63">
        <v>9.691001300805642E-2</v>
      </c>
      <c r="CJ63">
        <v>0</v>
      </c>
      <c r="CK63">
        <v>-0.23657200643706275</v>
      </c>
      <c r="CL63">
        <v>-1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8E0394-B3DD-498B-9266-48389F2F1D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Sediment</vt:lpstr>
      <vt:lpstr>Log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Abbi</dc:creator>
  <cp:lastModifiedBy>Brown, Abbi</cp:lastModifiedBy>
  <dcterms:created xsi:type="dcterms:W3CDTF">2024-08-22T14:49:14Z</dcterms:created>
  <dcterms:modified xsi:type="dcterms:W3CDTF">2024-10-11T16:01:00Z</dcterms:modified>
</cp:coreProperties>
</file>